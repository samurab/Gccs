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2c0d7cf085c4f11" /></Relationships>
</file>

<file path=xl/workbook.xml><?xml version="1.0" encoding="utf-8"?>
<x:workbook xmlns:x="http://schemas.openxmlformats.org/spreadsheetml/2006/main">
  <x:sheets>
    <x:sheet xmlns:r="http://schemas.openxmlformats.org/officeDocument/2006/relationships" name="Summary" sheetId="1" r:id="Reeddce4781fa4483"/>
    <x:sheet xmlns:r="http://schemas.openxmlformats.org/officeDocument/2006/relationships" name="Execution Plan" sheetId="2" r:id="Rf5a6e35be3554e83"/>
    <x:sheet xmlns:r="http://schemas.openxmlformats.org/officeDocument/2006/relationships" name="Task Tracker" sheetId="3" r:id="R1837af4ce8ea4fe0"/>
    <x:sheet xmlns:r="http://schemas.openxmlformats.org/officeDocument/2006/relationships" name="Sources &amp; Method" sheetId="4" r:id="Raab753cda401477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sz val="10"/>
      <x:name val="Aptos"/>
    </x:font>
    <x:font>
      <x:b/>
      <x:sz val="16"/>
      <x:color rgb="FFFFFFFF"/>
      <x:name val="Aptos"/>
    </x:font>
    <x:font>
      <x:sz val="10"/>
      <x:color rgb="FF1F1F1F"/>
      <x:name val="Aptos"/>
    </x:font>
    <x:font>
      <x:b/>
      <x:sz val="10"/>
      <x:color rgb="FFFFFFFF"/>
      <x:name val="Aptos"/>
    </x:font>
    <x:font>
      <x:b/>
      <x:sz val="10"/>
      <x:color rgb="FF1F4E78"/>
      <x:name val="Aptos"/>
    </x:font>
    <x:font>
      <x:b/>
      <x:sz val="14"/>
      <x:name val="Aptos"/>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FFF2CC"/>
      </x:patternFill>
    </x:fill>
  </x:fills>
  <x:borders count="3">
    <x:border/>
    <x:border>
      <x:left style="thin">
        <x:color rgb="FFB4C7E7"/>
      </x:left>
      <x:right style="thin">
        <x:color rgb="FFB4C7E7"/>
      </x:right>
      <x:top style="thin">
        <x:color rgb="FFB4C7E7"/>
      </x:top>
      <x:bottom style="thin">
        <x:color rgb="FFB4C7E7"/>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33">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1"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1" fillId="4" borderId="0"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vertical="center" wrapText="1"/>
    </x:xf>
    <x:xf numFmtId="0" fontId="1" fillId="5" borderId="0" xfId="0" applyNumberFormat="1" applyFont="1" applyFill="1" applyBorder="1"/>
    <x:xf numFmtId="200" fontId="1" fillId="0" borderId="0" xfId="0" applyNumberFormat="1" applyFont="1" applyFill="1" applyBorder="1"/>
    <x:xf numFmtId="200" fontId="1" fillId="5" borderId="0" xfId="0" applyNumberFormat="1" applyFont="1" applyFill="1" applyBorder="1"/>
    <x:xf numFmtId="0" fontId="4" fillId="4" borderId="1" xfId="0" applyNumberFormat="1" applyFont="1" applyFill="1" applyBorder="1" applyAlignment="1">
      <x:alignment vertical="top" wrapText="1"/>
    </x:xf>
    <x:xf numFmtId="0" fontId="1" fillId="0" borderId="0" xfId="0" applyNumberFormat="1" applyFont="1" applyFill="1" applyBorder="1" applyAlignment="1">
      <x:alignment vertical="top"/>
    </x:xf>
    <x:xf numFmtId="0" fontId="1" fillId="5" borderId="0" xfId="0" applyNumberFormat="1" applyFont="1" applyFill="1" applyBorder="1" applyAlignment="1">
      <x:alignment vertical="top"/>
    </x:xf>
    <x:xf numFmtId="200" fontId="1" fillId="0" borderId="0" xfId="0" applyNumberFormat="1" applyFont="1" applyFill="1" applyBorder="1" applyAlignment="1">
      <x:alignment vertical="top"/>
    </x:xf>
    <x:xf numFmtId="200" fontId="1" fillId="5"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wrapText="1"/>
    </x:xf>
    <x:xf numFmtId="0" fontId="1" fillId="0" borderId="2" xfId="0" applyNumberFormat="1" applyFont="1" applyFill="1" applyBorder="1"/>
    <x:xf numFmtId="0" fontId="1" fillId="0" borderId="2" xfId="0" applyNumberFormat="1" applyFont="1" applyFill="1" applyBorder="1" applyAlignment="1">
      <x:alignment vertical="center"/>
    </x:xf>
    <x:xf numFmtId="0" fontId="5" fillId="0" borderId="2" xfId="0" applyNumberFormat="1" applyFont="1" applyFill="1" applyBorder="1" applyAlignment="1">
      <x:alignment vertical="center"/>
    </x:xf>
    <x:xf numFmtId="0" fontId="6" fillId="0" borderId="2" xfId="0" applyNumberFormat="1" applyFont="1" applyFill="1" applyBorder="1" applyAlignment="1">
      <x:alignment vertical="center"/>
    </x:xf>
    <x:xf numFmtId="0" fontId="1" fillId="0" borderId="2" xfId="0" applyNumberFormat="1" applyFont="1" applyFill="1" applyBorder="1" applyAlignment="1">
      <x:alignment wrapText="1"/>
    </x:xf>
    <x:xf numFmtId="0" fontId="1" fillId="0" borderId="2" xfId="0" applyNumberFormat="1" applyFont="1" applyFill="1" applyBorder="1" applyAlignment="1">
      <x:alignment vertical="top" wrapText="1"/>
    </x:xf>
    <x:xf numFmtId="0" fontId="5" fillId="0" borderId="2" xfId="0" applyNumberFormat="1" applyFont="1" applyFill="1" applyBorder="1" applyAlignment="1">
      <x:alignment vertical="top" wrapText="1"/>
    </x:xf>
    <x:xf numFmtId="200" fontId="1" fillId="0" borderId="2" xfId="0" applyNumberFormat="1" applyFont="1" applyFill="1" applyBorder="1"/>
    <x:xf numFmtId="200" fontId="1" fillId="0" borderId="2" xfId="0" applyNumberFormat="1" applyFont="1" applyFill="1" applyBorder="1" applyAlignment="1">
      <x:alignment wrapText="1"/>
    </x:xf>
    <x:xf numFmtId="200" fontId="1" fillId="0" borderId="2" xfId="0" applyNumberFormat="1" applyFont="1" applyFill="1" applyBorder="1" applyAlignment="1">
      <x:alignment vertical="top" wrapText="1"/>
    </x:xf>
  </x:cellXfs>
  <x:cellStyles count="1">
    <x:cellStyle name="Normal" xfId="0"/>
  </x:cellStyles>
  <x:dxfs count="15">
    <x:dxf>
      <x:font>
        <x:b/>
        <x:color rgb="FF1B5E20"/>
      </x:font>
      <x:fill>
        <x:patternFill patternType="solid">
          <x:bgColor rgb="FFE2F0D9"/>
        </x:patternFill>
      </x:fill>
    </x:dxf>
    <x:dxf>
      <x:font>
        <x:b/>
        <x:color rgb="FF1F4E78"/>
      </x:font>
      <x:fill>
        <x:patternFill patternType="solid">
          <x:bgColor rgb="FFDDEBF7"/>
        </x:patternFill>
      </x:fill>
    </x:dxf>
    <x:dxf>
      <x:font>
        <x:b/>
        <x:color rgb="FF9C0006"/>
      </x:font>
      <x:fill>
        <x:patternFill patternType="solid">
          <x:bgColor rgb="FFF4CCCC"/>
        </x:patternFill>
      </x:fill>
    </x:dxf>
    <x:dxf>
      <x:font>
        <x:b/>
        <x:color rgb="FF595959"/>
      </x:font>
      <x:fill>
        <x:patternFill patternType="solid">
          <x:bgColor rgb="FFE7E6E6"/>
        </x:patternFill>
      </x:fill>
    </x:dxf>
    <x:dxf>
      <x:font>
        <x:b/>
        <x:color rgb="FF7F6000"/>
      </x:font>
      <x:fill>
        <x:patternFill patternType="solid">
          <x:bgColor rgb="FFFFF2CC"/>
        </x:patternFill>
      </x:fill>
    </x:dxf>
    <x:dxf>
      <x:font>
        <x:b/>
        <x:color rgb="FF4C2A85"/>
      </x:font>
      <x:fill>
        <x:patternFill patternType="solid">
          <x:bgColor rgb="FFE4DFEC"/>
        </x:patternFill>
      </x:fill>
    </x:dxf>
    <x:dxf>
      <x:font>
        <x:b/>
        <x:color rgb="FF7F7F7F"/>
      </x:font>
      <x:fill>
        <x:patternFill patternType="solid">
          <x:bgColor rgb="FFF2F2F2"/>
        </x:patternFill>
      </x:fill>
    </x:dxf>
    <x:dxf>
      <x:font>
        <x:b/>
        <x:color rgb="FF9C0006"/>
      </x:font>
      <x:fill>
        <x:patternFill patternType="solid">
          <x:bgColor rgb="FFF4CCCC"/>
        </x:patternFill>
      </x:fill>
    </x:dxf>
    <x:dxf>
      <x:font>
        <x:b/>
        <x:color rgb="FF1B5E20"/>
      </x:font>
      <x:fill>
        <x:patternFill patternType="solid">
          <x:bgColor rgb="FFE2F0D9"/>
        </x:patternFill>
      </x:fill>
    </x:dxf>
    <x:dxf>
      <x:font>
        <x:b/>
        <x:color rgb="FF1F4E78"/>
      </x:font>
      <x:fill>
        <x:patternFill patternType="solid">
          <x:bgColor rgb="FFDDEBF7"/>
        </x:patternFill>
      </x:fill>
    </x:dxf>
    <x:dxf>
      <x:font>
        <x:b/>
        <x:color rgb="FF9C0006"/>
      </x:font>
      <x:fill>
        <x:patternFill patternType="solid">
          <x:bgColor rgb="FFF4CCCC"/>
        </x:patternFill>
      </x:fill>
    </x:dxf>
    <x:dxf>
      <x:font>
        <x:b/>
        <x:color rgb="FF595959"/>
      </x:font>
      <x:fill>
        <x:patternFill patternType="solid">
          <x:bgColor rgb="FFE7E6E6"/>
        </x:patternFill>
      </x:fill>
    </x:dxf>
    <x:dxf>
      <x:font>
        <x:b/>
        <x:color rgb="FF7F6000"/>
      </x:font>
      <x:fill>
        <x:patternFill patternType="solid">
          <x:bgColor rgb="FFFFF2CC"/>
        </x:patternFill>
      </x:fill>
    </x:dxf>
    <x:dxf>
      <x:font>
        <x:b/>
        <x:color rgb="FF4C2A85"/>
      </x:font>
      <x:fill>
        <x:patternFill patternType="solid">
          <x:bgColor rgb="FFE4DFEC"/>
        </x:patternFill>
      </x:fill>
    </x:dxf>
    <x:dxf>
      <x:font>
        <x:b/>
        <x:color rgb="FF7F7F7F"/>
      </x:font>
      <x:fill>
        <x:patternFill patternType="solid">
          <x:bgColor rgb="FFF2F2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fcebbc3f9da4b86" /><Relationship Type="http://schemas.openxmlformats.org/officeDocument/2006/relationships/theme" Target="/xl/theme/theme1.xml" Id="R98f91cb6e6bf487d" /><Relationship Type="http://schemas.openxmlformats.org/officeDocument/2006/relationships/sharedStrings" Target="/xl/sharedStrings.xml" Id="Rf398fddeab954ac3" /><Relationship Type="http://schemas.openxmlformats.org/officeDocument/2006/relationships/worksheet" Target="/xl/worksheets/sheet1.xml" Id="Reeddce4781fa4483" /><Relationship Type="http://schemas.openxmlformats.org/officeDocument/2006/relationships/worksheet" Target="/xl/worksheets/sheet2.xml" Id="Rf5a6e35be3554e83" /><Relationship Type="http://schemas.openxmlformats.org/officeDocument/2006/relationships/worksheet" Target="/xl/worksheets/sheet3.xml" Id="R1837af4ce8ea4fe0" /><Relationship Type="http://schemas.openxmlformats.org/officeDocument/2006/relationships/worksheet" Target="/xl/worksheets/sheet4.xml" Id="Raab753cda4014770" /></Relationships>
</file>

<file path=xl/tables/table1.xml><?xml version="1.0" encoding="utf-8"?>
<x:table xmlns:x="http://schemas.openxmlformats.org/spreadsheetml/2006/main" id="3" name="PhaseSummaryTable" displayName="PhaseSummaryTable" ref="A12:J20" headerRowCount="1" totalsRowCount="0" totalsRowShown="0">
  <x:tableColumns count="10">
    <x:tableColumn id="1" name="Phase/track"/>
    <x:tableColumn id="2" name="Total stories/gates"/>
    <x:tableColumn id="3" name="Completed"/>
    <x:tableColumn id="4" name="Partially completed"/>
    <x:tableColumn id="5" name="Blocked"/>
    <x:tableColumn id="6" name="Not started"/>
    <x:tableColumn id="7" name="Not verified"/>
    <x:tableColumn id="8" name="External/human gate"/>
    <x:tableColumn id="9" name="Remaining tasks"/>
    <x:tableColumn id="10" name="Next executable story or gate"/>
  </x:tableColumns>
  <x:tableStyleInfo name="TableStyleMedium2" showFirstColumn="0" showLastColumn="0" showRowStripes="1" showColumnStripes="0"/>
</x:table>
</file>

<file path=xl/tables/table2.xml><?xml version="1.0" encoding="utf-8"?>
<x:table xmlns:x="http://schemas.openxmlformats.org/spreadsheetml/2006/main" id="2" name="ExecutionPlanTable" displayName="ExecutionPlanTable" ref="A4:V190" headerRowCount="1" totalsRowCount="0" totalsRowShown="0">
  <x:tableColumns count="22">
    <x:tableColumn id="1" name="Overall sequence"/>
    <x:tableColumn id="2" name="Phase/track"/>
    <x:tableColumn id="3" name="Workstream"/>
    <x:tableColumn id="4" name="Story or gate ID"/>
    <x:tableColumn id="5" name="Exact title"/>
    <x:tableColumn id="6" name="Outcome type"/>
    <x:tableColumn id="7" name="Roadmap classification"/>
    <x:tableColumn id="8" name="Evidence-based status"/>
    <x:tableColumn id="9" name="Completed task count"/>
    <x:tableColumn id="10" name="Total task count"/>
    <x:tableColumn id="11" name="Remaining task count"/>
    <x:tableColumn id="12" name="Predecessor IDs"/>
    <x:tableColumn id="13" name="Gate/unblock condition"/>
    <x:tableColumn id="14" name="Verification method"/>
    <x:tableColumn id="15" name="Execution mechanism"/>
    <x:tableColumn id="16" name="Next action"/>
    <x:tableColumn id="17" name="Evidence summary"/>
    <x:tableColumn id="18" name="Evidence source"/>
    <x:tableColumn id="19" name="Risk/limitation"/>
    <x:tableColumn id="20" name="Owner"/>
    <x:tableColumn id="21" name="Target date"/>
    <x:tableColumn id="22" name="Remaining?"/>
  </x:tableColumns>
  <x:tableStyleInfo name="TableStyleMedium2" showFirstColumn="0" showLastColumn="0" showRowStripes="1" showColumnStripes="0"/>
</x:table>
</file>

<file path=xl/tables/table3.xml><?xml version="1.0" encoding="utf-8"?>
<x:table xmlns:x="http://schemas.openxmlformats.org/spreadsheetml/2006/main" id="1" name="TaskTrackerTable" displayName="TaskTrackerTable" ref="A4:U800" headerRowCount="1" totalsRowCount="0" totalsRowShown="0">
  <x:tableColumns count="21">
    <x:tableColumn id="1" name="Overall sequence"/>
    <x:tableColumn id="2" name="Phase/track"/>
    <x:tableColumn id="3" name="Story/gate ID"/>
    <x:tableColumn id="4" name="Exact story title"/>
    <x:tableColumn id="5" name="Task sequence within story"/>
    <x:tableColumn id="6" name="Task description"/>
    <x:tableColumn id="7" name="Outcome type"/>
    <x:tableColumn id="8" name="Roadmap classification"/>
    <x:tableColumn id="9" name="Task status"/>
    <x:tableColumn id="10" name="Remaining?"/>
    <x:tableColumn id="11" name="Dependency/predecessor"/>
    <x:tableColumn id="12" name="Completion evidence"/>
    <x:tableColumn id="13" name="Evidence type"/>
    <x:tableColumn id="14" name="Evidence source and locator"/>
    <x:tableColumn id="15" name="Verification date"/>
    <x:tableColumn id="16" name="Acceptance/test references"/>
    <x:tableColumn id="17" name="Blocker or external dependency"/>
    <x:tableColumn id="18" name="Next action"/>
    <x:tableColumn id="19" name="Owner"/>
    <x:tableColumn id="20" name="Target date"/>
    <x:tableColumn id="21" name="Notes/limitations"/>
  </x:tableColumns>
  <x:tableStyleInfo name="TableStyleMedium2" showFirstColumn="0" showLastColumn="0" showRowStripes="1" showColumnStripes="0"/>
</x:table>
</file>

<file path=xl/tables/table4.xml><?xml version="1.0" encoding="utf-8"?>
<x:table xmlns:x="http://schemas.openxmlformats.org/spreadsheetml/2006/main" id="4" name="SourcesMethodTable" displayName="SourcesMethodTable" ref="A4:D36" headerRowCount="1" totalsRowCount="0" totalsRowShown="0">
  <x:tableColumns count="4">
    <x:tableColumn id="1" name="Source / rule"/>
    <x:tableColumn id="2" name="Purpose"/>
    <x:tableColumn id="3" name="Inspected"/>
    <x:tableColumn id="4" name="Finding / metho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19ca2c6fada4dfb" /></Relationships>
</file>

<file path=xl/worksheets/_rels/sheet2.xml.rels>&#65279;<?xml version="1.0" encoding="utf-8"?><Relationships xmlns="http://schemas.openxmlformats.org/package/2006/relationships"><Relationship Type="http://schemas.openxmlformats.org/officeDocument/2006/relationships/table" Target="/xl/tables/table2.xml" Id="Rcbe2144f1cb449cb" /></Relationships>
</file>

<file path=xl/worksheets/_rels/sheet3.xml.rels>&#65279;<?xml version="1.0" encoding="utf-8"?><Relationships xmlns="http://schemas.openxmlformats.org/package/2006/relationships"><Relationship Type="http://schemas.openxmlformats.org/officeDocument/2006/relationships/table" Target="/xl/tables/table3.xml" Id="Rd8ca4cdf1351460b" /></Relationships>
</file>

<file path=xl/worksheets/_rels/sheet4.xml.rels>&#65279;<?xml version="1.0" encoding="utf-8"?><Relationships xmlns="http://schemas.openxmlformats.org/package/2006/relationships"><Relationship Type="http://schemas.openxmlformats.org/officeDocument/2006/relationships/table" Target="/xl/tables/table4.xml" Id="Rd69e77943c714e6d" /></Relationships>
</file>

<file path=xl/worksheets/sheet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1" hidden="0" customWidth="1"/>
    <x:col min="2" max="2" width="50" hidden="0" customWidth="1"/>
    <x:col min="3" max="3" width="58" hidden="0" customWidth="1"/>
    <x:col min="4" max="4" width="18" hidden="0" customWidth="1"/>
    <x:col min="5" max="5" width="24" hidden="0" customWidth="1"/>
    <x:col min="6" max="6" width="14" hidden="0" customWidth="1"/>
    <x:col min="7" max="7" width="16" hidden="0" customWidth="1"/>
    <x:col min="8" max="8" width="20" hidden="0" customWidth="1"/>
    <x:col min="9" max="9" width="16" hidden="0" customWidth="1"/>
    <x:col min="10" max="10" width="52" hidden="0" customWidth="1"/>
    <x:col min="11" max="11" width="2" hidden="0" customWidth="1"/>
  </x:cols>
  <x:sheetData>
    <x:row r="1" ht="26" customHeight="1">
      <x:c r="A1" s="4" t="str">
        <x:v>FeDril MVP Roadmap Status &amp; Execution Plan</x:v>
      </x:c>
      <x:c r="B1" s="4"/>
      <x:c r="C1" s="4"/>
      <x:c r="D1" s="4"/>
      <x:c r="E1" s="4"/>
      <x:c r="F1" s="4"/>
      <x:c r="G1" s="4"/>
      <x:c r="H1" s="4"/>
      <x:c r="I1" s="4"/>
      <x:c r="J1" s="4"/>
      <x:c r="K1" s="4"/>
      <x:c r="L1" s="1"/>
      <x:c r="M1" s="1"/>
      <x:c r="N1" s="1"/>
      <x:c r="O1" s="1"/>
      <x:c r="P1" s="1"/>
      <x:c r="Q1" s="1"/>
      <x:c r="R1" s="1"/>
      <x:c r="S1" s="1"/>
      <x:c r="T1" s="1"/>
      <x:c r="U1" s="1"/>
      <x:c r="V1" s="1"/>
    </x:row>
    <x:row r="2" ht="34" customHeight="1">
      <x:c r="A2" s="7" t="str">
        <x:v>Evidence-backed workbook | Status reviewed as of 2026-09-07 | No-CUI / compliance management only</x:v>
      </x:c>
      <x:c r="B2" s="7"/>
      <x:c r="C2" s="7"/>
      <x:c r="D2" s="7"/>
      <x:c r="E2" s="7"/>
      <x:c r="F2" s="7"/>
      <x:c r="G2" s="7"/>
      <x:c r="H2" s="7"/>
      <x:c r="I2" s="7"/>
      <x:c r="J2" s="7"/>
      <x:c r="K2" s="7"/>
      <x:c r="L2" s="1"/>
      <x:c r="M2" s="1"/>
      <x:c r="N2" s="1"/>
      <x:c r="O2" s="1"/>
      <x:c r="P2" s="1"/>
      <x:c r="Q2" s="1"/>
      <x:c r="R2" s="1"/>
      <x:c r="S2" s="1"/>
      <x:c r="T2" s="1"/>
      <x:c r="U2" s="1"/>
      <x:c r="V2" s="1"/>
    </x:row>
    <x:row r="3">
      <x:c r="A3" s="1"/>
      <x:c r="B3" s="1"/>
      <x:c r="C3" s="1"/>
      <x:c r="D3" s="1"/>
      <x:c r="E3" s="1"/>
      <x:c r="F3" s="1"/>
      <x:c r="G3" s="1"/>
      <x:c r="H3" s="1"/>
      <x:c r="I3" s="1"/>
      <x:c r="J3" s="1"/>
      <x:c r="K3" s="1"/>
      <x:c r="L3" s="1"/>
      <x:c r="M3" s="1"/>
      <x:c r="N3" s="1"/>
      <x:c r="O3" s="1"/>
      <x:c r="P3" s="1"/>
      <x:c r="Q3" s="1"/>
      <x:c r="R3" s="1"/>
      <x:c r="S3" s="1"/>
      <x:c r="T3" s="1"/>
      <x:c r="U3" s="1"/>
      <x:c r="V3" s="1"/>
    </x:row>
    <x:row r="4">
      <x:c r="A4" s="9" t="str">
        <x:v>Headline</x:v>
      </x:c>
      <x:c r="B4" s="9" t="str">
        <x:v>Value</x:v>
      </x:c>
      <x:c r="C4" s="9" t="str"/>
      <x:c r="D4" s="9" t="str"/>
      <x:c r="E4" s="9" t="str">
        <x:v>Headline</x:v>
      </x:c>
      <x:c r="F4" s="9" t="str">
        <x:v>Value</x:v>
      </x:c>
      <x:c r="G4" s="9" t="str"/>
      <x:c r="H4" s="9" t="str"/>
      <x:c r="I4" s="1"/>
      <x:c r="J4" s="1"/>
      <x:c r="K4" s="1"/>
      <x:c r="L4" s="1"/>
      <x:c r="M4" s="1"/>
      <x:c r="N4" s="1"/>
      <x:c r="O4" s="1"/>
      <x:c r="P4" s="1"/>
      <x:c r="Q4" s="1"/>
      <x:c r="R4" s="1"/>
      <x:c r="S4" s="1"/>
      <x:c r="T4" s="1"/>
      <x:c r="U4" s="1"/>
      <x:c r="V4" s="1"/>
    </x:row>
    <x:row r="5">
      <x:c r="A5" s="25" t="str">
        <x:v>Plan items</x:v>
      </x:c>
      <x:c r="B5" s="26" t="n">
        <x:f>COUNTA('Execution Plan'!$D$5:$D$190)</x:f>
        <x:v>186</x:v>
      </x:c>
      <x:c r="C5" s="24"/>
      <x:c r="D5" s="24"/>
      <x:c r="E5" s="25" t="str">
        <x:v>Completed items</x:v>
      </x:c>
      <x:c r="F5" s="26" t="n">
        <x:f>COUNTIF('Execution Plan'!$H$5:$H$190,"Completed")</x:f>
        <x:v>145</x:v>
      </x:c>
      <x:c r="G5" s="24"/>
      <x:c r="H5" s="24"/>
      <x:c r="I5" s="1"/>
      <x:c r="J5" s="1"/>
      <x:c r="K5" s="1"/>
      <x:c r="L5" s="1"/>
      <x:c r="M5" s="1"/>
      <x:c r="N5" s="1"/>
      <x:c r="O5" s="1"/>
      <x:c r="P5" s="1"/>
      <x:c r="Q5" s="1"/>
      <x:c r="R5" s="1"/>
      <x:c r="S5" s="1"/>
      <x:c r="T5" s="1"/>
      <x:c r="U5" s="1"/>
      <x:c r="V5" s="1"/>
    </x:row>
    <x:row r="6">
      <x:c r="A6" s="25" t="str">
        <x:v>Canonical roadmap stories</x:v>
      </x:c>
      <x:c r="B6" s="26" t="n">
        <x:v>147</x:v>
      </x:c>
      <x:c r="C6" s="24"/>
      <x:c r="D6" s="24"/>
      <x:c r="E6" s="25" t="str">
        <x:v>Partially completed</x:v>
      </x:c>
      <x:c r="F6" s="26" t="n">
        <x:f>COUNTIF('Execution Plan'!$H$5:$H$190,"Partially Completed")</x:f>
        <x:v>3</x:v>
      </x:c>
      <x:c r="G6" s="24"/>
      <x:c r="H6" s="24"/>
      <x:c r="I6" s="1"/>
      <x:c r="J6" s="1"/>
      <x:c r="K6" s="1"/>
      <x:c r="L6" s="1"/>
      <x:c r="M6" s="1"/>
      <x:c r="N6" s="1"/>
      <x:c r="O6" s="1"/>
      <x:c r="P6" s="1"/>
      <x:c r="Q6" s="1"/>
      <x:c r="R6" s="1"/>
      <x:c r="S6" s="1"/>
      <x:c r="T6" s="1"/>
      <x:c r="U6" s="1"/>
      <x:c r="V6" s="1"/>
    </x:row>
    <x:row r="7">
      <x:c r="A7" s="25" t="str">
        <x:v>Production-readiness stories</x:v>
      </x:c>
      <x:c r="B7" s="26" t="n">
        <x:v>28</x:v>
      </x:c>
      <x:c r="C7" s="24"/>
      <x:c r="D7" s="24"/>
      <x:c r="E7" s="25" t="str">
        <x:v>Blocked</x:v>
      </x:c>
      <x:c r="F7" s="26" t="n">
        <x:f>COUNTIF('Execution Plan'!$H$5:$H$190,"Blocked")</x:f>
        <x:v>0</x:v>
      </x:c>
      <x:c r="G7" s="24"/>
      <x:c r="H7" s="24"/>
      <x:c r="I7" s="1"/>
      <x:c r="J7" s="1"/>
      <x:c r="K7" s="1"/>
      <x:c r="L7" s="1"/>
      <x:c r="M7" s="1"/>
      <x:c r="N7" s="1"/>
      <x:c r="O7" s="1"/>
      <x:c r="P7" s="1"/>
      <x:c r="Q7" s="1"/>
      <x:c r="R7" s="1"/>
      <x:c r="S7" s="1"/>
      <x:c r="T7" s="1"/>
      <x:c r="U7" s="1"/>
      <x:c r="V7" s="1"/>
    </x:row>
    <x:row r="8">
      <x:c r="A8" s="25" t="str">
        <x:v>FedRAMP gates</x:v>
      </x:c>
      <x:c r="B8" s="26" t="n">
        <x:v>11</x:v>
      </x:c>
      <x:c r="C8" s="24"/>
      <x:c r="D8" s="24"/>
      <x:c r="E8" s="25" t="str">
        <x:v>Not verified</x:v>
      </x:c>
      <x:c r="F8" s="26" t="n">
        <x:f>COUNTIF('Execution Plan'!$H$5:$H$190,"Not Verified")</x:f>
        <x:v>23</x:v>
      </x:c>
      <x:c r="G8" s="24"/>
      <x:c r="H8" s="24"/>
      <x:c r="I8" s="1"/>
      <x:c r="J8" s="1"/>
      <x:c r="K8" s="1"/>
      <x:c r="L8" s="1"/>
      <x:c r="M8" s="1"/>
      <x:c r="N8" s="1"/>
      <x:c r="O8" s="1"/>
      <x:c r="P8" s="1"/>
      <x:c r="Q8" s="1"/>
      <x:c r="R8" s="1"/>
      <x:c r="S8" s="1"/>
      <x:c r="T8" s="1"/>
      <x:c r="U8" s="1"/>
      <x:c r="V8" s="1"/>
    </x:row>
    <x:row r="9">
      <x:c r="A9" s="25" t="str">
        <x:v>Unique tasks</x:v>
      </x:c>
      <x:c r="B9" s="26" t="n">
        <x:f>COUNTA('Task Tracker'!$C$5:$C$800)</x:f>
        <x:v>796</x:v>
      </x:c>
      <x:c r="C9" s="24"/>
      <x:c r="D9" s="24"/>
      <x:c r="E9" s="25" t="str">
        <x:v>External/human gate</x:v>
      </x:c>
      <x:c r="F9" s="26" t="n">
        <x:f>COUNTIF('Execution Plan'!$H$5:$H$190,"External/Human Gate")</x:f>
        <x:v>15</x:v>
      </x:c>
      <x:c r="G9" s="24"/>
      <x:c r="H9" s="24"/>
      <x:c r="I9" s="1"/>
      <x:c r="J9" s="1"/>
      <x:c r="K9" s="1"/>
      <x:c r="L9" s="1"/>
      <x:c r="M9" s="1"/>
      <x:c r="N9" s="1"/>
      <x:c r="O9" s="1"/>
      <x:c r="P9" s="1"/>
      <x:c r="Q9" s="1"/>
      <x:c r="R9" s="1"/>
      <x:c r="S9" s="1"/>
      <x:c r="T9" s="1"/>
      <x:c r="U9" s="1"/>
      <x:c r="V9" s="1"/>
    </x:row>
    <x:row r="10">
      <x:c r="A10" s="25" t="str">
        <x:v>Remaining tasks</x:v>
      </x:c>
      <x:c r="B10" s="26" t="n">
        <x:f>COUNTIF('Task Tracker'!$J$5:$J$800,"Yes")</x:f>
        <x:v>141</x:v>
      </x:c>
      <x:c r="C10" s="24"/>
      <x:c r="D10" s="24"/>
      <x:c r="E10" s="25" t="str">
        <x:v>Not started</x:v>
      </x:c>
      <x:c r="F10" s="26" t="n">
        <x:f>COUNTIF('Execution Plan'!$H$5:$H$190,"Not Started")</x:f>
        <x:v>0</x:v>
      </x:c>
      <x:c r="G10" s="24"/>
      <x:c r="H10" s="24"/>
      <x:c r="I10" s="1"/>
      <x:c r="J10" s="1"/>
      <x:c r="K10" s="1"/>
      <x:c r="L10" s="1"/>
      <x:c r="M10" s="1"/>
      <x:c r="N10" s="1"/>
      <x:c r="O10" s="1"/>
      <x:c r="P10" s="1"/>
      <x:c r="Q10" s="1"/>
      <x:c r="R10" s="1"/>
      <x:c r="S10" s="1"/>
      <x:c r="T10" s="1"/>
      <x:c r="U10" s="1"/>
      <x:c r="V10" s="1"/>
    </x:row>
    <x:row r="11">
      <x:c r="A11" s="1"/>
      <x:c r="B11" s="1"/>
      <x:c r="C11" s="1"/>
      <x:c r="D11" s="1"/>
      <x:c r="E11" s="1"/>
      <x:c r="F11" s="1"/>
      <x:c r="G11" s="1"/>
      <x:c r="H11" s="1"/>
      <x:c r="I11" s="1"/>
      <x:c r="J11" s="1"/>
      <x:c r="K11" s="1"/>
      <x:c r="L11" s="1"/>
      <x:c r="M11" s="1"/>
      <x:c r="N11" s="1"/>
      <x:c r="O11" s="1"/>
      <x:c r="P11" s="1"/>
      <x:c r="Q11" s="1"/>
      <x:c r="R11" s="1"/>
      <x:c r="S11" s="1"/>
      <x:c r="T11" s="1"/>
      <x:c r="U11" s="1"/>
      <x:c r="V11" s="1"/>
    </x:row>
    <x:row r="12" ht="32" customHeight="1">
      <x:c r="A12" s="12" t="str">
        <x:v>Phase/track</x:v>
      </x:c>
      <x:c r="B12" s="12" t="str">
        <x:v>Total stories/gates</x:v>
      </x:c>
      <x:c r="C12" s="12" t="str">
        <x:v>Completed</x:v>
      </x:c>
      <x:c r="D12" s="12" t="str">
        <x:v>Partially completed</x:v>
      </x:c>
      <x:c r="E12" s="12" t="str">
        <x:v>Blocked</x:v>
      </x:c>
      <x:c r="F12" s="12" t="str">
        <x:v>Not started</x:v>
      </x:c>
      <x:c r="G12" s="12" t="str">
        <x:v>Not verified</x:v>
      </x:c>
      <x:c r="H12" s="12" t="str">
        <x:v>External/human gate</x:v>
      </x:c>
      <x:c r="I12" s="12" t="str">
        <x:v>Remaining tasks</x:v>
      </x:c>
      <x:c r="J12" s="12" t="str">
        <x:v>Next executable story or gate</x:v>
      </x:c>
      <x:c r="K12" s="1"/>
      <x:c r="L12" s="1"/>
      <x:c r="M12" s="1"/>
      <x:c r="N12" s="1"/>
      <x:c r="O12" s="1"/>
      <x:c r="P12" s="1"/>
      <x:c r="Q12" s="1"/>
      <x:c r="R12" s="1"/>
      <x:c r="S12" s="1"/>
      <x:c r="T12" s="1"/>
      <x:c r="U12" s="1"/>
      <x:c r="V12" s="1"/>
    </x:row>
    <x:row r="13">
      <x:c r="A13" s="1" t="str">
        <x:v>Phase 0</x:v>
      </x:c>
      <x:c r="B13" s="1" t="n">
        <x:f>COUNTIF('Execution Plan'!$B$5:$B$190,A13)</x:f>
        <x:v>8</x:v>
      </x:c>
      <x:c r="C13" s="1" t="n">
        <x:f>COUNTIFS('Execution Plan'!$B$5:$B$190,A13,'Execution Plan'!$H$5:$H$190,"Completed")</x:f>
        <x:v>0</x:v>
      </x:c>
      <x:c r="D13" s="1" t="n">
        <x:f>COUNTIFS('Execution Plan'!$B$5:$B$190,A13,'Execution Plan'!$H$5:$H$190,"Partially Completed")</x:f>
        <x:v>0</x:v>
      </x:c>
      <x:c r="E13" s="1" t="n">
        <x:f>COUNTIFS('Execution Plan'!$B$5:$B$190,A13,'Execution Plan'!$H$5:$H$190,"Blocked")</x:f>
        <x:v>0</x:v>
      </x:c>
      <x:c r="F13" s="1" t="n">
        <x:f>COUNTIFS('Execution Plan'!$B$5:$B$190,A13,'Execution Plan'!$H$5:$H$190,"Not Started")</x:f>
        <x:v>0</x:v>
      </x:c>
      <x:c r="G13" s="1" t="n">
        <x:f>COUNTIFS('Execution Plan'!$B$5:$B$190,A13,'Execution Plan'!$H$5:$H$190,"Not Verified")</x:f>
        <x:v>0</x:v>
      </x:c>
      <x:c r="H13" s="1" t="n">
        <x:f>COUNTIFS('Execution Plan'!$B$5:$B$190,A13,'Execution Plan'!$H$5:$H$190,"External/Human Gate")</x:f>
        <x:v>8</x:v>
      </x:c>
      <x:c r="I13" s="1" t="n">
        <x:f>SUMIFS('Execution Plan'!$K$5:$K$190,'Execution Plan'!$B$5:$B$190,A13)</x:f>
        <x:v>24</x:v>
      </x:c>
      <x:c r="J13" s="1" t="str">
        <x:v>0.1: Persona Map</x:v>
      </x:c>
      <x:c r="K13" s="1"/>
      <x:c r="L13" s="1"/>
      <x:c r="M13" s="1"/>
      <x:c r="N13" s="1"/>
      <x:c r="O13" s="1"/>
      <x:c r="P13" s="1"/>
      <x:c r="Q13" s="1"/>
      <x:c r="R13" s="1"/>
      <x:c r="S13" s="1"/>
      <x:c r="T13" s="1"/>
      <x:c r="U13" s="1"/>
      <x:c r="V13" s="1"/>
    </x:row>
    <x:row r="14">
      <x:c r="A14" s="1" t="str">
        <x:v>Phase 1</x:v>
      </x:c>
      <x:c r="B14" s="1" t="n">
        <x:f>COUNTIF('Execution Plan'!$B$5:$B$190,A14)</x:f>
        <x:v>53</x:v>
      </x:c>
      <x:c r="C14" s="1" t="n">
        <x:f>COUNTIFS('Execution Plan'!$B$5:$B$190,A14,'Execution Plan'!$H$5:$H$190,"Completed")</x:f>
        <x:v>52</x:v>
      </x:c>
      <x:c r="D14" s="1" t="n">
        <x:f>COUNTIFS('Execution Plan'!$B$5:$B$190,A14,'Execution Plan'!$H$5:$H$190,"Partially Completed")</x:f>
        <x:v>0</x:v>
      </x:c>
      <x:c r="E14" s="1" t="n">
        <x:f>COUNTIFS('Execution Plan'!$B$5:$B$190,A14,'Execution Plan'!$H$5:$H$190,"Blocked")</x:f>
        <x:v>0</x:v>
      </x:c>
      <x:c r="F14" s="1" t="n">
        <x:f>COUNTIFS('Execution Plan'!$B$5:$B$190,A14,'Execution Plan'!$H$5:$H$190,"Not Started")</x:f>
        <x:v>0</x:v>
      </x:c>
      <x:c r="G14" s="1" t="n">
        <x:f>COUNTIFS('Execution Plan'!$B$5:$B$190,A14,'Execution Plan'!$H$5:$H$190,"Not Verified")</x:f>
        <x:v>1</x:v>
      </x:c>
      <x:c r="H14" s="1" t="n">
        <x:f>COUNTIFS('Execution Plan'!$B$5:$B$190,A14,'Execution Plan'!$H$5:$H$190,"External/Human Gate")</x:f>
        <x:v>0</x:v>
      </x:c>
      <x:c r="I14" s="1" t="n">
        <x:f>SUMIFS('Execution Plan'!$K$5:$K$190,'Execution Plan'!$B$5:$B$190,A14)</x:f>
        <x:v>4</x:v>
      </x:c>
      <x:c r="J14" s="1" t="str">
        <x:v>3.1: Protected API Access</x:v>
      </x:c>
      <x:c r="K14" s="1"/>
      <x:c r="L14" s="1"/>
      <x:c r="M14" s="1"/>
      <x:c r="N14" s="1"/>
      <x:c r="O14" s="1"/>
      <x:c r="P14" s="1"/>
      <x:c r="Q14" s="1"/>
      <x:c r="R14" s="1"/>
      <x:c r="S14" s="1"/>
      <x:c r="T14" s="1"/>
      <x:c r="U14" s="1"/>
      <x:c r="V14" s="1"/>
    </x:row>
    <x:row r="15">
      <x:c r="A15" s="1" t="str">
        <x:v>Phase 1A</x:v>
      </x:c>
      <x:c r="B15" s="1" t="n">
        <x:f>COUNTIF('Execution Plan'!$B$5:$B$190,A15)</x:f>
        <x:v>19</x:v>
      </x:c>
      <x:c r="C15" s="1" t="n">
        <x:f>COUNTIFS('Execution Plan'!$B$5:$B$190,A15,'Execution Plan'!$H$5:$H$190,"Completed")</x:f>
        <x:v>1</x:v>
      </x:c>
      <x:c r="D15" s="1" t="n">
        <x:f>COUNTIFS('Execution Plan'!$B$5:$B$190,A15,'Execution Plan'!$H$5:$H$190,"Partially Completed")</x:f>
        <x:v>0</x:v>
      </x:c>
      <x:c r="E15" s="1" t="n">
        <x:f>COUNTIFS('Execution Plan'!$B$5:$B$190,A15,'Execution Plan'!$H$5:$H$190,"Blocked")</x:f>
        <x:v>0</x:v>
      </x:c>
      <x:c r="F15" s="1" t="n">
        <x:f>COUNTIFS('Execution Plan'!$B$5:$B$190,A15,'Execution Plan'!$H$5:$H$190,"Not Started")</x:f>
        <x:v>0</x:v>
      </x:c>
      <x:c r="G15" s="1" t="n">
        <x:f>COUNTIFS('Execution Plan'!$B$5:$B$190,A15,'Execution Plan'!$H$5:$H$190,"Not Verified")</x:f>
        <x:v>18</x:v>
      </x:c>
      <x:c r="H15" s="1" t="n">
        <x:f>COUNTIFS('Execution Plan'!$B$5:$B$190,A15,'Execution Plan'!$H$5:$H$190,"External/Human Gate")</x:f>
        <x:v>0</x:v>
      </x:c>
      <x:c r="I15" s="1" t="n">
        <x:f>SUMIFS('Execution Plan'!$K$5:$K$190,'Execution Plan'!$B$5:$B$190,A15)</x:f>
        <x:v>90</x:v>
      </x:c>
      <x:c r="J15" s="1" t="str">
        <x:v>1A.1.2: Mode-Based Workflow Enforcement</x:v>
      </x:c>
      <x:c r="K15" s="1"/>
      <x:c r="L15" s="1"/>
      <x:c r="M15" s="1"/>
      <x:c r="N15" s="1"/>
      <x:c r="O15" s="1"/>
      <x:c r="P15" s="1"/>
      <x:c r="Q15" s="1"/>
      <x:c r="R15" s="1"/>
      <x:c r="S15" s="1"/>
      <x:c r="T15" s="1"/>
      <x:c r="U15" s="1"/>
      <x:c r="V15" s="1"/>
    </x:row>
    <x:row r="16">
      <x:c r="A16" s="1" t="str">
        <x:v>Production Readiness</x:v>
      </x:c>
      <x:c r="B16" s="1" t="n">
        <x:f>COUNTIF('Execution Plan'!$B$5:$B$190,A16)</x:f>
        <x:v>28</x:v>
      </x:c>
      <x:c r="C16" s="1" t="n">
        <x:f>COUNTIFS('Execution Plan'!$B$5:$B$190,A16,'Execution Plan'!$H$5:$H$190,"Completed")</x:f>
        <x:v>28</x:v>
      </x:c>
      <x:c r="D16" s="1" t="n">
        <x:f>COUNTIFS('Execution Plan'!$B$5:$B$190,A16,'Execution Plan'!$H$5:$H$190,"Partially Completed")</x:f>
        <x:v>0</x:v>
      </x:c>
      <x:c r="E16" s="1" t="n">
        <x:f>COUNTIFS('Execution Plan'!$B$5:$B$190,A16,'Execution Plan'!$H$5:$H$190,"Blocked")</x:f>
        <x:v>0</x:v>
      </x:c>
      <x:c r="F16" s="1" t="n">
        <x:f>COUNTIFS('Execution Plan'!$B$5:$B$190,A16,'Execution Plan'!$H$5:$H$190,"Not Started")</x:f>
        <x:v>0</x:v>
      </x:c>
      <x:c r="G16" s="1" t="n">
        <x:f>COUNTIFS('Execution Plan'!$B$5:$B$190,A16,'Execution Plan'!$H$5:$H$190,"Not Verified")</x:f>
        <x:v>0</x:v>
      </x:c>
      <x:c r="H16" s="1" t="n">
        <x:f>COUNTIFS('Execution Plan'!$B$5:$B$190,A16,'Execution Plan'!$H$5:$H$190,"External/Human Gate")</x:f>
        <x:v>0</x:v>
      </x:c>
      <x:c r="I16" s="1" t="n">
        <x:f>SUMIFS('Execution Plan'!$K$5:$K$190,'Execution Plan'!$B$5:$B$190,A16)</x:f>
        <x:v>0</x:v>
      </x:c>
      <x:c r="J16" s="1" t="str">
        <x:v>None — track complete for documented scope</x:v>
      </x:c>
      <x:c r="K16" s="1"/>
      <x:c r="L16" s="1"/>
      <x:c r="M16" s="1"/>
      <x:c r="N16" s="1"/>
      <x:c r="O16" s="1"/>
      <x:c r="P16" s="1"/>
      <x:c r="Q16" s="1"/>
      <x:c r="R16" s="1"/>
      <x:c r="S16" s="1"/>
      <x:c r="T16" s="1"/>
      <x:c r="U16" s="1"/>
      <x:c r="V16" s="1"/>
    </x:row>
    <x:row r="17">
      <x:c r="A17" s="1" t="str">
        <x:v>Phase 2</x:v>
      </x:c>
      <x:c r="B17" s="1" t="n">
        <x:f>COUNTIF('Execution Plan'!$B$5:$B$190,A17)</x:f>
        <x:v>34</x:v>
      </x:c>
      <x:c r="C17" s="1" t="n">
        <x:f>COUNTIFS('Execution Plan'!$B$5:$B$190,A17,'Execution Plan'!$H$5:$H$190,"Completed")</x:f>
        <x:v>34</x:v>
      </x:c>
      <x:c r="D17" s="1" t="n">
        <x:f>COUNTIFS('Execution Plan'!$B$5:$B$190,A17,'Execution Plan'!$H$5:$H$190,"Partially Completed")</x:f>
        <x:v>0</x:v>
      </x:c>
      <x:c r="E17" s="1" t="n">
        <x:f>COUNTIFS('Execution Plan'!$B$5:$B$190,A17,'Execution Plan'!$H$5:$H$190,"Blocked")</x:f>
        <x:v>0</x:v>
      </x:c>
      <x:c r="F17" s="1" t="n">
        <x:f>COUNTIFS('Execution Plan'!$B$5:$B$190,A17,'Execution Plan'!$H$5:$H$190,"Not Started")</x:f>
        <x:v>0</x:v>
      </x:c>
      <x:c r="G17" s="1" t="n">
        <x:f>COUNTIFS('Execution Plan'!$B$5:$B$190,A17,'Execution Plan'!$H$5:$H$190,"Not Verified")</x:f>
        <x:v>0</x:v>
      </x:c>
      <x:c r="H17" s="1" t="n">
        <x:f>COUNTIFS('Execution Plan'!$B$5:$B$190,A17,'Execution Plan'!$H$5:$H$190,"External/Human Gate")</x:f>
        <x:v>0</x:v>
      </x:c>
      <x:c r="I17" s="1" t="n">
        <x:f>SUMIFS('Execution Plan'!$K$5:$K$190,'Execution Plan'!$B$5:$B$190,A17)</x:f>
        <x:v>0</x:v>
      </x:c>
      <x:c r="J17" s="1" t="str">
        <x:v>None — track complete for documented scope</x:v>
      </x:c>
      <x:c r="K17" s="1"/>
      <x:c r="L17" s="1"/>
      <x:c r="M17" s="1"/>
      <x:c r="N17" s="1"/>
      <x:c r="O17" s="1"/>
      <x:c r="P17" s="1"/>
      <x:c r="Q17" s="1"/>
      <x:c r="R17" s="1"/>
      <x:c r="S17" s="1"/>
      <x:c r="T17" s="1"/>
      <x:c r="U17" s="1"/>
      <x:c r="V17" s="1"/>
    </x:row>
    <x:row r="18">
      <x:c r="A18" s="1" t="str">
        <x:v>Phase 3</x:v>
      </x:c>
      <x:c r="B18" s="1" t="n">
        <x:f>COUNTIF('Execution Plan'!$B$5:$B$190,A18)</x:f>
        <x:v>18</x:v>
      </x:c>
      <x:c r="C18" s="1" t="n">
        <x:f>COUNTIFS('Execution Plan'!$B$5:$B$190,A18,'Execution Plan'!$H$5:$H$190,"Completed")</x:f>
        <x:v>18</x:v>
      </x:c>
      <x:c r="D18" s="1" t="n">
        <x:f>COUNTIFS('Execution Plan'!$B$5:$B$190,A18,'Execution Plan'!$H$5:$H$190,"Partially Completed")</x:f>
        <x:v>0</x:v>
      </x:c>
      <x:c r="E18" s="1" t="n">
        <x:f>COUNTIFS('Execution Plan'!$B$5:$B$190,A18,'Execution Plan'!$H$5:$H$190,"Blocked")</x:f>
        <x:v>0</x:v>
      </x:c>
      <x:c r="F18" s="1" t="n">
        <x:f>COUNTIFS('Execution Plan'!$B$5:$B$190,A18,'Execution Plan'!$H$5:$H$190,"Not Started")</x:f>
        <x:v>0</x:v>
      </x:c>
      <x:c r="G18" s="1" t="n">
        <x:f>COUNTIFS('Execution Plan'!$B$5:$B$190,A18,'Execution Plan'!$H$5:$H$190,"Not Verified")</x:f>
        <x:v>0</x:v>
      </x:c>
      <x:c r="H18" s="1" t="n">
        <x:f>COUNTIFS('Execution Plan'!$B$5:$B$190,A18,'Execution Plan'!$H$5:$H$190,"External/Human Gate")</x:f>
        <x:v>0</x:v>
      </x:c>
      <x:c r="I18" s="1" t="n">
        <x:f>SUMIFS('Execution Plan'!$K$5:$K$190,'Execution Plan'!$B$5:$B$190,A18)</x:f>
        <x:v>0</x:v>
      </x:c>
      <x:c r="J18" s="1" t="str">
        <x:v>None — track complete for documented scope</x:v>
      </x:c>
      <x:c r="K18" s="1"/>
      <x:c r="L18" s="1"/>
      <x:c r="M18" s="1"/>
      <x:c r="N18" s="1"/>
      <x:c r="O18" s="1"/>
      <x:c r="P18" s="1"/>
      <x:c r="Q18" s="1"/>
      <x:c r="R18" s="1"/>
      <x:c r="S18" s="1"/>
      <x:c r="T18" s="1"/>
      <x:c r="U18" s="1"/>
      <x:c r="V18" s="1"/>
    </x:row>
    <x:row r="19">
      <x:c r="A19" s="1" t="str">
        <x:v>Phase 4</x:v>
      </x:c>
      <x:c r="B19" s="1" t="n">
        <x:f>COUNTIF('Execution Plan'!$B$5:$B$190,A19)</x:f>
        <x:v>15</x:v>
      </x:c>
      <x:c r="C19" s="1" t="n">
        <x:f>COUNTIFS('Execution Plan'!$B$5:$B$190,A19,'Execution Plan'!$H$5:$H$190,"Completed")</x:f>
        <x:v>12</x:v>
      </x:c>
      <x:c r="D19" s="1" t="n">
        <x:f>COUNTIFS('Execution Plan'!$B$5:$B$190,A19,'Execution Plan'!$H$5:$H$190,"Partially Completed")</x:f>
        <x:v>0</x:v>
      </x:c>
      <x:c r="E19" s="1" t="n">
        <x:f>COUNTIFS('Execution Plan'!$B$5:$B$190,A19,'Execution Plan'!$H$5:$H$190,"Blocked")</x:f>
        <x:v>0</x:v>
      </x:c>
      <x:c r="F19" s="1" t="n">
        <x:f>COUNTIFS('Execution Plan'!$B$5:$B$190,A19,'Execution Plan'!$H$5:$H$190,"Not Started")</x:f>
        <x:v>0</x:v>
      </x:c>
      <x:c r="G19" s="1" t="n">
        <x:f>COUNTIFS('Execution Plan'!$B$5:$B$190,A19,'Execution Plan'!$H$5:$H$190,"Not Verified")</x:f>
        <x:v>0</x:v>
      </x:c>
      <x:c r="H19" s="1" t="n">
        <x:f>COUNTIFS('Execution Plan'!$B$5:$B$190,A19,'Execution Plan'!$H$5:$H$190,"External/Human Gate")</x:f>
        <x:v>3</x:v>
      </x:c>
      <x:c r="I19" s="1" t="n">
        <x:f>SUMIFS('Execution Plan'!$K$5:$K$190,'Execution Plan'!$B$5:$B$190,A19)</x:f>
        <x:v>12</x:v>
      </x:c>
      <x:c r="J19" s="1" t="str">
        <x:v>39.1: Define SOC 2 Scope And Readiness Decision</x:v>
      </x:c>
      <x:c r="K19" s="1"/>
      <x:c r="L19" s="1"/>
      <x:c r="M19" s="1"/>
      <x:c r="N19" s="1"/>
      <x:c r="O19" s="1"/>
      <x:c r="P19" s="1"/>
      <x:c r="Q19" s="1"/>
      <x:c r="R19" s="1"/>
      <x:c r="S19" s="1"/>
      <x:c r="T19" s="1"/>
      <x:c r="U19" s="1"/>
      <x:c r="V19" s="1"/>
    </x:row>
    <x:row r="20">
      <x:c r="A20" s="1" t="str">
        <x:v>FedRAMP</x:v>
      </x:c>
      <x:c r="B20" s="1" t="n">
        <x:f>COUNTIF('Execution Plan'!$B$5:$B$190,A20)</x:f>
        <x:v>11</x:v>
      </x:c>
      <x:c r="C20" s="1" t="n">
        <x:f>COUNTIFS('Execution Plan'!$B$5:$B$190,A20,'Execution Plan'!$H$5:$H$190,"Completed")</x:f>
        <x:v>0</x:v>
      </x:c>
      <x:c r="D20" s="1" t="n">
        <x:f>COUNTIFS('Execution Plan'!$B$5:$B$190,A20,'Execution Plan'!$H$5:$H$190,"Partially Completed")</x:f>
        <x:v>3</x:v>
      </x:c>
      <x:c r="E20" s="1" t="n">
        <x:f>COUNTIFS('Execution Plan'!$B$5:$B$190,A20,'Execution Plan'!$H$5:$H$190,"Blocked")</x:f>
        <x:v>0</x:v>
      </x:c>
      <x:c r="F20" s="1" t="n">
        <x:f>COUNTIFS('Execution Plan'!$B$5:$B$190,A20,'Execution Plan'!$H$5:$H$190,"Not Started")</x:f>
        <x:v>0</x:v>
      </x:c>
      <x:c r="G20" s="1" t="n">
        <x:f>COUNTIFS('Execution Plan'!$B$5:$B$190,A20,'Execution Plan'!$H$5:$H$190,"Not Verified")</x:f>
        <x:v>4</x:v>
      </x:c>
      <x:c r="H20" s="1" t="n">
        <x:f>COUNTIFS('Execution Plan'!$B$5:$B$190,A20,'Execution Plan'!$H$5:$H$190,"External/Human Gate")</x:f>
        <x:v>4</x:v>
      </x:c>
      <x:c r="I20" s="1" t="n">
        <x:f>SUMIFS('Execution Plan'!$K$5:$K$190,'Execution Plan'!$B$5:$B$190,A20)</x:f>
        <x:v>11</x:v>
      </x:c>
      <x:c r="J20" s="1" t="str">
        <x:v>FR-0: Maintain a documented FedRAMP decision record covering target customers, federal use case, expected information types, likely impact level or certification class, budget, owner, and activation-gate status</x:v>
      </x:c>
      <x:c r="K20" s="1"/>
      <x:c r="L20" s="1"/>
      <x:c r="M20" s="1"/>
      <x:c r="N20" s="1"/>
      <x:c r="O20" s="1"/>
      <x:c r="P20" s="1"/>
      <x:c r="Q20" s="1"/>
      <x:c r="R20" s="1"/>
      <x:c r="S20" s="1"/>
      <x:c r="T20" s="1"/>
      <x:c r="U20" s="1"/>
      <x:c r="V20" s="1"/>
    </x:row>
    <x:row r="21">
      <x:c r="A21" s="1"/>
      <x:c r="B21" s="1"/>
      <x:c r="C21" s="1"/>
      <x:c r="D21" s="1"/>
      <x:c r="E21" s="1"/>
      <x:c r="F21" s="1"/>
      <x:c r="G21" s="1"/>
      <x:c r="H21" s="1"/>
      <x:c r="I21" s="1"/>
      <x:c r="J21" s="1"/>
      <x:c r="K21" s="1"/>
      <x:c r="L21" s="1"/>
      <x:c r="M21" s="1"/>
      <x:c r="N21" s="1"/>
      <x:c r="O21" s="1"/>
      <x:c r="P21" s="1"/>
      <x:c r="Q21" s="1"/>
      <x:c r="R21" s="1"/>
      <x:c r="S21" s="1"/>
      <x:c r="T21" s="1"/>
      <x:c r="U21" s="1"/>
      <x:c r="V21" s="1"/>
    </x:row>
    <x:row r="22" ht="32" customHeight="1">
      <x:c r="A22" s="12" t="str">
        <x:v>Priority callout</x:v>
      </x:c>
      <x:c r="B22" s="12" t="str">
        <x:v>Current answer</x:v>
      </x:c>
      <x:c r="C22" s="1"/>
      <x:c r="D22" s="1"/>
      <x:c r="E22" s="1"/>
      <x:c r="F22" s="1"/>
      <x:c r="G22" s="1"/>
      <x:c r="H22" s="1"/>
      <x:c r="I22" s="1"/>
      <x:c r="J22" s="1"/>
      <x:c r="K22" s="1"/>
      <x:c r="L22" s="1"/>
      <x:c r="M22" s="1"/>
      <x:c r="N22" s="1"/>
      <x:c r="O22" s="1"/>
      <x:c r="P22" s="1"/>
      <x:c r="Q22" s="1"/>
      <x:c r="R22" s="1"/>
      <x:c r="S22" s="1"/>
      <x:c r="T22" s="1"/>
      <x:c r="U22" s="1"/>
      <x:c r="V22" s="1"/>
    </x:row>
    <x:row r="23" ht="42" customHeight="1">
      <x:c r="A23" s="29" t="str">
        <x:v>Earliest remaining software story</x:v>
      </x:c>
      <x:c r="B23" s="28" t="str">
        <x:v>3.1: Protected API Access — Not Verified</x:v>
      </x:c>
      <x:c r="C23" s="1"/>
      <x:c r="D23" s="1"/>
      <x:c r="E23" s="1"/>
      <x:c r="F23" s="1"/>
      <x:c r="G23" s="1"/>
      <x:c r="H23" s="1"/>
      <x:c r="I23" s="1"/>
      <x:c r="J23" s="1"/>
      <x:c r="K23" s="1"/>
      <x:c r="L23" s="1"/>
      <x:c r="M23" s="1"/>
      <x:c r="N23" s="1"/>
      <x:c r="O23" s="1"/>
      <x:c r="P23" s="1"/>
      <x:c r="Q23" s="1"/>
      <x:c r="R23" s="1"/>
      <x:c r="S23" s="1"/>
      <x:c r="T23" s="1"/>
      <x:c r="U23" s="1"/>
      <x:c r="V23" s="1"/>
    </x:row>
    <x:row r="24" ht="42" customHeight="1">
      <x:c r="A24" s="29" t="str">
        <x:v>Earliest remaining production-readiness story</x:v>
      </x:c>
      <x:c r="B24" s="28" t="str">
        <x:v>None — all PR stories have evidence for the solo-controlled No-CUI pilot scope</x:v>
      </x:c>
      <x:c r="C24" s="1"/>
      <x:c r="D24" s="1"/>
      <x:c r="E24" s="1"/>
      <x:c r="F24" s="1"/>
      <x:c r="G24" s="1"/>
      <x:c r="H24" s="1"/>
      <x:c r="I24" s="1"/>
      <x:c r="J24" s="1"/>
      <x:c r="K24" s="1"/>
      <x:c r="L24" s="1"/>
      <x:c r="M24" s="1"/>
      <x:c r="N24" s="1"/>
      <x:c r="O24" s="1"/>
      <x:c r="P24" s="1"/>
      <x:c r="Q24" s="1"/>
      <x:c r="R24" s="1"/>
      <x:c r="S24" s="1"/>
      <x:c r="T24" s="1"/>
      <x:c r="U24" s="1"/>
      <x:c r="V24" s="1"/>
    </x:row>
    <x:row r="25" ht="42" customHeight="1">
      <x:c r="A25" s="29" t="str">
        <x:v>Earliest remaining human/external gate</x:v>
      </x:c>
      <x:c r="B25" s="28" t="str">
        <x:v>0.1: Persona Map</x:v>
      </x:c>
      <x:c r="C25" s="1"/>
      <x:c r="D25" s="1"/>
      <x:c r="E25" s="1"/>
      <x:c r="F25" s="1"/>
      <x:c r="G25" s="1"/>
      <x:c r="H25" s="1"/>
      <x:c r="I25" s="1"/>
      <x:c r="J25" s="1"/>
      <x:c r="K25" s="1"/>
      <x:c r="L25" s="1"/>
      <x:c r="M25" s="1"/>
      <x:c r="N25" s="1"/>
      <x:c r="O25" s="1"/>
      <x:c r="P25" s="1"/>
      <x:c r="Q25" s="1"/>
      <x:c r="R25" s="1"/>
      <x:c r="S25" s="1"/>
      <x:c r="T25" s="1"/>
      <x:c r="U25" s="1"/>
      <x:c r="V25" s="1"/>
    </x:row>
    <x:row r="26" ht="42" customHeight="1">
      <x:c r="A26" s="29" t="str">
        <x:v>No-CUI posture</x:v>
      </x:c>
      <x:c r="B26" s="28" t="str">
        <x:v>FeDril remains No-CUI / compliance management only. Readiness work does not authorize real customer CUI.</x:v>
      </x:c>
      <x:c r="C26" s="1"/>
      <x:c r="D26" s="1"/>
      <x:c r="E26" s="1"/>
      <x:c r="F26" s="1"/>
      <x:c r="G26" s="1"/>
      <x:c r="H26" s="1"/>
      <x:c r="I26" s="1"/>
      <x:c r="J26" s="1"/>
      <x:c r="K26" s="1"/>
      <x:c r="L26" s="1"/>
      <x:c r="M26" s="1"/>
      <x:c r="N26" s="1"/>
      <x:c r="O26" s="1"/>
      <x:c r="P26" s="1"/>
      <x:c r="Q26" s="1"/>
      <x:c r="R26" s="1"/>
      <x:c r="S26" s="1"/>
      <x:c r="T26" s="1"/>
      <x:c r="U26" s="1"/>
      <x:c r="V26" s="1"/>
    </x:row>
    <x:row r="27" ht="42" customHeight="1">
      <x:c r="A27" s="29" t="str">
        <x:v>Unresolved status-evidence gap</x:v>
      </x:c>
      <x:c r="B27" s="28" t="str">
        <x:v>Story 3.1 and 18 Phase 1A stories are Not Verified; documentary Done markers are not treated as proof.</x:v>
      </x:c>
      <x:c r="C27" s="1"/>
      <x:c r="D27" s="1"/>
      <x:c r="E27" s="1"/>
      <x:c r="F27" s="1"/>
      <x:c r="G27" s="1"/>
      <x:c r="H27" s="1"/>
      <x:c r="I27" s="1"/>
      <x:c r="J27" s="1"/>
      <x:c r="K27" s="1"/>
      <x:c r="L27" s="1"/>
      <x:c r="M27" s="1"/>
      <x:c r="N27" s="1"/>
      <x:c r="O27" s="1"/>
      <x:c r="P27" s="1"/>
      <x:c r="Q27" s="1"/>
      <x:c r="R27" s="1"/>
      <x:c r="S27" s="1"/>
      <x:c r="T27" s="1"/>
      <x:c r="U27" s="1"/>
      <x:c r="V27" s="1"/>
    </x:row>
    <x:row r="28">
      <x:c r="A28" s="1"/>
      <x:c r="B28" s="1"/>
      <x:c r="C28" s="1"/>
      <x:c r="D28" s="1"/>
      <x:c r="E28" s="1"/>
      <x:c r="F28" s="1"/>
      <x:c r="G28" s="1"/>
      <x:c r="H28" s="1"/>
      <x:c r="I28" s="1"/>
      <x:c r="J28" s="1"/>
      <x:c r="K28" s="1"/>
      <x:c r="L28" s="1"/>
      <x:c r="M28" s="1"/>
      <x:c r="N28" s="1"/>
      <x:c r="O28" s="1"/>
      <x:c r="P28" s="1"/>
      <x:c r="Q28" s="1"/>
      <x:c r="R28" s="1"/>
      <x:c r="S28" s="1"/>
      <x:c r="T28" s="1"/>
      <x:c r="U28" s="1"/>
      <x:c r="V28" s="1"/>
    </x:row>
    <x:row r="29" ht="32" customHeight="1">
      <x:c r="A29" s="12" t="str">
        <x:v>Next 10</x:v>
      </x:c>
      <x:c r="B29" s="12" t="str">
        <x:v>ID</x:v>
      </x:c>
      <x:c r="C29" s="12" t="str">
        <x:v>Action</x:v>
      </x:c>
      <x:c r="D29" s="1"/>
      <x:c r="E29" s="1"/>
      <x:c r="F29" s="1"/>
      <x:c r="G29" s="1"/>
      <x:c r="H29" s="1"/>
      <x:c r="I29" s="1"/>
      <x:c r="J29" s="1"/>
      <x:c r="K29" s="1"/>
      <x:c r="L29" s="1"/>
      <x:c r="M29" s="1"/>
      <x:c r="N29" s="1"/>
      <x:c r="O29" s="1"/>
      <x:c r="P29" s="1"/>
      <x:c r="Q29" s="1"/>
      <x:c r="R29" s="1"/>
      <x:c r="S29" s="1"/>
      <x:c r="T29" s="1"/>
      <x:c r="U29" s="1"/>
      <x:c r="V29" s="1"/>
    </x:row>
    <x:row r="30" ht="56" customHeight="1">
      <x:c r="A30" s="28" t="n">
        <x:v>1</x:v>
      </x:c>
      <x:c r="B30" s="28" t="str">
        <x:v>0.1</x:v>
      </x:c>
      <x:c r="C30" s="28" t="str">
        <x:v>Execute the governed human-evidence review for Story 0.1; record artifact, reviewer, date, findings, and disposition.</x:v>
      </x:c>
      <x:c r="D30" s="1"/>
      <x:c r="E30" s="1"/>
      <x:c r="F30" s="1"/>
      <x:c r="G30" s="1"/>
      <x:c r="H30" s="1"/>
      <x:c r="I30" s="1"/>
      <x:c r="J30" s="1"/>
      <x:c r="K30" s="1"/>
      <x:c r="L30" s="1"/>
      <x:c r="M30" s="1"/>
      <x:c r="N30" s="1"/>
      <x:c r="O30" s="1"/>
      <x:c r="P30" s="1"/>
      <x:c r="Q30" s="1"/>
      <x:c r="R30" s="1"/>
      <x:c r="S30" s="1"/>
      <x:c r="T30" s="1"/>
      <x:c r="U30" s="1"/>
      <x:c r="V30" s="1"/>
    </x:row>
    <x:row r="31" ht="56" customHeight="1">
      <x:c r="A31" s="28" t="n">
        <x:v>2</x:v>
      </x:c>
      <x:c r="B31" s="28" t="str">
        <x:v>0.2</x:v>
      </x:c>
      <x:c r="C31" s="28" t="str">
        <x:v>Execute the governed human-evidence review for Story 0.2; record artifact, reviewer, date, findings, and disposition.</x:v>
      </x:c>
      <x:c r="D31" s="1"/>
      <x:c r="E31" s="1"/>
      <x:c r="F31" s="1"/>
      <x:c r="G31" s="1"/>
      <x:c r="H31" s="1"/>
      <x:c r="I31" s="1"/>
      <x:c r="J31" s="1"/>
      <x:c r="K31" s="1"/>
      <x:c r="L31" s="1"/>
      <x:c r="M31" s="1"/>
      <x:c r="N31" s="1"/>
      <x:c r="O31" s="1"/>
      <x:c r="P31" s="1"/>
      <x:c r="Q31" s="1"/>
      <x:c r="R31" s="1"/>
      <x:c r="S31" s="1"/>
      <x:c r="T31" s="1"/>
      <x:c r="U31" s="1"/>
      <x:c r="V31" s="1"/>
    </x:row>
    <x:row r="32" ht="56" customHeight="1">
      <x:c r="A32" s="28" t="n">
        <x:v>3</x:v>
      </x:c>
      <x:c r="B32" s="28" t="str">
        <x:v>0.3</x:v>
      </x:c>
      <x:c r="C32" s="28" t="str">
        <x:v>Execute the governed human-evidence review for Story 0.3; record artifact, reviewer, date, findings, and disposition.</x:v>
      </x:c>
      <x:c r="D32" s="1"/>
      <x:c r="E32" s="1"/>
      <x:c r="F32" s="1"/>
      <x:c r="G32" s="1"/>
      <x:c r="H32" s="1"/>
      <x:c r="I32" s="1"/>
      <x:c r="J32" s="1"/>
      <x:c r="K32" s="1"/>
      <x:c r="L32" s="1"/>
      <x:c r="M32" s="1"/>
      <x:c r="N32" s="1"/>
      <x:c r="O32" s="1"/>
      <x:c r="P32" s="1"/>
      <x:c r="Q32" s="1"/>
      <x:c r="R32" s="1"/>
      <x:c r="S32" s="1"/>
      <x:c r="T32" s="1"/>
      <x:c r="U32" s="1"/>
      <x:c r="V32" s="1"/>
    </x:row>
    <x:row r="33" ht="56" customHeight="1">
      <x:c r="A33" s="28" t="n">
        <x:v>4</x:v>
      </x:c>
      <x:c r="B33" s="28" t="str">
        <x:v>0.4</x:v>
      </x:c>
      <x:c r="C33" s="28" t="str">
        <x:v>Execute the governed human-evidence review for Story 0.4; record artifact, reviewer, date, findings, and disposition.</x:v>
      </x:c>
      <x:c r="D33" s="1"/>
      <x:c r="E33" s="1"/>
      <x:c r="F33" s="1"/>
      <x:c r="G33" s="1"/>
      <x:c r="H33" s="1"/>
      <x:c r="I33" s="1"/>
      <x:c r="J33" s="1"/>
      <x:c r="K33" s="1"/>
      <x:c r="L33" s="1"/>
      <x:c r="M33" s="1"/>
      <x:c r="N33" s="1"/>
      <x:c r="O33" s="1"/>
      <x:c r="P33" s="1"/>
      <x:c r="Q33" s="1"/>
      <x:c r="R33" s="1"/>
      <x:c r="S33" s="1"/>
      <x:c r="T33" s="1"/>
      <x:c r="U33" s="1"/>
      <x:c r="V33" s="1"/>
    </x:row>
    <x:row r="34" ht="56" customHeight="1">
      <x:c r="A34" s="28" t="n">
        <x:v>5</x:v>
      </x:c>
      <x:c r="B34" s="28" t="str">
        <x:v>0.5</x:v>
      </x:c>
      <x:c r="C34" s="28" t="str">
        <x:v>Execute the governed human-evidence review for Story 0.5; record artifact, reviewer, date, findings, and disposition.</x:v>
      </x:c>
      <x:c r="D34" s="1"/>
      <x:c r="E34" s="1"/>
      <x:c r="F34" s="1"/>
      <x:c r="G34" s="1"/>
      <x:c r="H34" s="1"/>
      <x:c r="I34" s="1"/>
      <x:c r="J34" s="1"/>
      <x:c r="K34" s="1"/>
      <x:c r="L34" s="1"/>
      <x:c r="M34" s="1"/>
      <x:c r="N34" s="1"/>
      <x:c r="O34" s="1"/>
      <x:c r="P34" s="1"/>
      <x:c r="Q34" s="1"/>
      <x:c r="R34" s="1"/>
      <x:c r="S34" s="1"/>
      <x:c r="T34" s="1"/>
      <x:c r="U34" s="1"/>
      <x:c r="V34" s="1"/>
    </x:row>
    <x:row r="35" ht="56" customHeight="1">
      <x:c r="A35" s="28" t="n">
        <x:v>6</x:v>
      </x:c>
      <x:c r="B35" s="28" t="str">
        <x:v>0.6</x:v>
      </x:c>
      <x:c r="C35" s="28" t="str">
        <x:v>Execute the governed human-evidence review for Story 0.6; record artifact, reviewer, date, findings, and disposition.</x:v>
      </x:c>
      <x:c r="D35" s="1"/>
      <x:c r="E35" s="1"/>
      <x:c r="F35" s="1"/>
      <x:c r="G35" s="1"/>
      <x:c r="H35" s="1"/>
      <x:c r="I35" s="1"/>
      <x:c r="J35" s="1"/>
      <x:c r="K35" s="1"/>
      <x:c r="L35" s="1"/>
      <x:c r="M35" s="1"/>
      <x:c r="N35" s="1"/>
      <x:c r="O35" s="1"/>
      <x:c r="P35" s="1"/>
      <x:c r="Q35" s="1"/>
      <x:c r="R35" s="1"/>
      <x:c r="S35" s="1"/>
      <x:c r="T35" s="1"/>
      <x:c r="U35" s="1"/>
      <x:c r="V35" s="1"/>
    </x:row>
    <x:row r="36" ht="56" customHeight="1">
      <x:c r="A36" s="28" t="n">
        <x:v>7</x:v>
      </x:c>
      <x:c r="B36" s="28" t="str">
        <x:v>0.7</x:v>
      </x:c>
      <x:c r="C36" s="28" t="str">
        <x:v>Execute the governed human-evidence review for Story 0.7; record artifact, reviewer, date, findings, and disposition.</x:v>
      </x:c>
      <x:c r="D36" s="1"/>
      <x:c r="E36" s="1"/>
      <x:c r="F36" s="1"/>
      <x:c r="G36" s="1"/>
      <x:c r="H36" s="1"/>
      <x:c r="I36" s="1"/>
      <x:c r="J36" s="1"/>
      <x:c r="K36" s="1"/>
      <x:c r="L36" s="1"/>
      <x:c r="M36" s="1"/>
      <x:c r="N36" s="1"/>
      <x:c r="O36" s="1"/>
      <x:c r="P36" s="1"/>
      <x:c r="Q36" s="1"/>
      <x:c r="R36" s="1"/>
      <x:c r="S36" s="1"/>
      <x:c r="T36" s="1"/>
      <x:c r="U36" s="1"/>
      <x:c r="V36" s="1"/>
    </x:row>
    <x:row r="37" ht="56" customHeight="1">
      <x:c r="A37" s="28" t="n">
        <x:v>8</x:v>
      </x:c>
      <x:c r="B37" s="28" t="str">
        <x:v>0.8</x:v>
      </x:c>
      <x:c r="C37" s="28" t="str">
        <x:v>Execute the governed human-evidence review for Story 0.8; record artifact, reviewer, date, findings, and disposition.</x:v>
      </x:c>
      <x:c r="D37" s="1"/>
      <x:c r="E37" s="1"/>
      <x:c r="F37" s="1"/>
      <x:c r="G37" s="1"/>
      <x:c r="H37" s="1"/>
      <x:c r="I37" s="1"/>
      <x:c r="J37" s="1"/>
      <x:c r="K37" s="1"/>
      <x:c r="L37" s="1"/>
      <x:c r="M37" s="1"/>
      <x:c r="N37" s="1"/>
      <x:c r="O37" s="1"/>
      <x:c r="P37" s="1"/>
      <x:c r="Q37" s="1"/>
      <x:c r="R37" s="1"/>
      <x:c r="S37" s="1"/>
      <x:c r="T37" s="1"/>
      <x:c r="U37" s="1"/>
      <x:c r="V37" s="1"/>
    </x:row>
    <x:row r="38" ht="56" customHeight="1">
      <x:c r="A38" s="28" t="n">
        <x:v>9</x:v>
      </x:c>
      <x:c r="B38" s="28" t="str">
        <x:v>3.1</x:v>
      </x:c>
      <x:c r="C38" s="28" t="str">
        <x:v>Run Story 3.1 smoke, automated, and regression prompts; attach passing results or fix gaps before changing status.</x:v>
      </x:c>
      <x:c r="D38" s="1"/>
      <x:c r="E38" s="1"/>
      <x:c r="F38" s="1"/>
      <x:c r="G38" s="1"/>
      <x:c r="H38" s="1"/>
      <x:c r="I38" s="1"/>
      <x:c r="J38" s="1"/>
      <x:c r="K38" s="1"/>
      <x:c r="L38" s="1"/>
      <x:c r="M38" s="1"/>
      <x:c r="N38" s="1"/>
      <x:c r="O38" s="1"/>
      <x:c r="P38" s="1"/>
      <x:c r="Q38" s="1"/>
      <x:c r="R38" s="1"/>
      <x:c r="S38" s="1"/>
      <x:c r="T38" s="1"/>
      <x:c r="U38" s="1"/>
      <x:c r="V38" s="1"/>
    </x:row>
    <x:row r="39" ht="56" customHeight="1">
      <x:c r="A39" s="28" t="n">
        <x:v>10</x:v>
      </x:c>
      <x:c r="B39" s="28" t="str">
        <x:v>1A.1.2</x:v>
      </x:c>
      <x:c r="C39" s="28" t="str">
        <x:v>Execute Story 1A.1.2 one-at-a-time through implementation, smoke, automated, regression, commit, and push workflow.</x:v>
      </x:c>
      <x:c r="D39" s="1"/>
      <x:c r="E39" s="1"/>
      <x:c r="F39" s="1"/>
      <x:c r="G39" s="1"/>
      <x:c r="H39" s="1"/>
      <x:c r="I39" s="1"/>
      <x:c r="J39" s="1"/>
      <x:c r="K39" s="1"/>
      <x:c r="L39" s="1"/>
      <x:c r="M39" s="1"/>
      <x:c r="N39" s="1"/>
      <x:c r="O39" s="1"/>
      <x:c r="P39" s="1"/>
      <x:c r="Q39" s="1"/>
      <x:c r="R39" s="1"/>
      <x:c r="S39" s="1"/>
      <x:c r="T39" s="1"/>
      <x:c r="U39" s="1"/>
      <x:c r="V39" s="1"/>
    </x:row>
    <x:row r="40">
      <x:c r="A40" s="1"/>
      <x:c r="B40" s="1"/>
      <x:c r="C40" s="1"/>
      <x:c r="D40" s="1"/>
      <x:c r="E40" s="1"/>
      <x:c r="F40" s="1"/>
      <x:c r="G40" s="1"/>
      <x:c r="H40" s="1"/>
      <x:c r="I40" s="1"/>
      <x:c r="J40" s="1"/>
      <x:c r="K40" s="1"/>
      <x:c r="L40" s="1"/>
      <x:c r="M40" s="1"/>
      <x:c r="N40" s="1"/>
      <x:c r="O40" s="1"/>
      <x:c r="P40" s="1"/>
      <x:c r="Q40" s="1"/>
      <x:c r="R40" s="1"/>
      <x:c r="S40" s="1"/>
      <x:c r="T40" s="1"/>
      <x:c r="U40" s="1"/>
      <x:c r="V40" s="1"/>
    </x:row>
    <x:row r="41">
      <x:c r="A41" s="1"/>
      <x:c r="B41" s="1"/>
      <x:c r="C41" s="1"/>
      <x:c r="D41" s="1"/>
      <x:c r="E41" s="1"/>
      <x:c r="F41" s="1"/>
      <x:c r="G41" s="1"/>
      <x:c r="H41" s="1"/>
      <x:c r="I41" s="1"/>
      <x:c r="J41" s="1"/>
      <x:c r="K41" s="1"/>
      <x:c r="L41" s="1"/>
      <x:c r="M41" s="1"/>
      <x:c r="N41" s="1"/>
      <x:c r="O41" s="1"/>
      <x:c r="P41" s="1"/>
      <x:c r="Q41" s="1"/>
      <x:c r="R41" s="1"/>
      <x:c r="S41" s="1"/>
      <x:c r="T41" s="1"/>
      <x:c r="U41" s="1"/>
      <x:c r="V41" s="1"/>
    </x:row>
    <x:row r="42">
      <x:c r="A42" s="1"/>
      <x:c r="B42" s="1"/>
      <x:c r="C42" s="1"/>
      <x:c r="D42" s="1"/>
      <x:c r="E42" s="1"/>
      <x:c r="F42" s="1"/>
      <x:c r="G42" s="1"/>
      <x:c r="H42" s="1"/>
      <x:c r="I42" s="1"/>
      <x:c r="J42" s="1"/>
      <x:c r="K42" s="1"/>
      <x:c r="L42" s="1"/>
      <x:c r="M42" s="1"/>
      <x:c r="N42" s="1"/>
      <x:c r="O42" s="1"/>
      <x:c r="P42" s="1"/>
      <x:c r="Q42" s="1"/>
      <x:c r="R42" s="1"/>
      <x:c r="S42" s="1"/>
      <x:c r="T42" s="1"/>
      <x:c r="U42" s="1"/>
      <x:c r="V42" s="1"/>
    </x:row>
    <x:row r="43">
      <x:c r="A43" s="1"/>
      <x:c r="B43" s="1"/>
      <x:c r="C43" s="1"/>
      <x:c r="D43" s="1"/>
      <x:c r="E43" s="1"/>
      <x:c r="F43" s="1"/>
      <x:c r="G43" s="1"/>
      <x:c r="H43" s="1"/>
      <x:c r="I43" s="1"/>
      <x:c r="J43" s="1"/>
      <x:c r="K43" s="1"/>
      <x:c r="L43" s="1"/>
      <x:c r="M43" s="1"/>
      <x:c r="N43" s="1"/>
      <x:c r="O43" s="1"/>
      <x:c r="P43" s="1"/>
      <x:c r="Q43" s="1"/>
      <x:c r="R43" s="1"/>
      <x:c r="S43" s="1"/>
      <x:c r="T43" s="1"/>
      <x:c r="U43" s="1"/>
      <x:c r="V43" s="1"/>
    </x:row>
    <x:row r="44">
      <x:c r="A44" s="1"/>
      <x:c r="B44" s="1"/>
      <x:c r="C44" s="1"/>
      <x:c r="D44" s="1"/>
      <x:c r="E44" s="1"/>
      <x:c r="F44" s="1"/>
      <x:c r="G44" s="1"/>
      <x:c r="H44" s="1"/>
      <x:c r="I44" s="1"/>
      <x:c r="J44" s="1"/>
      <x:c r="K44" s="1"/>
      <x:c r="L44" s="1"/>
      <x:c r="M44" s="1"/>
      <x:c r="N44" s="1"/>
      <x:c r="O44" s="1"/>
      <x:c r="P44" s="1"/>
      <x:c r="Q44" s="1"/>
      <x:c r="R44" s="1"/>
      <x:c r="S44" s="1"/>
      <x:c r="T44" s="1"/>
      <x:c r="U44" s="1"/>
      <x:c r="V44" s="1"/>
    </x:row>
    <x:row r="45">
      <x:c r="A45" s="1"/>
      <x:c r="B45" s="1"/>
      <x:c r="C45" s="1"/>
      <x:c r="D45" s="1"/>
      <x:c r="E45" s="1"/>
      <x:c r="F45" s="1"/>
      <x:c r="G45" s="1"/>
      <x:c r="H45" s="1"/>
      <x:c r="I45" s="1"/>
      <x:c r="J45" s="1"/>
      <x:c r="K45" s="1"/>
      <x:c r="L45" s="1"/>
      <x:c r="M45" s="1"/>
      <x:c r="N45" s="1"/>
      <x:c r="O45" s="1"/>
      <x:c r="P45" s="1"/>
      <x:c r="Q45" s="1"/>
      <x:c r="R45" s="1"/>
      <x:c r="S45" s="1"/>
      <x:c r="T45" s="1"/>
      <x:c r="U45" s="1"/>
      <x:c r="V45" s="1"/>
    </x:row>
    <x:row r="46">
      <x:c r="A46" s="1"/>
      <x:c r="B46" s="1"/>
      <x:c r="C46" s="1"/>
      <x:c r="D46" s="1"/>
      <x:c r="E46" s="1"/>
      <x:c r="F46" s="1"/>
      <x:c r="G46" s="1"/>
      <x:c r="H46" s="1"/>
      <x:c r="I46" s="1"/>
      <x:c r="J46" s="1"/>
      <x:c r="K46" s="1"/>
      <x:c r="L46" s="1"/>
      <x:c r="M46" s="1"/>
      <x:c r="N46" s="1"/>
      <x:c r="O46" s="1"/>
      <x:c r="P46" s="1"/>
      <x:c r="Q46" s="1"/>
      <x:c r="R46" s="1"/>
      <x:c r="S46" s="1"/>
      <x:c r="T46" s="1"/>
      <x:c r="U46" s="1"/>
      <x:c r="V46" s="1"/>
    </x:row>
    <x:row r="47">
      <x:c r="A47" s="1"/>
      <x:c r="B47" s="1"/>
      <x:c r="C47" s="1"/>
      <x:c r="D47" s="1"/>
      <x:c r="E47" s="1"/>
      <x:c r="F47" s="1"/>
      <x:c r="G47" s="1"/>
      <x:c r="H47" s="1"/>
      <x:c r="I47" s="1"/>
      <x:c r="J47" s="1"/>
      <x:c r="K47" s="1"/>
      <x:c r="L47" s="1"/>
      <x:c r="M47" s="1"/>
      <x:c r="N47" s="1"/>
      <x:c r="O47" s="1"/>
      <x:c r="P47" s="1"/>
      <x:c r="Q47" s="1"/>
      <x:c r="R47" s="1"/>
      <x:c r="S47" s="1"/>
      <x:c r="T47" s="1"/>
      <x:c r="U47" s="1"/>
      <x:c r="V47" s="1"/>
    </x:row>
    <x:row r="48">
      <x:c r="A48" s="1"/>
      <x:c r="B48" s="1"/>
      <x:c r="C48" s="1"/>
      <x:c r="D48" s="1"/>
      <x:c r="E48" s="1"/>
      <x:c r="F48" s="1"/>
      <x:c r="G48" s="1"/>
      <x:c r="H48" s="1"/>
      <x:c r="I48" s="1"/>
      <x:c r="J48" s="1"/>
      <x:c r="K48" s="1"/>
      <x:c r="L48" s="1"/>
      <x:c r="M48" s="1"/>
      <x:c r="N48" s="1"/>
      <x:c r="O48" s="1"/>
      <x:c r="P48" s="1"/>
      <x:c r="Q48" s="1"/>
      <x:c r="R48" s="1"/>
      <x:c r="S48" s="1"/>
      <x:c r="T48" s="1"/>
      <x:c r="U48" s="1"/>
      <x:c r="V48" s="1"/>
    </x:row>
    <x:row r="49">
      <x:c r="A49" s="1"/>
      <x:c r="B49" s="1"/>
      <x:c r="C49" s="1"/>
      <x:c r="D49" s="1"/>
      <x:c r="E49" s="1"/>
      <x:c r="F49" s="1"/>
      <x:c r="G49" s="1"/>
      <x:c r="H49" s="1"/>
      <x:c r="I49" s="1"/>
      <x:c r="J49" s="1"/>
      <x:c r="K49" s="1"/>
      <x:c r="L49" s="1"/>
      <x:c r="M49" s="1"/>
      <x:c r="N49" s="1"/>
      <x:c r="O49" s="1"/>
      <x:c r="P49" s="1"/>
      <x:c r="Q49" s="1"/>
      <x:c r="R49" s="1"/>
      <x:c r="S49" s="1"/>
      <x:c r="T49" s="1"/>
      <x:c r="U49" s="1"/>
      <x:c r="V49" s="1"/>
    </x:row>
    <x:row r="50">
      <x:c r="A50" s="1"/>
      <x:c r="B50" s="1"/>
      <x:c r="C50" s="1"/>
      <x:c r="D50" s="1"/>
      <x:c r="E50" s="1"/>
      <x:c r="F50" s="1"/>
      <x:c r="G50" s="1"/>
      <x:c r="H50" s="1"/>
      <x:c r="I50" s="1"/>
      <x:c r="J50" s="1"/>
      <x:c r="K50" s="1"/>
      <x:c r="L50" s="1"/>
      <x:c r="M50" s="1"/>
      <x:c r="N50" s="1"/>
      <x:c r="O50" s="1"/>
      <x:c r="P50" s="1"/>
      <x:c r="Q50" s="1"/>
      <x:c r="R50" s="1"/>
      <x:c r="S50" s="1"/>
      <x:c r="T50" s="1"/>
      <x:c r="U50" s="1"/>
      <x:c r="V50" s="1"/>
    </x:row>
    <x:row r="51">
      <x:c r="A51" s="1"/>
      <x:c r="B51" s="1"/>
      <x:c r="C51" s="1"/>
      <x:c r="D51" s="1"/>
      <x:c r="E51" s="1"/>
      <x:c r="F51" s="1"/>
      <x:c r="G51" s="1"/>
      <x:c r="H51" s="1"/>
      <x:c r="I51" s="1"/>
      <x:c r="J51" s="1"/>
      <x:c r="K51" s="1"/>
      <x:c r="L51" s="1"/>
      <x:c r="M51" s="1"/>
      <x:c r="N51" s="1"/>
      <x:c r="O51" s="1"/>
      <x:c r="P51" s="1"/>
      <x:c r="Q51" s="1"/>
      <x:c r="R51" s="1"/>
      <x:c r="S51" s="1"/>
      <x:c r="T51" s="1"/>
      <x:c r="U51" s="1"/>
      <x:c r="V51" s="1"/>
    </x:row>
    <x:row r="52">
      <x:c r="A52" s="1"/>
      <x:c r="B52" s="1"/>
      <x:c r="C52" s="1"/>
      <x:c r="D52" s="1"/>
      <x:c r="E52" s="1"/>
      <x:c r="F52" s="1"/>
      <x:c r="G52" s="1"/>
      <x:c r="H52" s="1"/>
      <x:c r="I52" s="1"/>
      <x:c r="J52" s="1"/>
      <x:c r="K52" s="1"/>
      <x:c r="L52" s="1"/>
      <x:c r="M52" s="1"/>
      <x:c r="N52" s="1"/>
      <x:c r="O52" s="1"/>
      <x:c r="P52" s="1"/>
      <x:c r="Q52" s="1"/>
      <x:c r="R52" s="1"/>
      <x:c r="S52" s="1"/>
      <x:c r="T52" s="1"/>
      <x:c r="U52" s="1"/>
      <x:c r="V52" s="1"/>
    </x:row>
    <x:row r="53">
      <x:c r="A53" s="1"/>
      <x:c r="B53" s="1"/>
      <x:c r="C53" s="1"/>
      <x:c r="D53" s="1"/>
      <x:c r="E53" s="1"/>
      <x:c r="F53" s="1"/>
      <x:c r="G53" s="1"/>
      <x:c r="H53" s="1"/>
      <x:c r="I53" s="1"/>
      <x:c r="J53" s="1"/>
      <x:c r="K53" s="1"/>
      <x:c r="L53" s="1"/>
      <x:c r="M53" s="1"/>
      <x:c r="N53" s="1"/>
      <x:c r="O53" s="1"/>
      <x:c r="P53" s="1"/>
      <x:c r="Q53" s="1"/>
      <x:c r="R53" s="1"/>
      <x:c r="S53" s="1"/>
      <x:c r="T53" s="1"/>
      <x:c r="U53" s="1"/>
      <x:c r="V53" s="1"/>
    </x:row>
    <x:row r="54">
      <x:c r="A54" s="1"/>
      <x:c r="B54" s="1"/>
      <x:c r="C54" s="1"/>
      <x:c r="D54" s="1"/>
      <x:c r="E54" s="1"/>
      <x:c r="F54" s="1"/>
      <x:c r="G54" s="1"/>
      <x:c r="H54" s="1"/>
      <x:c r="I54" s="1"/>
      <x:c r="J54" s="1"/>
      <x:c r="K54" s="1"/>
      <x:c r="L54" s="1"/>
      <x:c r="M54" s="1"/>
      <x:c r="N54" s="1"/>
      <x:c r="O54" s="1"/>
      <x:c r="P54" s="1"/>
      <x:c r="Q54" s="1"/>
      <x:c r="R54" s="1"/>
      <x:c r="S54" s="1"/>
      <x:c r="T54" s="1"/>
      <x:c r="U54" s="1"/>
      <x:c r="V54" s="1"/>
    </x:row>
    <x:row r="55">
      <x:c r="A55" s="1"/>
      <x:c r="B55" s="1"/>
      <x:c r="C55" s="1"/>
      <x:c r="D55" s="1"/>
      <x:c r="E55" s="1"/>
      <x:c r="F55" s="1"/>
      <x:c r="G55" s="1"/>
      <x:c r="H55" s="1"/>
      <x:c r="I55" s="1"/>
      <x:c r="J55" s="1"/>
      <x:c r="K55" s="1"/>
      <x:c r="L55" s="1"/>
      <x:c r="M55" s="1"/>
      <x:c r="N55" s="1"/>
      <x:c r="O55" s="1"/>
      <x:c r="P55" s="1"/>
      <x:c r="Q55" s="1"/>
      <x:c r="R55" s="1"/>
      <x:c r="S55" s="1"/>
      <x:c r="T55" s="1"/>
      <x:c r="U55" s="1"/>
      <x:c r="V55" s="1"/>
    </x:row>
    <x:row r="56">
      <x:c r="A56" s="1"/>
      <x:c r="B56" s="1"/>
      <x:c r="C56" s="1"/>
      <x:c r="D56" s="1"/>
      <x:c r="E56" s="1"/>
      <x:c r="F56" s="1"/>
      <x:c r="G56" s="1"/>
      <x:c r="H56" s="1"/>
      <x:c r="I56" s="1"/>
      <x:c r="J56" s="1"/>
      <x:c r="K56" s="1"/>
      <x:c r="L56" s="1"/>
      <x:c r="M56" s="1"/>
      <x:c r="N56" s="1"/>
      <x:c r="O56" s="1"/>
      <x:c r="P56" s="1"/>
      <x:c r="Q56" s="1"/>
      <x:c r="R56" s="1"/>
      <x:c r="S56" s="1"/>
      <x:c r="T56" s="1"/>
      <x:c r="U56" s="1"/>
      <x:c r="V56" s="1"/>
    </x:row>
    <x:row r="57">
      <x:c r="A57" s="1"/>
      <x:c r="B57" s="1"/>
      <x:c r="C57" s="1"/>
      <x:c r="D57" s="1"/>
      <x:c r="E57" s="1"/>
      <x:c r="F57" s="1"/>
      <x:c r="G57" s="1"/>
      <x:c r="H57" s="1"/>
      <x:c r="I57" s="1"/>
      <x:c r="J57" s="1"/>
      <x:c r="K57" s="1"/>
      <x:c r="L57" s="1"/>
      <x:c r="M57" s="1"/>
      <x:c r="N57" s="1"/>
      <x:c r="O57" s="1"/>
      <x:c r="P57" s="1"/>
      <x:c r="Q57" s="1"/>
      <x:c r="R57" s="1"/>
      <x:c r="S57" s="1"/>
      <x:c r="T57" s="1"/>
      <x:c r="U57" s="1"/>
      <x:c r="V57" s="1"/>
    </x:row>
    <x:row r="58">
      <x:c r="A58" s="1"/>
      <x:c r="B58" s="1"/>
      <x:c r="C58" s="1"/>
      <x:c r="D58" s="1"/>
      <x:c r="E58" s="1"/>
      <x:c r="F58" s="1"/>
      <x:c r="G58" s="1"/>
      <x:c r="H58" s="1"/>
      <x:c r="I58" s="1"/>
      <x:c r="J58" s="1"/>
      <x:c r="K58" s="1"/>
      <x:c r="L58" s="1"/>
      <x:c r="M58" s="1"/>
      <x:c r="N58" s="1"/>
      <x:c r="O58" s="1"/>
      <x:c r="P58" s="1"/>
      <x:c r="Q58" s="1"/>
      <x:c r="R58" s="1"/>
      <x:c r="S58" s="1"/>
      <x:c r="T58" s="1"/>
      <x:c r="U58" s="1"/>
      <x:c r="V58" s="1"/>
    </x:row>
    <x:row r="59">
      <x:c r="A59" s="1"/>
      <x:c r="B59" s="1"/>
      <x:c r="C59" s="1"/>
      <x:c r="D59" s="1"/>
      <x:c r="E59" s="1"/>
      <x:c r="F59" s="1"/>
      <x:c r="G59" s="1"/>
      <x:c r="H59" s="1"/>
      <x:c r="I59" s="1"/>
      <x:c r="J59" s="1"/>
      <x:c r="K59" s="1"/>
      <x:c r="L59" s="1"/>
      <x:c r="M59" s="1"/>
      <x:c r="N59" s="1"/>
      <x:c r="O59" s="1"/>
      <x:c r="P59" s="1"/>
      <x:c r="Q59" s="1"/>
      <x:c r="R59" s="1"/>
      <x:c r="S59" s="1"/>
      <x:c r="T59" s="1"/>
      <x:c r="U59" s="1"/>
      <x:c r="V59" s="1"/>
    </x:row>
    <x:row r="60">
      <x:c r="A60" s="1"/>
      <x:c r="B60" s="1"/>
      <x:c r="C60" s="1"/>
      <x:c r="D60" s="1"/>
      <x:c r="E60" s="1"/>
      <x:c r="F60" s="1"/>
      <x:c r="G60" s="1"/>
      <x:c r="H60" s="1"/>
      <x:c r="I60" s="1"/>
      <x:c r="J60" s="1"/>
      <x:c r="K60" s="1"/>
      <x:c r="L60" s="1"/>
      <x:c r="M60" s="1"/>
      <x:c r="N60" s="1"/>
      <x:c r="O60" s="1"/>
      <x:c r="P60" s="1"/>
      <x:c r="Q60" s="1"/>
      <x:c r="R60" s="1"/>
      <x:c r="S60" s="1"/>
      <x:c r="T60" s="1"/>
      <x:c r="U60" s="1"/>
      <x:c r="V60" s="1"/>
    </x:row>
    <x:row r="61">
      <x:c r="A61" s="1"/>
      <x:c r="B61" s="1"/>
      <x:c r="C61" s="1"/>
      <x:c r="D61" s="1"/>
      <x:c r="E61" s="1"/>
      <x:c r="F61" s="1"/>
      <x:c r="G61" s="1"/>
      <x:c r="H61" s="1"/>
      <x:c r="I61" s="1"/>
      <x:c r="J61" s="1"/>
      <x:c r="K61" s="1"/>
      <x:c r="L61" s="1"/>
      <x:c r="M61" s="1"/>
      <x:c r="N61" s="1"/>
      <x:c r="O61" s="1"/>
      <x:c r="P61" s="1"/>
      <x:c r="Q61" s="1"/>
      <x:c r="R61" s="1"/>
      <x:c r="S61" s="1"/>
      <x:c r="T61" s="1"/>
      <x:c r="U61" s="1"/>
      <x:c r="V61" s="1"/>
    </x:row>
    <x:row r="62">
      <x:c r="A62" s="1"/>
      <x:c r="B62" s="1"/>
      <x:c r="C62" s="1"/>
      <x:c r="D62" s="1"/>
      <x:c r="E62" s="1"/>
      <x:c r="F62" s="1"/>
      <x:c r="G62" s="1"/>
      <x:c r="H62" s="1"/>
      <x:c r="I62" s="1"/>
      <x:c r="J62" s="1"/>
      <x:c r="K62" s="1"/>
      <x:c r="L62" s="1"/>
      <x:c r="M62" s="1"/>
      <x:c r="N62" s="1"/>
      <x:c r="O62" s="1"/>
      <x:c r="P62" s="1"/>
      <x:c r="Q62" s="1"/>
      <x:c r="R62" s="1"/>
      <x:c r="S62" s="1"/>
      <x:c r="T62" s="1"/>
      <x:c r="U62" s="1"/>
      <x:c r="V62" s="1"/>
    </x:row>
    <x:row r="63">
      <x:c r="A63" s="1"/>
      <x:c r="B63" s="1"/>
      <x:c r="C63" s="1"/>
      <x:c r="D63" s="1"/>
      <x:c r="E63" s="1"/>
      <x:c r="F63" s="1"/>
      <x:c r="G63" s="1"/>
      <x:c r="H63" s="1"/>
      <x:c r="I63" s="1"/>
      <x:c r="J63" s="1"/>
      <x:c r="K63" s="1"/>
      <x:c r="L63" s="1"/>
      <x:c r="M63" s="1"/>
      <x:c r="N63" s="1"/>
      <x:c r="O63" s="1"/>
      <x:c r="P63" s="1"/>
      <x:c r="Q63" s="1"/>
      <x:c r="R63" s="1"/>
      <x:c r="S63" s="1"/>
      <x:c r="T63" s="1"/>
      <x:c r="U63" s="1"/>
      <x:c r="V63" s="1"/>
    </x:row>
    <x:row r="64">
      <x:c r="A64" s="1"/>
      <x:c r="B64" s="1"/>
      <x:c r="C64" s="1"/>
      <x:c r="D64" s="1"/>
      <x:c r="E64" s="1"/>
      <x:c r="F64" s="1"/>
      <x:c r="G64" s="1"/>
      <x:c r="H64" s="1"/>
      <x:c r="I64" s="1"/>
      <x:c r="J64" s="1"/>
      <x:c r="K64" s="1"/>
      <x:c r="L64" s="1"/>
      <x:c r="M64" s="1"/>
      <x:c r="N64" s="1"/>
      <x:c r="O64" s="1"/>
      <x:c r="P64" s="1"/>
      <x:c r="Q64" s="1"/>
      <x:c r="R64" s="1"/>
      <x:c r="S64" s="1"/>
      <x:c r="T64" s="1"/>
      <x:c r="U64" s="1"/>
      <x:c r="V64" s="1"/>
    </x:row>
    <x:row r="65">
      <x:c r="A65" s="1"/>
      <x:c r="B65" s="1"/>
      <x:c r="C65" s="1"/>
      <x:c r="D65" s="1"/>
      <x:c r="E65" s="1"/>
      <x:c r="F65" s="1"/>
      <x:c r="G65" s="1"/>
      <x:c r="H65" s="1"/>
      <x:c r="I65" s="1"/>
      <x:c r="J65" s="1"/>
      <x:c r="K65" s="1"/>
      <x:c r="L65" s="1"/>
      <x:c r="M65" s="1"/>
      <x:c r="N65" s="1"/>
      <x:c r="O65" s="1"/>
      <x:c r="P65" s="1"/>
      <x:c r="Q65" s="1"/>
      <x:c r="R65" s="1"/>
      <x:c r="S65" s="1"/>
      <x:c r="T65" s="1"/>
      <x:c r="U65" s="1"/>
      <x:c r="V65" s="1"/>
    </x:row>
    <x:row r="66">
      <x:c r="A66" s="1"/>
      <x:c r="B66" s="1"/>
      <x:c r="C66" s="1"/>
      <x:c r="D66" s="1"/>
      <x:c r="E66" s="1"/>
      <x:c r="F66" s="1"/>
      <x:c r="G66" s="1"/>
      <x:c r="H66" s="1"/>
      <x:c r="I66" s="1"/>
      <x:c r="J66" s="1"/>
      <x:c r="K66" s="1"/>
      <x:c r="L66" s="1"/>
      <x:c r="M66" s="1"/>
      <x:c r="N66" s="1"/>
      <x:c r="O66" s="1"/>
      <x:c r="P66" s="1"/>
      <x:c r="Q66" s="1"/>
      <x:c r="R66" s="1"/>
      <x:c r="S66" s="1"/>
      <x:c r="T66" s="1"/>
      <x:c r="U66" s="1"/>
      <x:c r="V66" s="1"/>
    </x:row>
    <x:row r="67">
      <x:c r="A67" s="1"/>
      <x:c r="B67" s="1"/>
      <x:c r="C67" s="1"/>
      <x:c r="D67" s="1"/>
      <x:c r="E67" s="1"/>
      <x:c r="F67" s="1"/>
      <x:c r="G67" s="1"/>
      <x:c r="H67" s="1"/>
      <x:c r="I67" s="1"/>
      <x:c r="J67" s="1"/>
      <x:c r="K67" s="1"/>
      <x:c r="L67" s="1"/>
      <x:c r="M67" s="1"/>
      <x:c r="N67" s="1"/>
      <x:c r="O67" s="1"/>
      <x:c r="P67" s="1"/>
      <x:c r="Q67" s="1"/>
      <x:c r="R67" s="1"/>
      <x:c r="S67" s="1"/>
      <x:c r="T67" s="1"/>
      <x:c r="U67" s="1"/>
      <x:c r="V67" s="1"/>
    </x:row>
    <x:row r="68">
      <x:c r="A68" s="1"/>
      <x:c r="B68" s="1"/>
      <x:c r="C68" s="1"/>
      <x:c r="D68" s="1"/>
      <x:c r="E68" s="1"/>
      <x:c r="F68" s="1"/>
      <x:c r="G68" s="1"/>
      <x:c r="H68" s="1"/>
      <x:c r="I68" s="1"/>
      <x:c r="J68" s="1"/>
      <x:c r="K68" s="1"/>
      <x:c r="L68" s="1"/>
      <x:c r="M68" s="1"/>
      <x:c r="N68" s="1"/>
      <x:c r="O68" s="1"/>
      <x:c r="P68" s="1"/>
      <x:c r="Q68" s="1"/>
      <x:c r="R68" s="1"/>
      <x:c r="S68" s="1"/>
      <x:c r="T68" s="1"/>
      <x:c r="U68" s="1"/>
      <x:c r="V68" s="1"/>
    </x:row>
    <x:row r="69">
      <x:c r="A69" s="1"/>
      <x:c r="B69" s="1"/>
      <x:c r="C69" s="1"/>
      <x:c r="D69" s="1"/>
      <x:c r="E69" s="1"/>
      <x:c r="F69" s="1"/>
      <x:c r="G69" s="1"/>
      <x:c r="H69" s="1"/>
      <x:c r="I69" s="1"/>
      <x:c r="J69" s="1"/>
      <x:c r="K69" s="1"/>
      <x:c r="L69" s="1"/>
      <x:c r="M69" s="1"/>
      <x:c r="N69" s="1"/>
      <x:c r="O69" s="1"/>
      <x:c r="P69" s="1"/>
      <x:c r="Q69" s="1"/>
      <x:c r="R69" s="1"/>
      <x:c r="S69" s="1"/>
      <x:c r="T69" s="1"/>
      <x:c r="U69" s="1"/>
      <x:c r="V69" s="1"/>
    </x:row>
    <x:row r="70">
      <x:c r="A70" s="1"/>
      <x:c r="B70" s="1"/>
      <x:c r="C70" s="1"/>
      <x:c r="D70" s="1"/>
      <x:c r="E70" s="1"/>
      <x:c r="F70" s="1"/>
      <x:c r="G70" s="1"/>
      <x:c r="H70" s="1"/>
      <x:c r="I70" s="1"/>
      <x:c r="J70" s="1"/>
      <x:c r="K70" s="1"/>
      <x:c r="L70" s="1"/>
      <x:c r="M70" s="1"/>
      <x:c r="N70" s="1"/>
      <x:c r="O70" s="1"/>
      <x:c r="P70" s="1"/>
      <x:c r="Q70" s="1"/>
      <x:c r="R70" s="1"/>
      <x:c r="S70" s="1"/>
      <x:c r="T70" s="1"/>
      <x:c r="U70" s="1"/>
      <x:c r="V70" s="1"/>
    </x:row>
    <x:row r="71">
      <x:c r="A71" s="1"/>
      <x:c r="B71" s="1"/>
      <x:c r="C71" s="1"/>
      <x:c r="D71" s="1"/>
      <x:c r="E71" s="1"/>
      <x:c r="F71" s="1"/>
      <x:c r="G71" s="1"/>
      <x:c r="H71" s="1"/>
      <x:c r="I71" s="1"/>
      <x:c r="J71" s="1"/>
      <x:c r="K71" s="1"/>
      <x:c r="L71" s="1"/>
      <x:c r="M71" s="1"/>
      <x:c r="N71" s="1"/>
      <x:c r="O71" s="1"/>
      <x:c r="P71" s="1"/>
      <x:c r="Q71" s="1"/>
      <x:c r="R71" s="1"/>
      <x:c r="S71" s="1"/>
      <x:c r="T71" s="1"/>
      <x:c r="U71" s="1"/>
      <x:c r="V71" s="1"/>
    </x:row>
    <x:row r="72">
      <x:c r="A72" s="1"/>
      <x:c r="B72" s="1"/>
      <x:c r="C72" s="1"/>
      <x:c r="D72" s="1"/>
      <x:c r="E72" s="1"/>
      <x:c r="F72" s="1"/>
      <x:c r="G72" s="1"/>
      <x:c r="H72" s="1"/>
      <x:c r="I72" s="1"/>
      <x:c r="J72" s="1"/>
      <x:c r="K72" s="1"/>
      <x:c r="L72" s="1"/>
      <x:c r="M72" s="1"/>
      <x:c r="N72" s="1"/>
      <x:c r="O72" s="1"/>
      <x:c r="P72" s="1"/>
      <x:c r="Q72" s="1"/>
      <x:c r="R72" s="1"/>
      <x:c r="S72" s="1"/>
      <x:c r="T72" s="1"/>
      <x:c r="U72" s="1"/>
      <x:c r="V72" s="1"/>
    </x:row>
    <x:row r="73">
      <x:c r="A73" s="1"/>
      <x:c r="B73" s="1"/>
      <x:c r="C73" s="1"/>
      <x:c r="D73" s="1"/>
      <x:c r="E73" s="1"/>
      <x:c r="F73" s="1"/>
      <x:c r="G73" s="1"/>
      <x:c r="H73" s="1"/>
      <x:c r="I73" s="1"/>
      <x:c r="J73" s="1"/>
      <x:c r="K73" s="1"/>
      <x:c r="L73" s="1"/>
      <x:c r="M73" s="1"/>
      <x:c r="N73" s="1"/>
      <x:c r="O73" s="1"/>
      <x:c r="P73" s="1"/>
      <x:c r="Q73" s="1"/>
      <x:c r="R73" s="1"/>
      <x:c r="S73" s="1"/>
      <x:c r="T73" s="1"/>
      <x:c r="U73" s="1"/>
      <x:c r="V73" s="1"/>
    </x:row>
    <x:row r="74">
      <x:c r="A74" s="1"/>
      <x:c r="B74" s="1"/>
      <x:c r="C74" s="1"/>
      <x:c r="D74" s="1"/>
      <x:c r="E74" s="1"/>
      <x:c r="F74" s="1"/>
      <x:c r="G74" s="1"/>
      <x:c r="H74" s="1"/>
      <x:c r="I74" s="1"/>
      <x:c r="J74" s="1"/>
      <x:c r="K74" s="1"/>
      <x:c r="L74" s="1"/>
      <x:c r="M74" s="1"/>
      <x:c r="N74" s="1"/>
      <x:c r="O74" s="1"/>
      <x:c r="P74" s="1"/>
      <x:c r="Q74" s="1"/>
      <x:c r="R74" s="1"/>
      <x:c r="S74" s="1"/>
      <x:c r="T74" s="1"/>
      <x:c r="U74" s="1"/>
      <x:c r="V74" s="1"/>
    </x:row>
    <x:row r="75">
      <x:c r="A75" s="1"/>
      <x:c r="B75" s="1"/>
      <x:c r="C75" s="1"/>
      <x:c r="D75" s="1"/>
      <x:c r="E75" s="1"/>
      <x:c r="F75" s="1"/>
      <x:c r="G75" s="1"/>
      <x:c r="H75" s="1"/>
      <x:c r="I75" s="1"/>
      <x:c r="J75" s="1"/>
      <x:c r="K75" s="1"/>
      <x:c r="L75" s="1"/>
      <x:c r="M75" s="1"/>
      <x:c r="N75" s="1"/>
      <x:c r="O75" s="1"/>
      <x:c r="P75" s="1"/>
      <x:c r="Q75" s="1"/>
      <x:c r="R75" s="1"/>
      <x:c r="S75" s="1"/>
      <x:c r="T75" s="1"/>
      <x:c r="U75" s="1"/>
      <x:c r="V75" s="1"/>
    </x:row>
    <x:row r="76">
      <x:c r="A76" s="1"/>
      <x:c r="B76" s="1"/>
      <x:c r="C76" s="1"/>
      <x:c r="D76" s="1"/>
      <x:c r="E76" s="1"/>
      <x:c r="F76" s="1"/>
      <x:c r="G76" s="1"/>
      <x:c r="H76" s="1"/>
      <x:c r="I76" s="1"/>
      <x:c r="J76" s="1"/>
      <x:c r="K76" s="1"/>
      <x:c r="L76" s="1"/>
      <x:c r="M76" s="1"/>
      <x:c r="N76" s="1"/>
      <x:c r="O76" s="1"/>
      <x:c r="P76" s="1"/>
      <x:c r="Q76" s="1"/>
      <x:c r="R76" s="1"/>
      <x:c r="S76" s="1"/>
      <x:c r="T76" s="1"/>
      <x:c r="U76" s="1"/>
      <x:c r="V76" s="1"/>
    </x:row>
    <x:row r="77">
      <x:c r="A77" s="1"/>
      <x:c r="B77" s="1"/>
      <x:c r="C77" s="1"/>
      <x:c r="D77" s="1"/>
      <x:c r="E77" s="1"/>
      <x:c r="F77" s="1"/>
      <x:c r="G77" s="1"/>
      <x:c r="H77" s="1"/>
      <x:c r="I77" s="1"/>
      <x:c r="J77" s="1"/>
      <x:c r="K77" s="1"/>
      <x:c r="L77" s="1"/>
      <x:c r="M77" s="1"/>
      <x:c r="N77" s="1"/>
      <x:c r="O77" s="1"/>
      <x:c r="P77" s="1"/>
      <x:c r="Q77" s="1"/>
      <x:c r="R77" s="1"/>
      <x:c r="S77" s="1"/>
      <x:c r="T77" s="1"/>
      <x:c r="U77" s="1"/>
      <x:c r="V77" s="1"/>
    </x:row>
    <x:row r="78">
      <x:c r="A78" s="1"/>
      <x:c r="B78" s="1"/>
      <x:c r="C78" s="1"/>
      <x:c r="D78" s="1"/>
      <x:c r="E78" s="1"/>
      <x:c r="F78" s="1"/>
      <x:c r="G78" s="1"/>
      <x:c r="H78" s="1"/>
      <x:c r="I78" s="1"/>
      <x:c r="J78" s="1"/>
      <x:c r="K78" s="1"/>
      <x:c r="L78" s="1"/>
      <x:c r="M78" s="1"/>
      <x:c r="N78" s="1"/>
      <x:c r="O78" s="1"/>
      <x:c r="P78" s="1"/>
      <x:c r="Q78" s="1"/>
      <x:c r="R78" s="1"/>
      <x:c r="S78" s="1"/>
      <x:c r="T78" s="1"/>
      <x:c r="U78" s="1"/>
      <x:c r="V78" s="1"/>
    </x:row>
    <x:row r="79">
      <x:c r="A79" s="1"/>
      <x:c r="B79" s="1"/>
      <x:c r="C79" s="1"/>
      <x:c r="D79" s="1"/>
      <x:c r="E79" s="1"/>
      <x:c r="F79" s="1"/>
      <x:c r="G79" s="1"/>
      <x:c r="H79" s="1"/>
      <x:c r="I79" s="1"/>
      <x:c r="J79" s="1"/>
      <x:c r="K79" s="1"/>
      <x:c r="L79" s="1"/>
      <x:c r="M79" s="1"/>
      <x:c r="N79" s="1"/>
      <x:c r="O79" s="1"/>
      <x:c r="P79" s="1"/>
      <x:c r="Q79" s="1"/>
      <x:c r="R79" s="1"/>
      <x:c r="S79" s="1"/>
      <x:c r="T79" s="1"/>
      <x:c r="U79" s="1"/>
      <x:c r="V79" s="1"/>
    </x:row>
    <x:row r="80">
      <x:c r="A80" s="1"/>
      <x:c r="B80" s="1"/>
      <x:c r="C80" s="1"/>
      <x:c r="D80" s="1"/>
      <x:c r="E80" s="1"/>
      <x:c r="F80" s="1"/>
      <x:c r="G80" s="1"/>
      <x:c r="H80" s="1"/>
      <x:c r="I80" s="1"/>
      <x:c r="J80" s="1"/>
      <x:c r="K80" s="1"/>
      <x:c r="L80" s="1"/>
      <x:c r="M80" s="1"/>
      <x:c r="N80" s="1"/>
      <x:c r="O80" s="1"/>
      <x:c r="P80" s="1"/>
      <x:c r="Q80" s="1"/>
      <x:c r="R80" s="1"/>
      <x:c r="S80" s="1"/>
      <x:c r="T80" s="1"/>
      <x:c r="U80" s="1"/>
      <x:c r="V80" s="1"/>
    </x:row>
    <x:row r="81">
      <x:c r="A81" s="1"/>
      <x:c r="B81" s="1"/>
      <x:c r="C81" s="1"/>
      <x:c r="D81" s="1"/>
      <x:c r="E81" s="1"/>
      <x:c r="F81" s="1"/>
      <x:c r="G81" s="1"/>
      <x:c r="H81" s="1"/>
      <x:c r="I81" s="1"/>
      <x:c r="J81" s="1"/>
      <x:c r="K81" s="1"/>
      <x:c r="L81" s="1"/>
      <x:c r="M81" s="1"/>
      <x:c r="N81" s="1"/>
      <x:c r="O81" s="1"/>
      <x:c r="P81" s="1"/>
      <x:c r="Q81" s="1"/>
      <x:c r="R81" s="1"/>
      <x:c r="S81" s="1"/>
      <x:c r="T81" s="1"/>
      <x:c r="U81" s="1"/>
      <x:c r="V81" s="1"/>
    </x:row>
    <x:row r="82">
      <x:c r="A82" s="1"/>
      <x:c r="B82" s="1"/>
      <x:c r="C82" s="1"/>
      <x:c r="D82" s="1"/>
      <x:c r="E82" s="1"/>
      <x:c r="F82" s="1"/>
      <x:c r="G82" s="1"/>
      <x:c r="H82" s="1"/>
      <x:c r="I82" s="1"/>
      <x:c r="J82" s="1"/>
      <x:c r="K82" s="1"/>
      <x:c r="L82" s="1"/>
      <x:c r="M82" s="1"/>
      <x:c r="N82" s="1"/>
      <x:c r="O82" s="1"/>
      <x:c r="P82" s="1"/>
      <x:c r="Q82" s="1"/>
      <x:c r="R82" s="1"/>
      <x:c r="S82" s="1"/>
      <x:c r="T82" s="1"/>
      <x:c r="U82" s="1"/>
      <x:c r="V82" s="1"/>
    </x:row>
    <x:row r="83">
      <x:c r="A83" s="1"/>
      <x:c r="B83" s="1"/>
      <x:c r="C83" s="1"/>
      <x:c r="D83" s="1"/>
      <x:c r="E83" s="1"/>
      <x:c r="F83" s="1"/>
      <x:c r="G83" s="1"/>
      <x:c r="H83" s="1"/>
      <x:c r="I83" s="1"/>
      <x:c r="J83" s="1"/>
      <x:c r="K83" s="1"/>
      <x:c r="L83" s="1"/>
      <x:c r="M83" s="1"/>
      <x:c r="N83" s="1"/>
      <x:c r="O83" s="1"/>
      <x:c r="P83" s="1"/>
      <x:c r="Q83" s="1"/>
      <x:c r="R83" s="1"/>
      <x:c r="S83" s="1"/>
      <x:c r="T83" s="1"/>
      <x:c r="U83" s="1"/>
      <x:c r="V83" s="1"/>
    </x:row>
    <x:row r="84">
      <x:c r="A84" s="1"/>
      <x:c r="B84" s="1"/>
      <x:c r="C84" s="1"/>
      <x:c r="D84" s="1"/>
      <x:c r="E84" s="1"/>
      <x:c r="F84" s="1"/>
      <x:c r="G84" s="1"/>
      <x:c r="H84" s="1"/>
      <x:c r="I84" s="1"/>
      <x:c r="J84" s="1"/>
      <x:c r="K84" s="1"/>
      <x:c r="L84" s="1"/>
      <x:c r="M84" s="1"/>
      <x:c r="N84" s="1"/>
      <x:c r="O84" s="1"/>
      <x:c r="P84" s="1"/>
      <x:c r="Q84" s="1"/>
      <x:c r="R84" s="1"/>
      <x:c r="S84" s="1"/>
      <x:c r="T84" s="1"/>
      <x:c r="U84" s="1"/>
      <x:c r="V84" s="1"/>
    </x:row>
    <x:row r="85">
      <x:c r="A85" s="1"/>
      <x:c r="B85" s="1"/>
      <x:c r="C85" s="1"/>
      <x:c r="D85" s="1"/>
      <x:c r="E85" s="1"/>
      <x:c r="F85" s="1"/>
      <x:c r="G85" s="1"/>
      <x:c r="H85" s="1"/>
      <x:c r="I85" s="1"/>
      <x:c r="J85" s="1"/>
      <x:c r="K85" s="1"/>
      <x:c r="L85" s="1"/>
      <x:c r="M85" s="1"/>
      <x:c r="N85" s="1"/>
      <x:c r="O85" s="1"/>
      <x:c r="P85" s="1"/>
      <x:c r="Q85" s="1"/>
      <x:c r="R85" s="1"/>
      <x:c r="S85" s="1"/>
      <x:c r="T85" s="1"/>
      <x:c r="U85" s="1"/>
      <x:c r="V85" s="1"/>
    </x:row>
    <x:row r="86">
      <x:c r="A86" s="1"/>
      <x:c r="B86" s="1"/>
      <x:c r="C86" s="1"/>
      <x:c r="D86" s="1"/>
      <x:c r="E86" s="1"/>
      <x:c r="F86" s="1"/>
      <x:c r="G86" s="1"/>
      <x:c r="H86" s="1"/>
      <x:c r="I86" s="1"/>
      <x:c r="J86" s="1"/>
      <x:c r="K86" s="1"/>
      <x:c r="L86" s="1"/>
      <x:c r="M86" s="1"/>
      <x:c r="N86" s="1"/>
      <x:c r="O86" s="1"/>
      <x:c r="P86" s="1"/>
      <x:c r="Q86" s="1"/>
      <x:c r="R86" s="1"/>
      <x:c r="S86" s="1"/>
      <x:c r="T86" s="1"/>
      <x:c r="U86" s="1"/>
      <x:c r="V86" s="1"/>
    </x:row>
    <x:row r="87">
      <x:c r="A87" s="1"/>
      <x:c r="B87" s="1"/>
      <x:c r="C87" s="1"/>
      <x:c r="D87" s="1"/>
      <x:c r="E87" s="1"/>
      <x:c r="F87" s="1"/>
      <x:c r="G87" s="1"/>
      <x:c r="H87" s="1"/>
      <x:c r="I87" s="1"/>
      <x:c r="J87" s="1"/>
      <x:c r="K87" s="1"/>
      <x:c r="L87" s="1"/>
      <x:c r="M87" s="1"/>
      <x:c r="N87" s="1"/>
      <x:c r="O87" s="1"/>
      <x:c r="P87" s="1"/>
      <x:c r="Q87" s="1"/>
      <x:c r="R87" s="1"/>
      <x:c r="S87" s="1"/>
      <x:c r="T87" s="1"/>
      <x:c r="U87" s="1"/>
      <x:c r="V87" s="1"/>
    </x:row>
    <x:row r="88">
      <x:c r="A88" s="1"/>
      <x:c r="B88" s="1"/>
      <x:c r="C88" s="1"/>
      <x:c r="D88" s="1"/>
      <x:c r="E88" s="1"/>
      <x:c r="F88" s="1"/>
      <x:c r="G88" s="1"/>
      <x:c r="H88" s="1"/>
      <x:c r="I88" s="1"/>
      <x:c r="J88" s="1"/>
      <x:c r="K88" s="1"/>
      <x:c r="L88" s="1"/>
      <x:c r="M88" s="1"/>
      <x:c r="N88" s="1"/>
      <x:c r="O88" s="1"/>
      <x:c r="P88" s="1"/>
      <x:c r="Q88" s="1"/>
      <x:c r="R88" s="1"/>
      <x:c r="S88" s="1"/>
      <x:c r="T88" s="1"/>
      <x:c r="U88" s="1"/>
      <x:c r="V88" s="1"/>
    </x:row>
    <x:row r="89">
      <x:c r="A89" s="1"/>
      <x:c r="B89" s="1"/>
      <x:c r="C89" s="1"/>
      <x:c r="D89" s="1"/>
      <x:c r="E89" s="1"/>
      <x:c r="F89" s="1"/>
      <x:c r="G89" s="1"/>
      <x:c r="H89" s="1"/>
      <x:c r="I89" s="1"/>
      <x:c r="J89" s="1"/>
      <x:c r="K89" s="1"/>
      <x:c r="L89" s="1"/>
      <x:c r="M89" s="1"/>
      <x:c r="N89" s="1"/>
      <x:c r="O89" s="1"/>
      <x:c r="P89" s="1"/>
      <x:c r="Q89" s="1"/>
      <x:c r="R89" s="1"/>
      <x:c r="S89" s="1"/>
      <x:c r="T89" s="1"/>
      <x:c r="U89" s="1"/>
      <x:c r="V89" s="1"/>
    </x:row>
    <x:row r="90">
      <x:c r="A90" s="1"/>
      <x:c r="B90" s="1"/>
      <x:c r="C90" s="1"/>
      <x:c r="D90" s="1"/>
      <x:c r="E90" s="1"/>
      <x:c r="F90" s="1"/>
      <x:c r="G90" s="1"/>
      <x:c r="H90" s="1"/>
      <x:c r="I90" s="1"/>
      <x:c r="J90" s="1"/>
      <x:c r="K90" s="1"/>
      <x:c r="L90" s="1"/>
      <x:c r="M90" s="1"/>
      <x:c r="N90" s="1"/>
      <x:c r="O90" s="1"/>
      <x:c r="P90" s="1"/>
      <x:c r="Q90" s="1"/>
      <x:c r="R90" s="1"/>
      <x:c r="S90" s="1"/>
      <x:c r="T90" s="1"/>
      <x:c r="U90" s="1"/>
      <x:c r="V90" s="1"/>
    </x:row>
    <x:row r="91">
      <x:c r="A91" s="1"/>
      <x:c r="B91" s="1"/>
      <x:c r="C91" s="1"/>
      <x:c r="D91" s="1"/>
      <x:c r="E91" s="1"/>
      <x:c r="F91" s="1"/>
      <x:c r="G91" s="1"/>
      <x:c r="H91" s="1"/>
      <x:c r="I91" s="1"/>
      <x:c r="J91" s="1"/>
      <x:c r="K91" s="1"/>
      <x:c r="L91" s="1"/>
      <x:c r="M91" s="1"/>
      <x:c r="N91" s="1"/>
      <x:c r="O91" s="1"/>
      <x:c r="P91" s="1"/>
      <x:c r="Q91" s="1"/>
      <x:c r="R91" s="1"/>
      <x:c r="S91" s="1"/>
      <x:c r="T91" s="1"/>
      <x:c r="U91" s="1"/>
      <x:c r="V91" s="1"/>
    </x:row>
    <x:row r="92">
      <x:c r="A92" s="1"/>
      <x:c r="B92" s="1"/>
      <x:c r="C92" s="1"/>
      <x:c r="D92" s="1"/>
      <x:c r="E92" s="1"/>
      <x:c r="F92" s="1"/>
      <x:c r="G92" s="1"/>
      <x:c r="H92" s="1"/>
      <x:c r="I92" s="1"/>
      <x:c r="J92" s="1"/>
      <x:c r="K92" s="1"/>
      <x:c r="L92" s="1"/>
      <x:c r="M92" s="1"/>
      <x:c r="N92" s="1"/>
      <x:c r="O92" s="1"/>
      <x:c r="P92" s="1"/>
      <x:c r="Q92" s="1"/>
      <x:c r="R92" s="1"/>
      <x:c r="S92" s="1"/>
      <x:c r="T92" s="1"/>
      <x:c r="U92" s="1"/>
      <x:c r="V92" s="1"/>
    </x:row>
    <x:row r="93">
      <x:c r="A93" s="1"/>
      <x:c r="B93" s="1"/>
      <x:c r="C93" s="1"/>
      <x:c r="D93" s="1"/>
      <x:c r="E93" s="1"/>
      <x:c r="F93" s="1"/>
      <x:c r="G93" s="1"/>
      <x:c r="H93" s="1"/>
      <x:c r="I93" s="1"/>
      <x:c r="J93" s="1"/>
      <x:c r="K93" s="1"/>
      <x:c r="L93" s="1"/>
      <x:c r="M93" s="1"/>
      <x:c r="N93" s="1"/>
      <x:c r="O93" s="1"/>
      <x:c r="P93" s="1"/>
      <x:c r="Q93" s="1"/>
      <x:c r="R93" s="1"/>
      <x:c r="S93" s="1"/>
      <x:c r="T93" s="1"/>
      <x:c r="U93" s="1"/>
      <x:c r="V93" s="1"/>
    </x:row>
    <x:row r="94">
      <x:c r="A94" s="1"/>
      <x:c r="B94" s="1"/>
      <x:c r="C94" s="1"/>
      <x:c r="D94" s="1"/>
      <x:c r="E94" s="1"/>
      <x:c r="F94" s="1"/>
      <x:c r="G94" s="1"/>
      <x:c r="H94" s="1"/>
      <x:c r="I94" s="1"/>
      <x:c r="J94" s="1"/>
      <x:c r="K94" s="1"/>
      <x:c r="L94" s="1"/>
      <x:c r="M94" s="1"/>
      <x:c r="N94" s="1"/>
      <x:c r="O94" s="1"/>
      <x:c r="P94" s="1"/>
      <x:c r="Q94" s="1"/>
      <x:c r="R94" s="1"/>
      <x:c r="S94" s="1"/>
      <x:c r="T94" s="1"/>
      <x:c r="U94" s="1"/>
      <x:c r="V94" s="1"/>
    </x:row>
    <x:row r="95">
      <x:c r="A95" s="1"/>
      <x:c r="B95" s="1"/>
      <x:c r="C95" s="1"/>
      <x:c r="D95" s="1"/>
      <x:c r="E95" s="1"/>
      <x:c r="F95" s="1"/>
      <x:c r="G95" s="1"/>
      <x:c r="H95" s="1"/>
      <x:c r="I95" s="1"/>
      <x:c r="J95" s="1"/>
      <x:c r="K95" s="1"/>
      <x:c r="L95" s="1"/>
      <x:c r="M95" s="1"/>
      <x:c r="N95" s="1"/>
      <x:c r="O95" s="1"/>
      <x:c r="P95" s="1"/>
      <x:c r="Q95" s="1"/>
      <x:c r="R95" s="1"/>
      <x:c r="S95" s="1"/>
      <x:c r="T95" s="1"/>
      <x:c r="U95" s="1"/>
      <x:c r="V95" s="1"/>
    </x:row>
    <x:row r="96">
      <x:c r="A96" s="1"/>
      <x:c r="B96" s="1"/>
      <x:c r="C96" s="1"/>
      <x:c r="D96" s="1"/>
      <x:c r="E96" s="1"/>
      <x:c r="F96" s="1"/>
      <x:c r="G96" s="1"/>
      <x:c r="H96" s="1"/>
      <x:c r="I96" s="1"/>
      <x:c r="J96" s="1"/>
      <x:c r="K96" s="1"/>
      <x:c r="L96" s="1"/>
      <x:c r="M96" s="1"/>
      <x:c r="N96" s="1"/>
      <x:c r="O96" s="1"/>
      <x:c r="P96" s="1"/>
      <x:c r="Q96" s="1"/>
      <x:c r="R96" s="1"/>
      <x:c r="S96" s="1"/>
      <x:c r="T96" s="1"/>
      <x:c r="U96" s="1"/>
      <x:c r="V96" s="1"/>
    </x:row>
    <x:row r="97">
      <x:c r="A97" s="1"/>
      <x:c r="B97" s="1"/>
      <x:c r="C97" s="1"/>
      <x:c r="D97" s="1"/>
      <x:c r="E97" s="1"/>
      <x:c r="F97" s="1"/>
      <x:c r="G97" s="1"/>
      <x:c r="H97" s="1"/>
      <x:c r="I97" s="1"/>
      <x:c r="J97" s="1"/>
      <x:c r="K97" s="1"/>
      <x:c r="L97" s="1"/>
      <x:c r="M97" s="1"/>
      <x:c r="N97" s="1"/>
      <x:c r="O97" s="1"/>
      <x:c r="P97" s="1"/>
      <x:c r="Q97" s="1"/>
      <x:c r="R97" s="1"/>
      <x:c r="S97" s="1"/>
      <x:c r="T97" s="1"/>
      <x:c r="U97" s="1"/>
      <x:c r="V97" s="1"/>
    </x:row>
    <x:row r="98">
      <x:c r="A98" s="1"/>
      <x:c r="B98" s="1"/>
      <x:c r="C98" s="1"/>
      <x:c r="D98" s="1"/>
      <x:c r="E98" s="1"/>
      <x:c r="F98" s="1"/>
      <x:c r="G98" s="1"/>
      <x:c r="H98" s="1"/>
      <x:c r="I98" s="1"/>
      <x:c r="J98" s="1"/>
      <x:c r="K98" s="1"/>
      <x:c r="L98" s="1"/>
      <x:c r="M98" s="1"/>
      <x:c r="N98" s="1"/>
      <x:c r="O98" s="1"/>
      <x:c r="P98" s="1"/>
      <x:c r="Q98" s="1"/>
      <x:c r="R98" s="1"/>
      <x:c r="S98" s="1"/>
      <x:c r="T98" s="1"/>
      <x:c r="U98" s="1"/>
      <x:c r="V98" s="1"/>
    </x:row>
    <x:row r="99">
      <x:c r="A99" s="1"/>
      <x:c r="B99" s="1"/>
      <x:c r="C99" s="1"/>
      <x:c r="D99" s="1"/>
      <x:c r="E99" s="1"/>
      <x:c r="F99" s="1"/>
      <x:c r="G99" s="1"/>
      <x:c r="H99" s="1"/>
      <x:c r="I99" s="1"/>
      <x:c r="J99" s="1"/>
      <x:c r="K99" s="1"/>
      <x:c r="L99" s="1"/>
      <x:c r="M99" s="1"/>
      <x:c r="N99" s="1"/>
      <x:c r="O99" s="1"/>
      <x:c r="P99" s="1"/>
      <x:c r="Q99" s="1"/>
      <x:c r="R99" s="1"/>
      <x:c r="S99" s="1"/>
      <x:c r="T99" s="1"/>
      <x:c r="U99" s="1"/>
      <x:c r="V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row>
    <x:row r="100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row>
    <x:row r="1002">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row>
    <x:row r="1003">
      <x:c r="A1003" s="1"/>
      <x:c r="B1003" s="1"/>
      <x:c r="C1003" s="1"/>
      <x:c r="D1003" s="1"/>
      <x:c r="E1003" s="1"/>
      <x:c r="F1003" s="1"/>
      <x:c r="G1003" s="1"/>
      <x:c r="H1003" s="1"/>
      <x:c r="I1003" s="1"/>
      <x:c r="J1003" s="1"/>
      <x:c r="K1003" s="1"/>
      <x:c r="L1003" s="1"/>
      <x:c r="M1003" s="1"/>
      <x:c r="N1003" s="1"/>
      <x:c r="O1003" s="1"/>
      <x:c r="P1003" s="1"/>
      <x:c r="Q1003" s="1"/>
      <x:c r="R1003" s="1"/>
      <x:c r="S1003" s="1"/>
      <x:c r="T1003" s="1"/>
      <x:c r="U1003" s="1"/>
      <x:c r="V1003" s="1"/>
    </x:row>
    <x:row r="1004">
      <x:c r="A1004" s="1"/>
      <x:c r="B1004" s="1"/>
      <x:c r="C1004" s="1"/>
      <x:c r="D1004" s="1"/>
      <x:c r="E1004" s="1"/>
      <x:c r="F1004" s="1"/>
      <x:c r="G1004" s="1"/>
      <x:c r="H1004" s="1"/>
      <x:c r="I1004" s="1"/>
      <x:c r="J1004" s="1"/>
      <x:c r="K1004" s="1"/>
      <x:c r="L1004" s="1"/>
      <x:c r="M1004" s="1"/>
      <x:c r="N1004" s="1"/>
      <x:c r="O1004" s="1"/>
      <x:c r="P1004" s="1"/>
      <x:c r="Q1004" s="1"/>
      <x:c r="R1004" s="1"/>
      <x:c r="S1004" s="1"/>
      <x:c r="T1004" s="1"/>
      <x:c r="U1004" s="1"/>
      <x:c r="V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row>
    <x:row r="1201">
      <x:c r="A1201" s="1"/>
      <x:c r="B1201" s="1"/>
      <x:c r="C1201" s="1"/>
      <x:c r="D1201" s="1"/>
      <x:c r="E1201" s="1"/>
      <x:c r="F1201" s="1"/>
      <x:c r="G1201" s="1"/>
      <x:c r="H1201" s="1"/>
      <x:c r="I1201" s="1"/>
      <x:c r="J1201" s="1"/>
      <x:c r="K1201" s="1"/>
      <x:c r="L1201" s="1"/>
      <x:c r="M1201" s="1"/>
      <x:c r="N1201" s="1"/>
      <x:c r="O1201" s="1"/>
      <x:c r="P1201" s="1"/>
      <x:c r="Q1201" s="1"/>
      <x:c r="R1201" s="1"/>
      <x:c r="S1201" s="1"/>
      <x:c r="T1201" s="1"/>
      <x:c r="U1201" s="1"/>
      <x:c r="V1201" s="1"/>
    </x:row>
    <x:row r="1202">
      <x:c r="A1202" s="1"/>
      <x:c r="B1202" s="1"/>
      <x:c r="C1202" s="1"/>
      <x:c r="D1202" s="1"/>
      <x:c r="E1202" s="1"/>
      <x:c r="F1202" s="1"/>
      <x:c r="G1202" s="1"/>
      <x:c r="H1202" s="1"/>
      <x:c r="I1202" s="1"/>
      <x:c r="J1202" s="1"/>
      <x:c r="K1202" s="1"/>
      <x:c r="L1202" s="1"/>
      <x:c r="M1202" s="1"/>
      <x:c r="N1202" s="1"/>
      <x:c r="O1202" s="1"/>
      <x:c r="P1202" s="1"/>
      <x:c r="Q1202" s="1"/>
      <x:c r="R1202" s="1"/>
      <x:c r="S1202" s="1"/>
      <x:c r="T1202" s="1"/>
      <x:c r="U1202" s="1"/>
      <x:c r="V1202" s="1"/>
    </x:row>
    <x:row r="1203">
      <x:c r="A1203" s="1"/>
      <x:c r="B1203" s="1"/>
      <x:c r="C1203" s="1"/>
      <x:c r="D1203" s="1"/>
      <x:c r="E1203" s="1"/>
      <x:c r="F1203" s="1"/>
      <x:c r="G1203" s="1"/>
      <x:c r="H1203" s="1"/>
      <x:c r="I1203" s="1"/>
      <x:c r="J1203" s="1"/>
      <x:c r="K1203" s="1"/>
      <x:c r="L1203" s="1"/>
      <x:c r="M1203" s="1"/>
      <x:c r="N1203" s="1"/>
      <x:c r="O1203" s="1"/>
      <x:c r="P1203" s="1"/>
      <x:c r="Q1203" s="1"/>
      <x:c r="R1203" s="1"/>
      <x:c r="S1203" s="1"/>
      <x:c r="T1203" s="1"/>
      <x:c r="U1203" s="1"/>
      <x:c r="V1203" s="1"/>
    </x:row>
    <x:row r="1204">
      <x:c r="A1204" s="1"/>
      <x:c r="B1204" s="1"/>
      <x:c r="C1204" s="1"/>
      <x:c r="D1204" s="1"/>
      <x:c r="E1204" s="1"/>
      <x:c r="F1204" s="1"/>
      <x:c r="G1204" s="1"/>
      <x:c r="H1204" s="1"/>
      <x:c r="I1204" s="1"/>
      <x:c r="J1204" s="1"/>
      <x:c r="K1204" s="1"/>
      <x:c r="L1204" s="1"/>
      <x:c r="M1204" s="1"/>
      <x:c r="N1204" s="1"/>
      <x:c r="O1204" s="1"/>
      <x:c r="P1204" s="1"/>
      <x:c r="Q1204" s="1"/>
      <x:c r="R1204" s="1"/>
      <x:c r="S1204" s="1"/>
      <x:c r="T1204" s="1"/>
      <x:c r="U1204" s="1"/>
      <x:c r="V1204" s="1"/>
    </x:row>
    <x:row r="1205">
      <x:c r="A1205" s="1"/>
      <x:c r="B1205" s="1"/>
      <x:c r="C1205" s="1"/>
      <x:c r="D1205" s="1"/>
      <x:c r="E1205" s="1"/>
      <x:c r="F1205" s="1"/>
      <x:c r="G1205" s="1"/>
      <x:c r="H1205" s="1"/>
      <x:c r="I1205" s="1"/>
      <x:c r="J1205" s="1"/>
      <x:c r="K1205" s="1"/>
      <x:c r="L1205" s="1"/>
      <x:c r="M1205" s="1"/>
      <x:c r="N1205" s="1"/>
      <x:c r="O1205" s="1"/>
      <x:c r="P1205" s="1"/>
      <x:c r="Q1205" s="1"/>
      <x:c r="R1205" s="1"/>
      <x:c r="S1205" s="1"/>
      <x:c r="T1205" s="1"/>
      <x:c r="U1205" s="1"/>
      <x:c r="V1205" s="1"/>
    </x:row>
    <x:row r="1206">
      <x:c r="A1206" s="1"/>
      <x:c r="B1206" s="1"/>
      <x:c r="C1206" s="1"/>
      <x:c r="D1206" s="1"/>
      <x:c r="E1206" s="1"/>
      <x:c r="F1206" s="1"/>
      <x:c r="G1206" s="1"/>
      <x:c r="H1206" s="1"/>
      <x:c r="I1206" s="1"/>
      <x:c r="J1206" s="1"/>
      <x:c r="K1206" s="1"/>
      <x:c r="L1206" s="1"/>
      <x:c r="M1206" s="1"/>
      <x:c r="N1206" s="1"/>
      <x:c r="O1206" s="1"/>
      <x:c r="P1206" s="1"/>
      <x:c r="Q1206" s="1"/>
      <x:c r="R1206" s="1"/>
      <x:c r="S1206" s="1"/>
      <x:c r="T1206" s="1"/>
      <x:c r="U1206" s="1"/>
      <x:c r="V1206" s="1"/>
    </x:row>
    <x:row r="1207">
      <x:c r="A1207" s="1"/>
      <x:c r="B1207" s="1"/>
      <x:c r="C1207" s="1"/>
      <x:c r="D1207" s="1"/>
      <x:c r="E1207" s="1"/>
      <x:c r="F1207" s="1"/>
      <x:c r="G1207" s="1"/>
      <x:c r="H1207" s="1"/>
      <x:c r="I1207" s="1"/>
      <x:c r="J1207" s="1"/>
      <x:c r="K1207" s="1"/>
      <x:c r="L1207" s="1"/>
      <x:c r="M1207" s="1"/>
      <x:c r="N1207" s="1"/>
      <x:c r="O1207" s="1"/>
      <x:c r="P1207" s="1"/>
      <x:c r="Q1207" s="1"/>
      <x:c r="R1207" s="1"/>
      <x:c r="S1207" s="1"/>
      <x:c r="T1207" s="1"/>
      <x:c r="U1207" s="1"/>
      <x:c r="V1207" s="1"/>
    </x:row>
    <x:row r="1208">
      <x:c r="A1208" s="1"/>
      <x:c r="B1208" s="1"/>
      <x:c r="C1208" s="1"/>
      <x:c r="D1208" s="1"/>
      <x:c r="E1208" s="1"/>
      <x:c r="F1208" s="1"/>
      <x:c r="G1208" s="1"/>
      <x:c r="H1208" s="1"/>
      <x:c r="I1208" s="1"/>
      <x:c r="J1208" s="1"/>
      <x:c r="K1208" s="1"/>
      <x:c r="L1208" s="1"/>
      <x:c r="M1208" s="1"/>
      <x:c r="N1208" s="1"/>
      <x:c r="O1208" s="1"/>
      <x:c r="P1208" s="1"/>
      <x:c r="Q1208" s="1"/>
      <x:c r="R1208" s="1"/>
      <x:c r="S1208" s="1"/>
      <x:c r="T1208" s="1"/>
      <x:c r="U1208" s="1"/>
      <x:c r="V1208" s="1"/>
    </x:row>
    <x:row r="1209">
      <x:c r="A1209" s="1"/>
      <x:c r="B1209" s="1"/>
      <x:c r="C1209" s="1"/>
      <x:c r="D1209" s="1"/>
      <x:c r="E1209" s="1"/>
      <x:c r="F1209" s="1"/>
      <x:c r="G1209" s="1"/>
      <x:c r="H1209" s="1"/>
      <x:c r="I1209" s="1"/>
      <x:c r="J1209" s="1"/>
      <x:c r="K1209" s="1"/>
      <x:c r="L1209" s="1"/>
      <x:c r="M1209" s="1"/>
      <x:c r="N1209" s="1"/>
      <x:c r="O1209" s="1"/>
      <x:c r="P1209" s="1"/>
      <x:c r="Q1209" s="1"/>
      <x:c r="R1209" s="1"/>
      <x:c r="S1209" s="1"/>
      <x:c r="T1209" s="1"/>
      <x:c r="U1209" s="1"/>
      <x:c r="V1209" s="1"/>
    </x:row>
    <x:row r="1210">
      <x:c r="A1210" s="1"/>
      <x:c r="B1210" s="1"/>
      <x:c r="C1210" s="1"/>
      <x:c r="D1210" s="1"/>
      <x:c r="E1210" s="1"/>
      <x:c r="F1210" s="1"/>
      <x:c r="G1210" s="1"/>
      <x:c r="H1210" s="1"/>
      <x:c r="I1210" s="1"/>
      <x:c r="J1210" s="1"/>
      <x:c r="K1210" s="1"/>
      <x:c r="L1210" s="1"/>
      <x:c r="M1210" s="1"/>
      <x:c r="N1210" s="1"/>
      <x:c r="O1210" s="1"/>
      <x:c r="P1210" s="1"/>
      <x:c r="Q1210" s="1"/>
      <x:c r="R1210" s="1"/>
      <x:c r="S1210" s="1"/>
      <x:c r="T1210" s="1"/>
      <x:c r="U1210" s="1"/>
      <x:c r="V1210" s="1"/>
    </x:row>
    <x:row r="1211">
      <x:c r="A1211" s="1"/>
      <x:c r="B1211" s="1"/>
      <x:c r="C1211" s="1"/>
      <x:c r="D1211" s="1"/>
      <x:c r="E1211" s="1"/>
      <x:c r="F1211" s="1"/>
      <x:c r="G1211" s="1"/>
      <x:c r="H1211" s="1"/>
      <x:c r="I1211" s="1"/>
      <x:c r="J1211" s="1"/>
      <x:c r="K1211" s="1"/>
      <x:c r="L1211" s="1"/>
      <x:c r="M1211" s="1"/>
      <x:c r="N1211" s="1"/>
      <x:c r="O1211" s="1"/>
      <x:c r="P1211" s="1"/>
      <x:c r="Q1211" s="1"/>
      <x:c r="R1211" s="1"/>
      <x:c r="S1211" s="1"/>
      <x:c r="T1211" s="1"/>
      <x:c r="U1211" s="1"/>
      <x:c r="V1211" s="1"/>
    </x:row>
    <x:row r="1212">
      <x:c r="A1212" s="1"/>
      <x:c r="B1212" s="1"/>
      <x:c r="C1212" s="1"/>
      <x:c r="D1212" s="1"/>
      <x:c r="E1212" s="1"/>
      <x:c r="F1212" s="1"/>
      <x:c r="G1212" s="1"/>
      <x:c r="H1212" s="1"/>
      <x:c r="I1212" s="1"/>
      <x:c r="J1212" s="1"/>
      <x:c r="K1212" s="1"/>
      <x:c r="L1212" s="1"/>
      <x:c r="M1212" s="1"/>
      <x:c r="N1212" s="1"/>
      <x:c r="O1212" s="1"/>
      <x:c r="P1212" s="1"/>
      <x:c r="Q1212" s="1"/>
      <x:c r="R1212" s="1"/>
      <x:c r="S1212" s="1"/>
      <x:c r="T1212" s="1"/>
      <x:c r="U1212" s="1"/>
      <x:c r="V1212" s="1"/>
    </x:row>
    <x:row r="1213">
      <x:c r="A1213" s="1"/>
      <x:c r="B1213" s="1"/>
      <x:c r="C1213" s="1"/>
      <x:c r="D1213" s="1"/>
      <x:c r="E1213" s="1"/>
      <x:c r="F1213" s="1"/>
      <x:c r="G1213" s="1"/>
      <x:c r="H1213" s="1"/>
      <x:c r="I1213" s="1"/>
      <x:c r="J1213" s="1"/>
      <x:c r="K1213" s="1"/>
      <x:c r="L1213" s="1"/>
      <x:c r="M1213" s="1"/>
      <x:c r="N1213" s="1"/>
      <x:c r="O1213" s="1"/>
      <x:c r="P1213" s="1"/>
      <x:c r="Q1213" s="1"/>
      <x:c r="R1213" s="1"/>
      <x:c r="S1213" s="1"/>
      <x:c r="T1213" s="1"/>
      <x:c r="U1213" s="1"/>
      <x:c r="V1213" s="1"/>
    </x:row>
    <x:row r="1214">
      <x:c r="A1214" s="1"/>
      <x:c r="B1214" s="1"/>
      <x:c r="C1214" s="1"/>
      <x:c r="D1214" s="1"/>
      <x:c r="E1214" s="1"/>
      <x:c r="F1214" s="1"/>
      <x:c r="G1214" s="1"/>
      <x:c r="H1214" s="1"/>
      <x:c r="I1214" s="1"/>
      <x:c r="J1214" s="1"/>
      <x:c r="K1214" s="1"/>
      <x:c r="L1214" s="1"/>
      <x:c r="M1214" s="1"/>
      <x:c r="N1214" s="1"/>
      <x:c r="O1214" s="1"/>
      <x:c r="P1214" s="1"/>
      <x:c r="Q1214" s="1"/>
      <x:c r="R1214" s="1"/>
      <x:c r="S1214" s="1"/>
      <x:c r="T1214" s="1"/>
      <x:c r="U1214" s="1"/>
      <x:c r="V1214" s="1"/>
    </x:row>
    <x:row r="1215">
      <x:c r="A1215" s="1"/>
      <x:c r="B1215" s="1"/>
      <x:c r="C1215" s="1"/>
      <x:c r="D1215" s="1"/>
      <x:c r="E1215" s="1"/>
      <x:c r="F1215" s="1"/>
      <x:c r="G1215" s="1"/>
      <x:c r="H1215" s="1"/>
      <x:c r="I1215" s="1"/>
      <x:c r="J1215" s="1"/>
      <x:c r="K1215" s="1"/>
      <x:c r="L1215" s="1"/>
      <x:c r="M1215" s="1"/>
      <x:c r="N1215" s="1"/>
      <x:c r="O1215" s="1"/>
      <x:c r="P1215" s="1"/>
      <x:c r="Q1215" s="1"/>
      <x:c r="R1215" s="1"/>
      <x:c r="S1215" s="1"/>
      <x:c r="T1215" s="1"/>
      <x:c r="U1215" s="1"/>
      <x:c r="V1215" s="1"/>
    </x:row>
    <x:row r="1216">
      <x:c r="A1216" s="1"/>
      <x:c r="B1216" s="1"/>
      <x:c r="C1216" s="1"/>
      <x:c r="D1216" s="1"/>
      <x:c r="E1216" s="1"/>
      <x:c r="F1216" s="1"/>
      <x:c r="G1216" s="1"/>
      <x:c r="H1216" s="1"/>
      <x:c r="I1216" s="1"/>
      <x:c r="J1216" s="1"/>
      <x:c r="K1216" s="1"/>
      <x:c r="L1216" s="1"/>
      <x:c r="M1216" s="1"/>
      <x:c r="N1216" s="1"/>
      <x:c r="O1216" s="1"/>
      <x:c r="P1216" s="1"/>
      <x:c r="Q1216" s="1"/>
      <x:c r="R1216" s="1"/>
      <x:c r="S1216" s="1"/>
      <x:c r="T1216" s="1"/>
      <x:c r="U1216" s="1"/>
      <x:c r="V1216" s="1"/>
    </x:row>
    <x:row r="1217">
      <x:c r="A1217" s="1"/>
      <x:c r="B1217" s="1"/>
      <x:c r="C1217" s="1"/>
      <x:c r="D1217" s="1"/>
      <x:c r="E1217" s="1"/>
      <x:c r="F1217" s="1"/>
      <x:c r="G1217" s="1"/>
      <x:c r="H1217" s="1"/>
      <x:c r="I1217" s="1"/>
      <x:c r="J1217" s="1"/>
      <x:c r="K1217" s="1"/>
      <x:c r="L1217" s="1"/>
      <x:c r="M1217" s="1"/>
      <x:c r="N1217" s="1"/>
      <x:c r="O1217" s="1"/>
      <x:c r="P1217" s="1"/>
      <x:c r="Q1217" s="1"/>
      <x:c r="R1217" s="1"/>
      <x:c r="S1217" s="1"/>
      <x:c r="T1217" s="1"/>
      <x:c r="U1217" s="1"/>
      <x:c r="V1217" s="1"/>
    </x:row>
    <x:row r="1218">
      <x:c r="A1218" s="1"/>
      <x:c r="B1218" s="1"/>
      <x:c r="C1218" s="1"/>
      <x:c r="D1218" s="1"/>
      <x:c r="E1218" s="1"/>
      <x:c r="F1218" s="1"/>
      <x:c r="G1218" s="1"/>
      <x:c r="H1218" s="1"/>
      <x:c r="I1218" s="1"/>
      <x:c r="J1218" s="1"/>
      <x:c r="K1218" s="1"/>
      <x:c r="L1218" s="1"/>
      <x:c r="M1218" s="1"/>
      <x:c r="N1218" s="1"/>
      <x:c r="O1218" s="1"/>
      <x:c r="P1218" s="1"/>
      <x:c r="Q1218" s="1"/>
      <x:c r="R1218" s="1"/>
      <x:c r="S1218" s="1"/>
      <x:c r="T1218" s="1"/>
      <x:c r="U1218" s="1"/>
      <x:c r="V1218" s="1"/>
    </x:row>
    <x:row r="1219">
      <x:c r="A1219" s="1"/>
      <x:c r="B1219" s="1"/>
      <x:c r="C1219" s="1"/>
      <x:c r="D1219" s="1"/>
      <x:c r="E1219" s="1"/>
      <x:c r="F1219" s="1"/>
      <x:c r="G1219" s="1"/>
      <x:c r="H1219" s="1"/>
      <x:c r="I1219" s="1"/>
      <x:c r="J1219" s="1"/>
      <x:c r="K1219" s="1"/>
      <x:c r="L1219" s="1"/>
      <x:c r="M1219" s="1"/>
      <x:c r="N1219" s="1"/>
      <x:c r="O1219" s="1"/>
      <x:c r="P1219" s="1"/>
      <x:c r="Q1219" s="1"/>
      <x:c r="R1219" s="1"/>
      <x:c r="S1219" s="1"/>
      <x:c r="T1219" s="1"/>
      <x:c r="U1219" s="1"/>
      <x:c r="V1219" s="1"/>
    </x:row>
    <x:row r="1220">
      <x:c r="A1220" s="1"/>
      <x:c r="B1220" s="1"/>
      <x:c r="C1220" s="1"/>
      <x:c r="D1220" s="1"/>
      <x:c r="E1220" s="1"/>
      <x:c r="F1220" s="1"/>
      <x:c r="G1220" s="1"/>
      <x:c r="H1220" s="1"/>
      <x:c r="I1220" s="1"/>
      <x:c r="J1220" s="1"/>
      <x:c r="K1220" s="1"/>
      <x:c r="L1220" s="1"/>
      <x:c r="M1220" s="1"/>
      <x:c r="N1220" s="1"/>
      <x:c r="O1220" s="1"/>
      <x:c r="P1220" s="1"/>
      <x:c r="Q1220" s="1"/>
      <x:c r="R1220" s="1"/>
      <x:c r="S1220" s="1"/>
      <x:c r="T1220" s="1"/>
      <x:c r="U1220" s="1"/>
      <x:c r="V1220" s="1"/>
    </x:row>
    <x:row r="1221">
      <x:c r="A1221" s="1"/>
      <x:c r="B1221" s="1"/>
      <x:c r="C1221" s="1"/>
      <x:c r="D1221" s="1"/>
      <x:c r="E1221" s="1"/>
      <x:c r="F1221" s="1"/>
      <x:c r="G1221" s="1"/>
      <x:c r="H1221" s="1"/>
      <x:c r="I1221" s="1"/>
      <x:c r="J1221" s="1"/>
      <x:c r="K1221" s="1"/>
      <x:c r="L1221" s="1"/>
      <x:c r="M1221" s="1"/>
      <x:c r="N1221" s="1"/>
      <x:c r="O1221" s="1"/>
      <x:c r="P1221" s="1"/>
      <x:c r="Q1221" s="1"/>
      <x:c r="R1221" s="1"/>
      <x:c r="S1221" s="1"/>
      <x:c r="T1221" s="1"/>
      <x:c r="U1221" s="1"/>
      <x:c r="V1221" s="1"/>
    </x:row>
    <x:row r="1222">
      <x:c r="A1222" s="1"/>
      <x:c r="B1222" s="1"/>
      <x:c r="C1222" s="1"/>
      <x:c r="D1222" s="1"/>
      <x:c r="E1222" s="1"/>
      <x:c r="F1222" s="1"/>
      <x:c r="G1222" s="1"/>
      <x:c r="H1222" s="1"/>
      <x:c r="I1222" s="1"/>
      <x:c r="J1222" s="1"/>
      <x:c r="K1222" s="1"/>
      <x:c r="L1222" s="1"/>
      <x:c r="M1222" s="1"/>
      <x:c r="N1222" s="1"/>
      <x:c r="O1222" s="1"/>
      <x:c r="P1222" s="1"/>
      <x:c r="Q1222" s="1"/>
      <x:c r="R1222" s="1"/>
      <x:c r="S1222" s="1"/>
      <x:c r="T1222" s="1"/>
      <x:c r="U1222" s="1"/>
      <x:c r="V1222" s="1"/>
    </x:row>
    <x:row r="1223">
      <x:c r="A1223" s="1"/>
      <x:c r="B1223" s="1"/>
      <x:c r="C1223" s="1"/>
      <x:c r="D1223" s="1"/>
      <x:c r="E1223" s="1"/>
      <x:c r="F1223" s="1"/>
      <x:c r="G1223" s="1"/>
      <x:c r="H1223" s="1"/>
      <x:c r="I1223" s="1"/>
      <x:c r="J1223" s="1"/>
      <x:c r="K1223" s="1"/>
      <x:c r="L1223" s="1"/>
      <x:c r="M1223" s="1"/>
      <x:c r="N1223" s="1"/>
      <x:c r="O1223" s="1"/>
      <x:c r="P1223" s="1"/>
      <x:c r="Q1223" s="1"/>
      <x:c r="R1223" s="1"/>
      <x:c r="S1223" s="1"/>
      <x:c r="T1223" s="1"/>
      <x:c r="U1223" s="1"/>
      <x:c r="V1223" s="1"/>
    </x:row>
    <x:row r="1224">
      <x:c r="A1224" s="1"/>
      <x:c r="B1224" s="1"/>
      <x:c r="C1224" s="1"/>
      <x:c r="D1224" s="1"/>
      <x:c r="E1224" s="1"/>
      <x:c r="F1224" s="1"/>
      <x:c r="G1224" s="1"/>
      <x:c r="H1224" s="1"/>
      <x:c r="I1224" s="1"/>
      <x:c r="J1224" s="1"/>
      <x:c r="K1224" s="1"/>
      <x:c r="L1224" s="1"/>
      <x:c r="M1224" s="1"/>
      <x:c r="N1224" s="1"/>
      <x:c r="O1224" s="1"/>
      <x:c r="P1224" s="1"/>
      <x:c r="Q1224" s="1"/>
      <x:c r="R1224" s="1"/>
      <x:c r="S1224" s="1"/>
      <x:c r="T1224" s="1"/>
      <x:c r="U1224" s="1"/>
      <x:c r="V1224" s="1"/>
    </x:row>
    <x:row r="1225">
      <x:c r="A1225" s="1"/>
      <x:c r="B1225" s="1"/>
      <x:c r="C1225" s="1"/>
      <x:c r="D1225" s="1"/>
      <x:c r="E1225" s="1"/>
      <x:c r="F1225" s="1"/>
      <x:c r="G1225" s="1"/>
      <x:c r="H1225" s="1"/>
      <x:c r="I1225" s="1"/>
      <x:c r="J1225" s="1"/>
      <x:c r="K1225" s="1"/>
      <x:c r="L1225" s="1"/>
      <x:c r="M1225" s="1"/>
      <x:c r="N1225" s="1"/>
      <x:c r="O1225" s="1"/>
      <x:c r="P1225" s="1"/>
      <x:c r="Q1225" s="1"/>
      <x:c r="R1225" s="1"/>
      <x:c r="S1225" s="1"/>
      <x:c r="T1225" s="1"/>
      <x:c r="U1225" s="1"/>
      <x:c r="V1225" s="1"/>
    </x:row>
    <x:row r="1226">
      <x:c r="A1226" s="1"/>
      <x:c r="B1226" s="1"/>
      <x:c r="C1226" s="1"/>
      <x:c r="D1226" s="1"/>
      <x:c r="E1226" s="1"/>
      <x:c r="F1226" s="1"/>
      <x:c r="G1226" s="1"/>
      <x:c r="H1226" s="1"/>
      <x:c r="I1226" s="1"/>
      <x:c r="J1226" s="1"/>
      <x:c r="K1226" s="1"/>
      <x:c r="L1226" s="1"/>
      <x:c r="M1226" s="1"/>
      <x:c r="N1226" s="1"/>
      <x:c r="O1226" s="1"/>
      <x:c r="P1226" s="1"/>
      <x:c r="Q1226" s="1"/>
      <x:c r="R1226" s="1"/>
      <x:c r="S1226" s="1"/>
      <x:c r="T1226" s="1"/>
      <x:c r="U1226" s="1"/>
      <x:c r="V1226" s="1"/>
    </x:row>
    <x:row r="1227">
      <x:c r="A1227" s="1"/>
      <x:c r="B1227" s="1"/>
      <x:c r="C1227" s="1"/>
      <x:c r="D1227" s="1"/>
      <x:c r="E1227" s="1"/>
      <x:c r="F1227" s="1"/>
      <x:c r="G1227" s="1"/>
      <x:c r="H1227" s="1"/>
      <x:c r="I1227" s="1"/>
      <x:c r="J1227" s="1"/>
      <x:c r="K1227" s="1"/>
      <x:c r="L1227" s="1"/>
      <x:c r="M1227" s="1"/>
      <x:c r="N1227" s="1"/>
      <x:c r="O1227" s="1"/>
      <x:c r="P1227" s="1"/>
      <x:c r="Q1227" s="1"/>
      <x:c r="R1227" s="1"/>
      <x:c r="S1227" s="1"/>
      <x:c r="T1227" s="1"/>
      <x:c r="U1227" s="1"/>
      <x:c r="V1227" s="1"/>
    </x:row>
    <x:row r="1228">
      <x:c r="A1228" s="1"/>
      <x:c r="B1228" s="1"/>
      <x:c r="C1228" s="1"/>
      <x:c r="D1228" s="1"/>
      <x:c r="E1228" s="1"/>
      <x:c r="F1228" s="1"/>
      <x:c r="G1228" s="1"/>
      <x:c r="H1228" s="1"/>
      <x:c r="I1228" s="1"/>
      <x:c r="J1228" s="1"/>
      <x:c r="K1228" s="1"/>
      <x:c r="L1228" s="1"/>
      <x:c r="M1228" s="1"/>
      <x:c r="N1228" s="1"/>
      <x:c r="O1228" s="1"/>
      <x:c r="P1228" s="1"/>
      <x:c r="Q1228" s="1"/>
      <x:c r="R1228" s="1"/>
      <x:c r="S1228" s="1"/>
      <x:c r="T1228" s="1"/>
      <x:c r="U1228" s="1"/>
      <x:c r="V1228" s="1"/>
    </x:row>
    <x:row r="1229">
      <x:c r="A1229" s="1"/>
      <x:c r="B1229" s="1"/>
      <x:c r="C1229" s="1"/>
      <x:c r="D1229" s="1"/>
      <x:c r="E1229" s="1"/>
      <x:c r="F1229" s="1"/>
      <x:c r="G1229" s="1"/>
      <x:c r="H1229" s="1"/>
      <x:c r="I1229" s="1"/>
      <x:c r="J1229" s="1"/>
      <x:c r="K1229" s="1"/>
      <x:c r="L1229" s="1"/>
      <x:c r="M1229" s="1"/>
      <x:c r="N1229" s="1"/>
      <x:c r="O1229" s="1"/>
      <x:c r="P1229" s="1"/>
      <x:c r="Q1229" s="1"/>
      <x:c r="R1229" s="1"/>
      <x:c r="S1229" s="1"/>
      <x:c r="T1229" s="1"/>
      <x:c r="U1229" s="1"/>
      <x:c r="V1229" s="1"/>
    </x:row>
    <x:row r="1230">
      <x:c r="A1230" s="1"/>
      <x:c r="B1230" s="1"/>
      <x:c r="C1230" s="1"/>
      <x:c r="D1230" s="1"/>
      <x:c r="E1230" s="1"/>
      <x:c r="F1230" s="1"/>
      <x:c r="G1230" s="1"/>
      <x:c r="H1230" s="1"/>
      <x:c r="I1230" s="1"/>
      <x:c r="J1230" s="1"/>
      <x:c r="K1230" s="1"/>
      <x:c r="L1230" s="1"/>
      <x:c r="M1230" s="1"/>
      <x:c r="N1230" s="1"/>
      <x:c r="O1230" s="1"/>
      <x:c r="P1230" s="1"/>
      <x:c r="Q1230" s="1"/>
      <x:c r="R1230" s="1"/>
      <x:c r="S1230" s="1"/>
      <x:c r="T1230" s="1"/>
      <x:c r="U1230" s="1"/>
      <x:c r="V1230" s="1"/>
    </x:row>
    <x:row r="1231">
      <x:c r="A1231" s="1"/>
      <x:c r="B1231" s="1"/>
      <x:c r="C1231" s="1"/>
      <x:c r="D1231" s="1"/>
      <x:c r="E1231" s="1"/>
      <x:c r="F1231" s="1"/>
      <x:c r="G1231" s="1"/>
      <x:c r="H1231" s="1"/>
      <x:c r="I1231" s="1"/>
      <x:c r="J1231" s="1"/>
      <x:c r="K1231" s="1"/>
      <x:c r="L1231" s="1"/>
      <x:c r="M1231" s="1"/>
      <x:c r="N1231" s="1"/>
      <x:c r="O1231" s="1"/>
      <x:c r="P1231" s="1"/>
      <x:c r="Q1231" s="1"/>
      <x:c r="R1231" s="1"/>
      <x:c r="S1231" s="1"/>
      <x:c r="T1231" s="1"/>
      <x:c r="U1231" s="1"/>
      <x:c r="V1231" s="1"/>
    </x:row>
    <x:row r="1232">
      <x:c r="A1232" s="1"/>
      <x:c r="B1232" s="1"/>
      <x:c r="C1232" s="1"/>
      <x:c r="D1232" s="1"/>
      <x:c r="E1232" s="1"/>
      <x:c r="F1232" s="1"/>
      <x:c r="G1232" s="1"/>
      <x:c r="H1232" s="1"/>
      <x:c r="I1232" s="1"/>
      <x:c r="J1232" s="1"/>
      <x:c r="K1232" s="1"/>
      <x:c r="L1232" s="1"/>
      <x:c r="M1232" s="1"/>
      <x:c r="N1232" s="1"/>
      <x:c r="O1232" s="1"/>
      <x:c r="P1232" s="1"/>
      <x:c r="Q1232" s="1"/>
      <x:c r="R1232" s="1"/>
      <x:c r="S1232" s="1"/>
      <x:c r="T1232" s="1"/>
      <x:c r="U1232" s="1"/>
      <x:c r="V1232" s="1"/>
    </x:row>
    <x:row r="1233">
      <x:c r="A1233" s="1"/>
      <x:c r="B1233" s="1"/>
      <x:c r="C1233" s="1"/>
      <x:c r="D1233" s="1"/>
      <x:c r="E1233" s="1"/>
      <x:c r="F1233" s="1"/>
      <x:c r="G1233" s="1"/>
      <x:c r="H1233" s="1"/>
      <x:c r="I1233" s="1"/>
      <x:c r="J1233" s="1"/>
      <x:c r="K1233" s="1"/>
      <x:c r="L1233" s="1"/>
      <x:c r="M1233" s="1"/>
      <x:c r="N1233" s="1"/>
      <x:c r="O1233" s="1"/>
      <x:c r="P1233" s="1"/>
      <x:c r="Q1233" s="1"/>
      <x:c r="R1233" s="1"/>
      <x:c r="S1233" s="1"/>
      <x:c r="T1233" s="1"/>
      <x:c r="U1233" s="1"/>
      <x:c r="V1233" s="1"/>
    </x:row>
    <x:row r="1234">
      <x:c r="A1234" s="1"/>
      <x:c r="B1234" s="1"/>
      <x:c r="C1234" s="1"/>
      <x:c r="D1234" s="1"/>
      <x:c r="E1234" s="1"/>
      <x:c r="F1234" s="1"/>
      <x:c r="G1234" s="1"/>
      <x:c r="H1234" s="1"/>
      <x:c r="I1234" s="1"/>
      <x:c r="J1234" s="1"/>
      <x:c r="K1234" s="1"/>
      <x:c r="L1234" s="1"/>
      <x:c r="M1234" s="1"/>
      <x:c r="N1234" s="1"/>
      <x:c r="O1234" s="1"/>
      <x:c r="P1234" s="1"/>
      <x:c r="Q1234" s="1"/>
      <x:c r="R1234" s="1"/>
      <x:c r="S1234" s="1"/>
      <x:c r="T1234" s="1"/>
      <x:c r="U1234" s="1"/>
      <x:c r="V1234" s="1"/>
    </x:row>
    <x:row r="1235">
      <x:c r="A1235" s="1"/>
      <x:c r="B1235" s="1"/>
      <x:c r="C1235" s="1"/>
      <x:c r="D1235" s="1"/>
      <x:c r="E1235" s="1"/>
      <x:c r="F1235" s="1"/>
      <x:c r="G1235" s="1"/>
      <x:c r="H1235" s="1"/>
      <x:c r="I1235" s="1"/>
      <x:c r="J1235" s="1"/>
      <x:c r="K1235" s="1"/>
      <x:c r="L1235" s="1"/>
      <x:c r="M1235" s="1"/>
      <x:c r="N1235" s="1"/>
      <x:c r="O1235" s="1"/>
      <x:c r="P1235" s="1"/>
      <x:c r="Q1235" s="1"/>
      <x:c r="R1235" s="1"/>
      <x:c r="S1235" s="1"/>
      <x:c r="T1235" s="1"/>
      <x:c r="U1235" s="1"/>
      <x:c r="V1235" s="1"/>
    </x:row>
    <x:row r="1236">
      <x:c r="A1236" s="1"/>
      <x:c r="B1236" s="1"/>
      <x:c r="C1236" s="1"/>
      <x:c r="D1236" s="1"/>
      <x:c r="E1236" s="1"/>
      <x:c r="F1236" s="1"/>
      <x:c r="G1236" s="1"/>
      <x:c r="H1236" s="1"/>
      <x:c r="I1236" s="1"/>
      <x:c r="J1236" s="1"/>
      <x:c r="K1236" s="1"/>
      <x:c r="L1236" s="1"/>
      <x:c r="M1236" s="1"/>
      <x:c r="N1236" s="1"/>
      <x:c r="O1236" s="1"/>
      <x:c r="P1236" s="1"/>
      <x:c r="Q1236" s="1"/>
      <x:c r="R1236" s="1"/>
      <x:c r="S1236" s="1"/>
      <x:c r="T1236" s="1"/>
      <x:c r="U1236" s="1"/>
      <x:c r="V1236" s="1"/>
    </x:row>
    <x:row r="1237">
      <x:c r="A1237" s="1"/>
      <x:c r="B1237" s="1"/>
      <x:c r="C1237" s="1"/>
      <x:c r="D1237" s="1"/>
      <x:c r="E1237" s="1"/>
      <x:c r="F1237" s="1"/>
      <x:c r="G1237" s="1"/>
      <x:c r="H1237" s="1"/>
      <x:c r="I1237" s="1"/>
      <x:c r="J1237" s="1"/>
      <x:c r="K1237" s="1"/>
      <x:c r="L1237" s="1"/>
      <x:c r="M1237" s="1"/>
      <x:c r="N1237" s="1"/>
      <x:c r="O1237" s="1"/>
      <x:c r="P1237" s="1"/>
      <x:c r="Q1237" s="1"/>
      <x:c r="R1237" s="1"/>
      <x:c r="S1237" s="1"/>
      <x:c r="T1237" s="1"/>
      <x:c r="U1237" s="1"/>
      <x:c r="V1237" s="1"/>
    </x:row>
    <x:row r="1238">
      <x:c r="A1238" s="1"/>
      <x:c r="B1238" s="1"/>
      <x:c r="C1238" s="1"/>
      <x:c r="D1238" s="1"/>
      <x:c r="E1238" s="1"/>
      <x:c r="F1238" s="1"/>
      <x:c r="G1238" s="1"/>
      <x:c r="H1238" s="1"/>
      <x:c r="I1238" s="1"/>
      <x:c r="J1238" s="1"/>
      <x:c r="K1238" s="1"/>
      <x:c r="L1238" s="1"/>
      <x:c r="M1238" s="1"/>
      <x:c r="N1238" s="1"/>
      <x:c r="O1238" s="1"/>
      <x:c r="P1238" s="1"/>
      <x:c r="Q1238" s="1"/>
      <x:c r="R1238" s="1"/>
      <x:c r="S1238" s="1"/>
      <x:c r="T1238" s="1"/>
      <x:c r="U1238" s="1"/>
      <x:c r="V1238" s="1"/>
    </x:row>
    <x:row r="1239">
      <x:c r="A1239" s="1"/>
      <x:c r="B1239" s="1"/>
      <x:c r="C1239" s="1"/>
      <x:c r="D1239" s="1"/>
      <x:c r="E1239" s="1"/>
      <x:c r="F1239" s="1"/>
      <x:c r="G1239" s="1"/>
      <x:c r="H1239" s="1"/>
      <x:c r="I1239" s="1"/>
      <x:c r="J1239" s="1"/>
      <x:c r="K1239" s="1"/>
      <x:c r="L1239" s="1"/>
      <x:c r="M1239" s="1"/>
      <x:c r="N1239" s="1"/>
      <x:c r="O1239" s="1"/>
      <x:c r="P1239" s="1"/>
      <x:c r="Q1239" s="1"/>
      <x:c r="R1239" s="1"/>
      <x:c r="S1239" s="1"/>
      <x:c r="T1239" s="1"/>
      <x:c r="U1239" s="1"/>
      <x:c r="V1239" s="1"/>
    </x:row>
    <x:row r="1240">
      <x:c r="A1240" s="1"/>
      <x:c r="B1240" s="1"/>
      <x:c r="C1240" s="1"/>
      <x:c r="D1240" s="1"/>
      <x:c r="E1240" s="1"/>
      <x:c r="F1240" s="1"/>
      <x:c r="G1240" s="1"/>
      <x:c r="H1240" s="1"/>
      <x:c r="I1240" s="1"/>
      <x:c r="J1240" s="1"/>
      <x:c r="K1240" s="1"/>
      <x:c r="L1240" s="1"/>
      <x:c r="M1240" s="1"/>
      <x:c r="N1240" s="1"/>
      <x:c r="O1240" s="1"/>
      <x:c r="P1240" s="1"/>
      <x:c r="Q1240" s="1"/>
      <x:c r="R1240" s="1"/>
      <x:c r="S1240" s="1"/>
      <x:c r="T1240" s="1"/>
      <x:c r="U1240" s="1"/>
      <x:c r="V1240" s="1"/>
    </x:row>
    <x:row r="1241">
      <x:c r="A1241" s="1"/>
      <x:c r="B1241" s="1"/>
      <x:c r="C1241" s="1"/>
      <x:c r="D1241" s="1"/>
      <x:c r="E1241" s="1"/>
      <x:c r="F1241" s="1"/>
      <x:c r="G1241" s="1"/>
      <x:c r="H1241" s="1"/>
      <x:c r="I1241" s="1"/>
      <x:c r="J1241" s="1"/>
      <x:c r="K1241" s="1"/>
      <x:c r="L1241" s="1"/>
      <x:c r="M1241" s="1"/>
      <x:c r="N1241" s="1"/>
      <x:c r="O1241" s="1"/>
      <x:c r="P1241" s="1"/>
      <x:c r="Q1241" s="1"/>
      <x:c r="R1241" s="1"/>
      <x:c r="S1241" s="1"/>
      <x:c r="T1241" s="1"/>
      <x:c r="U1241" s="1"/>
      <x:c r="V1241" s="1"/>
    </x:row>
    <x:row r="1242">
      <x:c r="A1242" s="1"/>
      <x:c r="B1242" s="1"/>
      <x:c r="C1242" s="1"/>
      <x:c r="D1242" s="1"/>
      <x:c r="E1242" s="1"/>
      <x:c r="F1242" s="1"/>
      <x:c r="G1242" s="1"/>
      <x:c r="H1242" s="1"/>
      <x:c r="I1242" s="1"/>
      <x:c r="J1242" s="1"/>
      <x:c r="K1242" s="1"/>
      <x:c r="L1242" s="1"/>
      <x:c r="M1242" s="1"/>
      <x:c r="N1242" s="1"/>
      <x:c r="O1242" s="1"/>
      <x:c r="P1242" s="1"/>
      <x:c r="Q1242" s="1"/>
      <x:c r="R1242" s="1"/>
      <x:c r="S1242" s="1"/>
      <x:c r="T1242" s="1"/>
      <x:c r="U1242" s="1"/>
      <x:c r="V1242" s="1"/>
    </x:row>
    <x:row r="1243">
      <x:c r="A1243" s="1"/>
      <x:c r="B1243" s="1"/>
      <x:c r="C1243" s="1"/>
      <x:c r="D1243" s="1"/>
      <x:c r="E1243" s="1"/>
      <x:c r="F1243" s="1"/>
      <x:c r="G1243" s="1"/>
      <x:c r="H1243" s="1"/>
      <x:c r="I1243" s="1"/>
      <x:c r="J1243" s="1"/>
      <x:c r="K1243" s="1"/>
      <x:c r="L1243" s="1"/>
      <x:c r="M1243" s="1"/>
      <x:c r="N1243" s="1"/>
      <x:c r="O1243" s="1"/>
      <x:c r="P1243" s="1"/>
      <x:c r="Q1243" s="1"/>
      <x:c r="R1243" s="1"/>
      <x:c r="S1243" s="1"/>
      <x:c r="T1243" s="1"/>
      <x:c r="U1243" s="1"/>
      <x:c r="V1243" s="1"/>
    </x:row>
    <x:row r="1244">
      <x:c r="A1244" s="1"/>
      <x:c r="B1244" s="1"/>
      <x:c r="C1244" s="1"/>
      <x:c r="D1244" s="1"/>
      <x:c r="E1244" s="1"/>
      <x:c r="F1244" s="1"/>
      <x:c r="G1244" s="1"/>
      <x:c r="H1244" s="1"/>
      <x:c r="I1244" s="1"/>
      <x:c r="J1244" s="1"/>
      <x:c r="K1244" s="1"/>
      <x:c r="L1244" s="1"/>
      <x:c r="M1244" s="1"/>
      <x:c r="N1244" s="1"/>
      <x:c r="O1244" s="1"/>
      <x:c r="P1244" s="1"/>
      <x:c r="Q1244" s="1"/>
      <x:c r="R1244" s="1"/>
      <x:c r="S1244" s="1"/>
      <x:c r="T1244" s="1"/>
      <x:c r="U1244" s="1"/>
      <x:c r="V1244" s="1"/>
    </x:row>
    <x:row r="1245">
      <x:c r="A1245" s="1"/>
      <x:c r="B1245" s="1"/>
      <x:c r="C1245" s="1"/>
      <x:c r="D1245" s="1"/>
      <x:c r="E1245" s="1"/>
      <x:c r="F1245" s="1"/>
      <x:c r="G1245" s="1"/>
      <x:c r="H1245" s="1"/>
      <x:c r="I1245" s="1"/>
      <x:c r="J1245" s="1"/>
      <x:c r="K1245" s="1"/>
      <x:c r="L1245" s="1"/>
      <x:c r="M1245" s="1"/>
      <x:c r="N1245" s="1"/>
      <x:c r="O1245" s="1"/>
      <x:c r="P1245" s="1"/>
      <x:c r="Q1245" s="1"/>
      <x:c r="R1245" s="1"/>
      <x:c r="S1245" s="1"/>
      <x:c r="T1245" s="1"/>
      <x:c r="U1245" s="1"/>
      <x:c r="V1245" s="1"/>
    </x:row>
    <x:row r="1246">
      <x:c r="A1246" s="1"/>
      <x:c r="B1246" s="1"/>
      <x:c r="C1246" s="1"/>
      <x:c r="D1246" s="1"/>
      <x:c r="E1246" s="1"/>
      <x:c r="F1246" s="1"/>
      <x:c r="G1246" s="1"/>
      <x:c r="H1246" s="1"/>
      <x:c r="I1246" s="1"/>
      <x:c r="J1246" s="1"/>
      <x:c r="K1246" s="1"/>
      <x:c r="L1246" s="1"/>
      <x:c r="M1246" s="1"/>
      <x:c r="N1246" s="1"/>
      <x:c r="O1246" s="1"/>
      <x:c r="P1246" s="1"/>
      <x:c r="Q1246" s="1"/>
      <x:c r="R1246" s="1"/>
      <x:c r="S1246" s="1"/>
      <x:c r="T1246" s="1"/>
      <x:c r="U1246" s="1"/>
      <x:c r="V1246" s="1"/>
    </x:row>
    <x:row r="1247">
      <x:c r="A1247" s="1"/>
      <x:c r="B1247" s="1"/>
      <x:c r="C1247" s="1"/>
      <x:c r="D1247" s="1"/>
      <x:c r="E1247" s="1"/>
      <x:c r="F1247" s="1"/>
      <x:c r="G1247" s="1"/>
      <x:c r="H1247" s="1"/>
      <x:c r="I1247" s="1"/>
      <x:c r="J1247" s="1"/>
      <x:c r="K1247" s="1"/>
      <x:c r="L1247" s="1"/>
      <x:c r="M1247" s="1"/>
      <x:c r="N1247" s="1"/>
      <x:c r="O1247" s="1"/>
      <x:c r="P1247" s="1"/>
      <x:c r="Q1247" s="1"/>
      <x:c r="R1247" s="1"/>
      <x:c r="S1247" s="1"/>
      <x:c r="T1247" s="1"/>
      <x:c r="U1247" s="1"/>
      <x:c r="V1247" s="1"/>
    </x:row>
    <x:row r="1248">
      <x:c r="A1248" s="1"/>
      <x:c r="B1248" s="1"/>
      <x:c r="C1248" s="1"/>
      <x:c r="D1248" s="1"/>
      <x:c r="E1248" s="1"/>
      <x:c r="F1248" s="1"/>
      <x:c r="G1248" s="1"/>
      <x:c r="H1248" s="1"/>
      <x:c r="I1248" s="1"/>
      <x:c r="J1248" s="1"/>
      <x:c r="K1248" s="1"/>
      <x:c r="L1248" s="1"/>
      <x:c r="M1248" s="1"/>
      <x:c r="N1248" s="1"/>
      <x:c r="O1248" s="1"/>
      <x:c r="P1248" s="1"/>
      <x:c r="Q1248" s="1"/>
      <x:c r="R1248" s="1"/>
      <x:c r="S1248" s="1"/>
      <x:c r="T1248" s="1"/>
      <x:c r="U1248" s="1"/>
      <x:c r="V1248" s="1"/>
    </x:row>
    <x:row r="1249">
      <x:c r="A1249" s="1"/>
      <x:c r="B1249" s="1"/>
      <x:c r="C1249" s="1"/>
      <x:c r="D1249" s="1"/>
      <x:c r="E1249" s="1"/>
      <x:c r="F1249" s="1"/>
      <x:c r="G1249" s="1"/>
      <x:c r="H1249" s="1"/>
      <x:c r="I1249" s="1"/>
      <x:c r="J1249" s="1"/>
      <x:c r="K1249" s="1"/>
      <x:c r="L1249" s="1"/>
      <x:c r="M1249" s="1"/>
      <x:c r="N1249" s="1"/>
      <x:c r="O1249" s="1"/>
      <x:c r="P1249" s="1"/>
      <x:c r="Q1249" s="1"/>
      <x:c r="R1249" s="1"/>
      <x:c r="S1249" s="1"/>
      <x:c r="T1249" s="1"/>
      <x:c r="U1249" s="1"/>
      <x:c r="V1249" s="1"/>
    </x:row>
    <x:row r="1250">
      <x:c r="A1250" s="1"/>
      <x:c r="B1250" s="1"/>
      <x:c r="C1250" s="1"/>
      <x:c r="D1250" s="1"/>
      <x:c r="E1250" s="1"/>
      <x:c r="F1250" s="1"/>
      <x:c r="G1250" s="1"/>
      <x:c r="H1250" s="1"/>
      <x:c r="I1250" s="1"/>
      <x:c r="J1250" s="1"/>
      <x:c r="K1250" s="1"/>
      <x:c r="L1250" s="1"/>
      <x:c r="M1250" s="1"/>
      <x:c r="N1250" s="1"/>
      <x:c r="O1250" s="1"/>
      <x:c r="P1250" s="1"/>
      <x:c r="Q1250" s="1"/>
      <x:c r="R1250" s="1"/>
      <x:c r="S1250" s="1"/>
      <x:c r="T1250" s="1"/>
      <x:c r="U1250" s="1"/>
      <x:c r="V1250" s="1"/>
    </x:row>
    <x:row r="1251">
      <x:c r="A1251" s="1"/>
      <x:c r="B1251" s="1"/>
      <x:c r="C1251" s="1"/>
      <x:c r="D1251" s="1"/>
      <x:c r="E1251" s="1"/>
      <x:c r="F1251" s="1"/>
      <x:c r="G1251" s="1"/>
      <x:c r="H1251" s="1"/>
      <x:c r="I1251" s="1"/>
      <x:c r="J1251" s="1"/>
      <x:c r="K1251" s="1"/>
      <x:c r="L1251" s="1"/>
      <x:c r="M1251" s="1"/>
      <x:c r="N1251" s="1"/>
      <x:c r="O1251" s="1"/>
      <x:c r="P1251" s="1"/>
      <x:c r="Q1251" s="1"/>
      <x:c r="R1251" s="1"/>
      <x:c r="S1251" s="1"/>
      <x:c r="T1251" s="1"/>
      <x:c r="U1251" s="1"/>
      <x:c r="V1251" s="1"/>
    </x:row>
    <x:row r="1252">
      <x:c r="A1252" s="1"/>
      <x:c r="B1252" s="1"/>
      <x:c r="C1252" s="1"/>
      <x:c r="D1252" s="1"/>
      <x:c r="E1252" s="1"/>
      <x:c r="F1252" s="1"/>
      <x:c r="G1252" s="1"/>
      <x:c r="H1252" s="1"/>
      <x:c r="I1252" s="1"/>
      <x:c r="J1252" s="1"/>
      <x:c r="K1252" s="1"/>
      <x:c r="L1252" s="1"/>
      <x:c r="M1252" s="1"/>
      <x:c r="N1252" s="1"/>
      <x:c r="O1252" s="1"/>
      <x:c r="P1252" s="1"/>
      <x:c r="Q1252" s="1"/>
      <x:c r="R1252" s="1"/>
      <x:c r="S1252" s="1"/>
      <x:c r="T1252" s="1"/>
      <x:c r="U1252" s="1"/>
      <x:c r="V1252" s="1"/>
    </x:row>
    <x:row r="1253">
      <x:c r="A1253" s="1"/>
      <x:c r="B1253" s="1"/>
      <x:c r="C1253" s="1"/>
      <x:c r="D1253" s="1"/>
      <x:c r="E1253" s="1"/>
      <x:c r="F1253" s="1"/>
      <x:c r="G1253" s="1"/>
      <x:c r="H1253" s="1"/>
      <x:c r="I1253" s="1"/>
      <x:c r="J1253" s="1"/>
      <x:c r="K1253" s="1"/>
      <x:c r="L1253" s="1"/>
      <x:c r="M1253" s="1"/>
      <x:c r="N1253" s="1"/>
      <x:c r="O1253" s="1"/>
      <x:c r="P1253" s="1"/>
      <x:c r="Q1253" s="1"/>
      <x:c r="R1253" s="1"/>
      <x:c r="S1253" s="1"/>
      <x:c r="T1253" s="1"/>
      <x:c r="U1253" s="1"/>
      <x:c r="V1253" s="1"/>
    </x:row>
    <x:row r="1254">
      <x:c r="A1254" s="1"/>
      <x:c r="B1254" s="1"/>
      <x:c r="C1254" s="1"/>
      <x:c r="D1254" s="1"/>
      <x:c r="E1254" s="1"/>
      <x:c r="F1254" s="1"/>
      <x:c r="G1254" s="1"/>
      <x:c r="H1254" s="1"/>
      <x:c r="I1254" s="1"/>
      <x:c r="J1254" s="1"/>
      <x:c r="K1254" s="1"/>
      <x:c r="L1254" s="1"/>
      <x:c r="M1254" s="1"/>
      <x:c r="N1254" s="1"/>
      <x:c r="O1254" s="1"/>
      <x:c r="P1254" s="1"/>
      <x:c r="Q1254" s="1"/>
      <x:c r="R1254" s="1"/>
      <x:c r="S1254" s="1"/>
      <x:c r="T1254" s="1"/>
      <x:c r="U1254" s="1"/>
      <x:c r="V1254" s="1"/>
    </x:row>
    <x:row r="1255">
      <x:c r="A1255" s="1"/>
      <x:c r="B1255" s="1"/>
      <x:c r="C1255" s="1"/>
      <x:c r="D1255" s="1"/>
      <x:c r="E1255" s="1"/>
      <x:c r="F1255" s="1"/>
      <x:c r="G1255" s="1"/>
      <x:c r="H1255" s="1"/>
      <x:c r="I1255" s="1"/>
      <x:c r="J1255" s="1"/>
      <x:c r="K1255" s="1"/>
      <x:c r="L1255" s="1"/>
      <x:c r="M1255" s="1"/>
      <x:c r="N1255" s="1"/>
      <x:c r="O1255" s="1"/>
      <x:c r="P1255" s="1"/>
      <x:c r="Q1255" s="1"/>
      <x:c r="R1255" s="1"/>
      <x:c r="S1255" s="1"/>
      <x:c r="T1255" s="1"/>
      <x:c r="U1255" s="1"/>
      <x:c r="V1255" s="1"/>
    </x:row>
    <x:row r="1256">
      <x:c r="A1256" s="1"/>
      <x:c r="B1256" s="1"/>
      <x:c r="C1256" s="1"/>
      <x:c r="D1256" s="1"/>
      <x:c r="E1256" s="1"/>
      <x:c r="F1256" s="1"/>
      <x:c r="G1256" s="1"/>
      <x:c r="H1256" s="1"/>
      <x:c r="I1256" s="1"/>
      <x:c r="J1256" s="1"/>
      <x:c r="K1256" s="1"/>
      <x:c r="L1256" s="1"/>
      <x:c r="M1256" s="1"/>
      <x:c r="N1256" s="1"/>
      <x:c r="O1256" s="1"/>
      <x:c r="P1256" s="1"/>
      <x:c r="Q1256" s="1"/>
      <x:c r="R1256" s="1"/>
      <x:c r="S1256" s="1"/>
      <x:c r="T1256" s="1"/>
      <x:c r="U1256" s="1"/>
      <x:c r="V1256" s="1"/>
    </x:row>
    <x:row r="1257">
      <x:c r="A1257" s="1"/>
      <x:c r="B1257" s="1"/>
      <x:c r="C1257" s="1"/>
      <x:c r="D1257" s="1"/>
      <x:c r="E1257" s="1"/>
      <x:c r="F1257" s="1"/>
      <x:c r="G1257" s="1"/>
      <x:c r="H1257" s="1"/>
      <x:c r="I1257" s="1"/>
      <x:c r="J1257" s="1"/>
      <x:c r="K1257" s="1"/>
      <x:c r="L1257" s="1"/>
      <x:c r="M1257" s="1"/>
      <x:c r="N1257" s="1"/>
      <x:c r="O1257" s="1"/>
      <x:c r="P1257" s="1"/>
      <x:c r="Q1257" s="1"/>
      <x:c r="R1257" s="1"/>
      <x:c r="S1257" s="1"/>
      <x:c r="T1257" s="1"/>
      <x:c r="U1257" s="1"/>
      <x:c r="V1257" s="1"/>
    </x:row>
    <x:row r="1258">
      <x:c r="A1258" s="1"/>
      <x:c r="B1258" s="1"/>
      <x:c r="C1258" s="1"/>
      <x:c r="D1258" s="1"/>
      <x:c r="E1258" s="1"/>
      <x:c r="F1258" s="1"/>
      <x:c r="G1258" s="1"/>
      <x:c r="H1258" s="1"/>
      <x:c r="I1258" s="1"/>
      <x:c r="J1258" s="1"/>
      <x:c r="K1258" s="1"/>
      <x:c r="L1258" s="1"/>
      <x:c r="M1258" s="1"/>
      <x:c r="N1258" s="1"/>
      <x:c r="O1258" s="1"/>
      <x:c r="P1258" s="1"/>
      <x:c r="Q1258" s="1"/>
      <x:c r="R1258" s="1"/>
      <x:c r="S1258" s="1"/>
      <x:c r="T1258" s="1"/>
      <x:c r="U1258" s="1"/>
      <x:c r="V1258" s="1"/>
    </x:row>
    <x:row r="1259">
      <x:c r="A1259" s="1"/>
      <x:c r="B1259" s="1"/>
      <x:c r="C1259" s="1"/>
      <x:c r="D1259" s="1"/>
      <x:c r="E1259" s="1"/>
      <x:c r="F1259" s="1"/>
      <x:c r="G1259" s="1"/>
      <x:c r="H1259" s="1"/>
      <x:c r="I1259" s="1"/>
      <x:c r="J1259" s="1"/>
      <x:c r="K1259" s="1"/>
      <x:c r="L1259" s="1"/>
      <x:c r="M1259" s="1"/>
      <x:c r="N1259" s="1"/>
      <x:c r="O1259" s="1"/>
      <x:c r="P1259" s="1"/>
      <x:c r="Q1259" s="1"/>
      <x:c r="R1259" s="1"/>
      <x:c r="S1259" s="1"/>
      <x:c r="T1259" s="1"/>
      <x:c r="U1259" s="1"/>
      <x:c r="V1259" s="1"/>
    </x:row>
    <x:row r="1260">
      <x:c r="A1260" s="1"/>
      <x:c r="B1260" s="1"/>
      <x:c r="C1260" s="1"/>
      <x:c r="D1260" s="1"/>
      <x:c r="E1260" s="1"/>
      <x:c r="F1260" s="1"/>
      <x:c r="G1260" s="1"/>
      <x:c r="H1260" s="1"/>
      <x:c r="I1260" s="1"/>
      <x:c r="J1260" s="1"/>
      <x:c r="K1260" s="1"/>
      <x:c r="L1260" s="1"/>
      <x:c r="M1260" s="1"/>
      <x:c r="N1260" s="1"/>
      <x:c r="O1260" s="1"/>
      <x:c r="P1260" s="1"/>
      <x:c r="Q1260" s="1"/>
      <x:c r="R1260" s="1"/>
      <x:c r="S1260" s="1"/>
      <x:c r="T1260" s="1"/>
      <x:c r="U1260" s="1"/>
      <x:c r="V1260" s="1"/>
    </x:row>
    <x:row r="1261">
      <x:c r="A1261" s="1"/>
      <x:c r="B1261" s="1"/>
      <x:c r="C1261" s="1"/>
      <x:c r="D1261" s="1"/>
      <x:c r="E1261" s="1"/>
      <x:c r="F1261" s="1"/>
      <x:c r="G1261" s="1"/>
      <x:c r="H1261" s="1"/>
      <x:c r="I1261" s="1"/>
      <x:c r="J1261" s="1"/>
      <x:c r="K1261" s="1"/>
      <x:c r="L1261" s="1"/>
      <x:c r="M1261" s="1"/>
      <x:c r="N1261" s="1"/>
      <x:c r="O1261" s="1"/>
      <x:c r="P1261" s="1"/>
      <x:c r="Q1261" s="1"/>
      <x:c r="R1261" s="1"/>
      <x:c r="S1261" s="1"/>
      <x:c r="T1261" s="1"/>
      <x:c r="U1261" s="1"/>
      <x:c r="V1261" s="1"/>
    </x:row>
    <x:row r="1262">
      <x:c r="A1262" s="1"/>
      <x:c r="B1262" s="1"/>
      <x:c r="C1262" s="1"/>
      <x:c r="D1262" s="1"/>
      <x:c r="E1262" s="1"/>
      <x:c r="F1262" s="1"/>
      <x:c r="G1262" s="1"/>
      <x:c r="H1262" s="1"/>
      <x:c r="I1262" s="1"/>
      <x:c r="J1262" s="1"/>
      <x:c r="K1262" s="1"/>
      <x:c r="L1262" s="1"/>
      <x:c r="M1262" s="1"/>
      <x:c r="N1262" s="1"/>
      <x:c r="O1262" s="1"/>
      <x:c r="P1262" s="1"/>
      <x:c r="Q1262" s="1"/>
      <x:c r="R1262" s="1"/>
      <x:c r="S1262" s="1"/>
      <x:c r="T1262" s="1"/>
      <x:c r="U1262" s="1"/>
      <x:c r="V1262" s="1"/>
    </x:row>
    <x:row r="1263">
      <x:c r="A1263" s="1"/>
      <x:c r="B1263" s="1"/>
      <x:c r="C1263" s="1"/>
      <x:c r="D1263" s="1"/>
      <x:c r="E1263" s="1"/>
      <x:c r="F1263" s="1"/>
      <x:c r="G1263" s="1"/>
      <x:c r="H1263" s="1"/>
      <x:c r="I1263" s="1"/>
      <x:c r="J1263" s="1"/>
      <x:c r="K1263" s="1"/>
      <x:c r="L1263" s="1"/>
      <x:c r="M1263" s="1"/>
      <x:c r="N1263" s="1"/>
      <x:c r="O1263" s="1"/>
      <x:c r="P1263" s="1"/>
      <x:c r="Q1263" s="1"/>
      <x:c r="R1263" s="1"/>
      <x:c r="S1263" s="1"/>
      <x:c r="T1263" s="1"/>
      <x:c r="U1263" s="1"/>
      <x:c r="V1263" s="1"/>
    </x:row>
    <x:row r="1264">
      <x:c r="A1264" s="1"/>
      <x:c r="B1264" s="1"/>
      <x:c r="C1264" s="1"/>
      <x:c r="D1264" s="1"/>
      <x:c r="E1264" s="1"/>
      <x:c r="F1264" s="1"/>
      <x:c r="G1264" s="1"/>
      <x:c r="H1264" s="1"/>
      <x:c r="I1264" s="1"/>
      <x:c r="J1264" s="1"/>
      <x:c r="K1264" s="1"/>
      <x:c r="L1264" s="1"/>
      <x:c r="M1264" s="1"/>
      <x:c r="N1264" s="1"/>
      <x:c r="O1264" s="1"/>
      <x:c r="P1264" s="1"/>
      <x:c r="Q1264" s="1"/>
      <x:c r="R1264" s="1"/>
      <x:c r="S1264" s="1"/>
      <x:c r="T1264" s="1"/>
      <x:c r="U1264" s="1"/>
      <x:c r="V1264" s="1"/>
    </x:row>
    <x:row r="1265">
      <x:c r="A1265" s="1"/>
      <x:c r="B1265" s="1"/>
      <x:c r="C1265" s="1"/>
      <x:c r="D1265" s="1"/>
      <x:c r="E1265" s="1"/>
      <x:c r="F1265" s="1"/>
      <x:c r="G1265" s="1"/>
      <x:c r="H1265" s="1"/>
      <x:c r="I1265" s="1"/>
      <x:c r="J1265" s="1"/>
      <x:c r="K1265" s="1"/>
      <x:c r="L1265" s="1"/>
      <x:c r="M1265" s="1"/>
      <x:c r="N1265" s="1"/>
      <x:c r="O1265" s="1"/>
      <x:c r="P1265" s="1"/>
      <x:c r="Q1265" s="1"/>
      <x:c r="R1265" s="1"/>
      <x:c r="S1265" s="1"/>
      <x:c r="T1265" s="1"/>
      <x:c r="U1265" s="1"/>
      <x:c r="V1265" s="1"/>
    </x:row>
    <x:row r="1266">
      <x:c r="A1266" s="1"/>
      <x:c r="B1266" s="1"/>
      <x:c r="C1266" s="1"/>
      <x:c r="D1266" s="1"/>
      <x:c r="E1266" s="1"/>
      <x:c r="F1266" s="1"/>
      <x:c r="G1266" s="1"/>
      <x:c r="H1266" s="1"/>
      <x:c r="I1266" s="1"/>
      <x:c r="J1266" s="1"/>
      <x:c r="K1266" s="1"/>
      <x:c r="L1266" s="1"/>
      <x:c r="M1266" s="1"/>
      <x:c r="N1266" s="1"/>
      <x:c r="O1266" s="1"/>
      <x:c r="P1266" s="1"/>
      <x:c r="Q1266" s="1"/>
      <x:c r="R1266" s="1"/>
      <x:c r="S1266" s="1"/>
      <x:c r="T1266" s="1"/>
      <x:c r="U1266" s="1"/>
      <x:c r="V1266" s="1"/>
    </x:row>
    <x:row r="1267">
      <x:c r="A1267" s="1"/>
      <x:c r="B1267" s="1"/>
      <x:c r="C1267" s="1"/>
      <x:c r="D1267" s="1"/>
      <x:c r="E1267" s="1"/>
      <x:c r="F1267" s="1"/>
      <x:c r="G1267" s="1"/>
      <x:c r="H1267" s="1"/>
      <x:c r="I1267" s="1"/>
      <x:c r="J1267" s="1"/>
      <x:c r="K1267" s="1"/>
      <x:c r="L1267" s="1"/>
      <x:c r="M1267" s="1"/>
      <x:c r="N1267" s="1"/>
      <x:c r="O1267" s="1"/>
      <x:c r="P1267" s="1"/>
      <x:c r="Q1267" s="1"/>
      <x:c r="R1267" s="1"/>
      <x:c r="S1267" s="1"/>
      <x:c r="T1267" s="1"/>
      <x:c r="U1267" s="1"/>
      <x:c r="V1267" s="1"/>
    </x:row>
    <x:row r="1268">
      <x:c r="A1268" s="1"/>
      <x:c r="B1268" s="1"/>
      <x:c r="C1268" s="1"/>
      <x:c r="D1268" s="1"/>
      <x:c r="E1268" s="1"/>
      <x:c r="F1268" s="1"/>
      <x:c r="G1268" s="1"/>
      <x:c r="H1268" s="1"/>
      <x:c r="I1268" s="1"/>
      <x:c r="J1268" s="1"/>
      <x:c r="K1268" s="1"/>
      <x:c r="L1268" s="1"/>
      <x:c r="M1268" s="1"/>
      <x:c r="N1268" s="1"/>
      <x:c r="O1268" s="1"/>
      <x:c r="P1268" s="1"/>
      <x:c r="Q1268" s="1"/>
      <x:c r="R1268" s="1"/>
      <x:c r="S1268" s="1"/>
      <x:c r="T1268" s="1"/>
      <x:c r="U1268" s="1"/>
      <x:c r="V1268" s="1"/>
    </x:row>
    <x:row r="1269">
      <x:c r="A1269" s="1"/>
      <x:c r="B1269" s="1"/>
      <x:c r="C1269" s="1"/>
      <x:c r="D1269" s="1"/>
      <x:c r="E1269" s="1"/>
      <x:c r="F1269" s="1"/>
      <x:c r="G1269" s="1"/>
      <x:c r="H1269" s="1"/>
      <x:c r="I1269" s="1"/>
      <x:c r="J1269" s="1"/>
      <x:c r="K1269" s="1"/>
      <x:c r="L1269" s="1"/>
      <x:c r="M1269" s="1"/>
      <x:c r="N1269" s="1"/>
      <x:c r="O1269" s="1"/>
      <x:c r="P1269" s="1"/>
      <x:c r="Q1269" s="1"/>
      <x:c r="R1269" s="1"/>
      <x:c r="S1269" s="1"/>
      <x:c r="T1269" s="1"/>
      <x:c r="U1269" s="1"/>
      <x:c r="V1269" s="1"/>
    </x:row>
    <x:row r="1270">
      <x:c r="A1270" s="1"/>
      <x:c r="B1270" s="1"/>
      <x:c r="C1270" s="1"/>
      <x:c r="D1270" s="1"/>
      <x:c r="E1270" s="1"/>
      <x:c r="F1270" s="1"/>
      <x:c r="G1270" s="1"/>
      <x:c r="H1270" s="1"/>
      <x:c r="I1270" s="1"/>
      <x:c r="J1270" s="1"/>
      <x:c r="K1270" s="1"/>
      <x:c r="L1270" s="1"/>
      <x:c r="M1270" s="1"/>
      <x:c r="N1270" s="1"/>
      <x:c r="O1270" s="1"/>
      <x:c r="P1270" s="1"/>
      <x:c r="Q1270" s="1"/>
      <x:c r="R1270" s="1"/>
      <x:c r="S1270" s="1"/>
      <x:c r="T1270" s="1"/>
      <x:c r="U1270" s="1"/>
      <x:c r="V1270" s="1"/>
    </x:row>
    <x:row r="1271">
      <x:c r="A1271" s="1"/>
      <x:c r="B1271" s="1"/>
      <x:c r="C1271" s="1"/>
      <x:c r="D1271" s="1"/>
      <x:c r="E1271" s="1"/>
      <x:c r="F1271" s="1"/>
      <x:c r="G1271" s="1"/>
      <x:c r="H1271" s="1"/>
      <x:c r="I1271" s="1"/>
      <x:c r="J1271" s="1"/>
      <x:c r="K1271" s="1"/>
      <x:c r="L1271" s="1"/>
      <x:c r="M1271" s="1"/>
      <x:c r="N1271" s="1"/>
      <x:c r="O1271" s="1"/>
      <x:c r="P1271" s="1"/>
      <x:c r="Q1271" s="1"/>
      <x:c r="R1271" s="1"/>
      <x:c r="S1271" s="1"/>
      <x:c r="T1271" s="1"/>
      <x:c r="U1271" s="1"/>
      <x:c r="V1271" s="1"/>
    </x:row>
    <x:row r="1272">
      <x:c r="A1272" s="1"/>
      <x:c r="B1272" s="1"/>
      <x:c r="C1272" s="1"/>
      <x:c r="D1272" s="1"/>
      <x:c r="E1272" s="1"/>
      <x:c r="F1272" s="1"/>
      <x:c r="G1272" s="1"/>
      <x:c r="H1272" s="1"/>
      <x:c r="I1272" s="1"/>
      <x:c r="J1272" s="1"/>
      <x:c r="K1272" s="1"/>
      <x:c r="L1272" s="1"/>
      <x:c r="M1272" s="1"/>
      <x:c r="N1272" s="1"/>
      <x:c r="O1272" s="1"/>
      <x:c r="P1272" s="1"/>
      <x:c r="Q1272" s="1"/>
      <x:c r="R1272" s="1"/>
      <x:c r="S1272" s="1"/>
      <x:c r="T1272" s="1"/>
      <x:c r="U1272" s="1"/>
      <x:c r="V1272" s="1"/>
    </x:row>
    <x:row r="1273">
      <x:c r="A1273" s="1"/>
      <x:c r="B1273" s="1"/>
      <x:c r="C1273" s="1"/>
      <x:c r="D1273" s="1"/>
      <x:c r="E1273" s="1"/>
      <x:c r="F1273" s="1"/>
      <x:c r="G1273" s="1"/>
      <x:c r="H1273" s="1"/>
      <x:c r="I1273" s="1"/>
      <x:c r="J1273" s="1"/>
      <x:c r="K1273" s="1"/>
      <x:c r="L1273" s="1"/>
      <x:c r="M1273" s="1"/>
      <x:c r="N1273" s="1"/>
      <x:c r="O1273" s="1"/>
      <x:c r="P1273" s="1"/>
      <x:c r="Q1273" s="1"/>
      <x:c r="R1273" s="1"/>
      <x:c r="S1273" s="1"/>
      <x:c r="T1273" s="1"/>
      <x:c r="U1273" s="1"/>
      <x:c r="V1273" s="1"/>
    </x:row>
    <x:row r="1274">
      <x:c r="A1274" s="1"/>
      <x:c r="B1274" s="1"/>
      <x:c r="C1274" s="1"/>
      <x:c r="D1274" s="1"/>
      <x:c r="E1274" s="1"/>
      <x:c r="F1274" s="1"/>
      <x:c r="G1274" s="1"/>
      <x:c r="H1274" s="1"/>
      <x:c r="I1274" s="1"/>
      <x:c r="J1274" s="1"/>
      <x:c r="K1274" s="1"/>
      <x:c r="L1274" s="1"/>
      <x:c r="M1274" s="1"/>
      <x:c r="N1274" s="1"/>
      <x:c r="O1274" s="1"/>
      <x:c r="P1274" s="1"/>
      <x:c r="Q1274" s="1"/>
      <x:c r="R1274" s="1"/>
      <x:c r="S1274" s="1"/>
      <x:c r="T1274" s="1"/>
      <x:c r="U1274" s="1"/>
      <x:c r="V1274" s="1"/>
    </x:row>
    <x:row r="1275">
      <x:c r="A1275" s="1"/>
      <x:c r="B1275" s="1"/>
      <x:c r="C1275" s="1"/>
      <x:c r="D1275" s="1"/>
      <x:c r="E1275" s="1"/>
      <x:c r="F1275" s="1"/>
      <x:c r="G1275" s="1"/>
      <x:c r="H1275" s="1"/>
      <x:c r="I1275" s="1"/>
      <x:c r="J1275" s="1"/>
      <x:c r="K1275" s="1"/>
      <x:c r="L1275" s="1"/>
      <x:c r="M1275" s="1"/>
      <x:c r="N1275" s="1"/>
      <x:c r="O1275" s="1"/>
      <x:c r="P1275" s="1"/>
      <x:c r="Q1275" s="1"/>
      <x:c r="R1275" s="1"/>
      <x:c r="S1275" s="1"/>
      <x:c r="T1275" s="1"/>
      <x:c r="U1275" s="1"/>
      <x:c r="V1275" s="1"/>
    </x:row>
    <x:row r="1276">
      <x:c r="A1276" s="1"/>
      <x:c r="B1276" s="1"/>
      <x:c r="C1276" s="1"/>
      <x:c r="D1276" s="1"/>
      <x:c r="E1276" s="1"/>
      <x:c r="F1276" s="1"/>
      <x:c r="G1276" s="1"/>
      <x:c r="H1276" s="1"/>
      <x:c r="I1276" s="1"/>
      <x:c r="J1276" s="1"/>
      <x:c r="K1276" s="1"/>
      <x:c r="L1276" s="1"/>
      <x:c r="M1276" s="1"/>
      <x:c r="N1276" s="1"/>
      <x:c r="O1276" s="1"/>
      <x:c r="P1276" s="1"/>
      <x:c r="Q1276" s="1"/>
      <x:c r="R1276" s="1"/>
      <x:c r="S1276" s="1"/>
      <x:c r="T1276" s="1"/>
      <x:c r="U1276" s="1"/>
      <x:c r="V1276" s="1"/>
    </x:row>
    <x:row r="1277">
      <x:c r="A1277" s="1"/>
      <x:c r="B1277" s="1"/>
      <x:c r="C1277" s="1"/>
      <x:c r="D1277" s="1"/>
      <x:c r="E1277" s="1"/>
      <x:c r="F1277" s="1"/>
      <x:c r="G1277" s="1"/>
      <x:c r="H1277" s="1"/>
      <x:c r="I1277" s="1"/>
      <x:c r="J1277" s="1"/>
      <x:c r="K1277" s="1"/>
      <x:c r="L1277" s="1"/>
      <x:c r="M1277" s="1"/>
      <x:c r="N1277" s="1"/>
      <x:c r="O1277" s="1"/>
      <x:c r="P1277" s="1"/>
      <x:c r="Q1277" s="1"/>
      <x:c r="R1277" s="1"/>
      <x:c r="S1277" s="1"/>
      <x:c r="T1277" s="1"/>
      <x:c r="U1277" s="1"/>
      <x:c r="V1277" s="1"/>
    </x:row>
    <x:row r="1278">
      <x:c r="A1278" s="1"/>
      <x:c r="B1278" s="1"/>
      <x:c r="C1278" s="1"/>
      <x:c r="D1278" s="1"/>
      <x:c r="E1278" s="1"/>
      <x:c r="F1278" s="1"/>
      <x:c r="G1278" s="1"/>
      <x:c r="H1278" s="1"/>
      <x:c r="I1278" s="1"/>
      <x:c r="J1278" s="1"/>
      <x:c r="K1278" s="1"/>
      <x:c r="L1278" s="1"/>
      <x:c r="M1278" s="1"/>
      <x:c r="N1278" s="1"/>
      <x:c r="O1278" s="1"/>
      <x:c r="P1278" s="1"/>
      <x:c r="Q1278" s="1"/>
      <x:c r="R1278" s="1"/>
      <x:c r="S1278" s="1"/>
      <x:c r="T1278" s="1"/>
      <x:c r="U1278" s="1"/>
      <x:c r="V1278" s="1"/>
    </x:row>
    <x:row r="1279">
      <x:c r="A1279" s="1"/>
      <x:c r="B1279" s="1"/>
      <x:c r="C1279" s="1"/>
      <x:c r="D1279" s="1"/>
      <x:c r="E1279" s="1"/>
      <x:c r="F1279" s="1"/>
      <x:c r="G1279" s="1"/>
      <x:c r="H1279" s="1"/>
      <x:c r="I1279" s="1"/>
      <x:c r="J1279" s="1"/>
      <x:c r="K1279" s="1"/>
      <x:c r="L1279" s="1"/>
      <x:c r="M1279" s="1"/>
      <x:c r="N1279" s="1"/>
      <x:c r="O1279" s="1"/>
      <x:c r="P1279" s="1"/>
      <x:c r="Q1279" s="1"/>
      <x:c r="R1279" s="1"/>
      <x:c r="S1279" s="1"/>
      <x:c r="T1279" s="1"/>
      <x:c r="U1279" s="1"/>
      <x:c r="V1279" s="1"/>
    </x:row>
    <x:row r="1280">
      <x:c r="A1280" s="1"/>
      <x:c r="B1280" s="1"/>
      <x:c r="C1280" s="1"/>
      <x:c r="D1280" s="1"/>
      <x:c r="E1280" s="1"/>
      <x:c r="F1280" s="1"/>
      <x:c r="G1280" s="1"/>
      <x:c r="H1280" s="1"/>
      <x:c r="I1280" s="1"/>
      <x:c r="J1280" s="1"/>
      <x:c r="K1280" s="1"/>
      <x:c r="L1280" s="1"/>
      <x:c r="M1280" s="1"/>
      <x:c r="N1280" s="1"/>
      <x:c r="O1280" s="1"/>
      <x:c r="P1280" s="1"/>
      <x:c r="Q1280" s="1"/>
      <x:c r="R1280" s="1"/>
      <x:c r="S1280" s="1"/>
      <x:c r="T1280" s="1"/>
      <x:c r="U1280" s="1"/>
      <x:c r="V1280" s="1"/>
    </x:row>
    <x:row r="1281">
      <x:c r="A1281" s="1"/>
      <x:c r="B1281" s="1"/>
      <x:c r="C1281" s="1"/>
      <x:c r="D1281" s="1"/>
      <x:c r="E1281" s="1"/>
      <x:c r="F1281" s="1"/>
      <x:c r="G1281" s="1"/>
      <x:c r="H1281" s="1"/>
      <x:c r="I1281" s="1"/>
      <x:c r="J1281" s="1"/>
      <x:c r="K1281" s="1"/>
      <x:c r="L1281" s="1"/>
      <x:c r="M1281" s="1"/>
      <x:c r="N1281" s="1"/>
      <x:c r="O1281" s="1"/>
      <x:c r="P1281" s="1"/>
      <x:c r="Q1281" s="1"/>
      <x:c r="R1281" s="1"/>
      <x:c r="S1281" s="1"/>
      <x:c r="T1281" s="1"/>
      <x:c r="U1281" s="1"/>
      <x:c r="V1281" s="1"/>
    </x:row>
    <x:row r="1282">
      <x:c r="A1282" s="1"/>
      <x:c r="B1282" s="1"/>
      <x:c r="C1282" s="1"/>
      <x:c r="D1282" s="1"/>
      <x:c r="E1282" s="1"/>
      <x:c r="F1282" s="1"/>
      <x:c r="G1282" s="1"/>
      <x:c r="H1282" s="1"/>
      <x:c r="I1282" s="1"/>
      <x:c r="J1282" s="1"/>
      <x:c r="K1282" s="1"/>
      <x:c r="L1282" s="1"/>
      <x:c r="M1282" s="1"/>
      <x:c r="N1282" s="1"/>
      <x:c r="O1282" s="1"/>
      <x:c r="P1282" s="1"/>
      <x:c r="Q1282" s="1"/>
      <x:c r="R1282" s="1"/>
      <x:c r="S1282" s="1"/>
      <x:c r="T1282" s="1"/>
      <x:c r="U1282" s="1"/>
      <x:c r="V1282" s="1"/>
    </x:row>
    <x:row r="1283">
      <x:c r="A1283" s="1"/>
      <x:c r="B1283" s="1"/>
      <x:c r="C1283" s="1"/>
      <x:c r="D1283" s="1"/>
      <x:c r="E1283" s="1"/>
      <x:c r="F1283" s="1"/>
      <x:c r="G1283" s="1"/>
      <x:c r="H1283" s="1"/>
      <x:c r="I1283" s="1"/>
      <x:c r="J1283" s="1"/>
      <x:c r="K1283" s="1"/>
      <x:c r="L1283" s="1"/>
      <x:c r="M1283" s="1"/>
      <x:c r="N1283" s="1"/>
      <x:c r="O1283" s="1"/>
      <x:c r="P1283" s="1"/>
      <x:c r="Q1283" s="1"/>
      <x:c r="R1283" s="1"/>
      <x:c r="S1283" s="1"/>
      <x:c r="T1283" s="1"/>
      <x:c r="U1283" s="1"/>
      <x:c r="V1283" s="1"/>
    </x:row>
    <x:row r="1284">
      <x:c r="A1284" s="1"/>
      <x:c r="B1284" s="1"/>
      <x:c r="C1284" s="1"/>
      <x:c r="D1284" s="1"/>
      <x:c r="E1284" s="1"/>
      <x:c r="F1284" s="1"/>
      <x:c r="G1284" s="1"/>
      <x:c r="H1284" s="1"/>
      <x:c r="I1284" s="1"/>
      <x:c r="J1284" s="1"/>
      <x:c r="K1284" s="1"/>
      <x:c r="L1284" s="1"/>
      <x:c r="M1284" s="1"/>
      <x:c r="N1284" s="1"/>
      <x:c r="O1284" s="1"/>
      <x:c r="P1284" s="1"/>
      <x:c r="Q1284" s="1"/>
      <x:c r="R1284" s="1"/>
      <x:c r="S1284" s="1"/>
      <x:c r="T1284" s="1"/>
      <x:c r="U1284" s="1"/>
      <x:c r="V1284" s="1"/>
    </x:row>
    <x:row r="1285">
      <x:c r="A1285" s="1"/>
      <x:c r="B1285" s="1"/>
      <x:c r="C1285" s="1"/>
      <x:c r="D1285" s="1"/>
      <x:c r="E1285" s="1"/>
      <x:c r="F1285" s="1"/>
      <x:c r="G1285" s="1"/>
      <x:c r="H1285" s="1"/>
      <x:c r="I1285" s="1"/>
      <x:c r="J1285" s="1"/>
      <x:c r="K1285" s="1"/>
      <x:c r="L1285" s="1"/>
      <x:c r="M1285" s="1"/>
      <x:c r="N1285" s="1"/>
      <x:c r="O1285" s="1"/>
      <x:c r="P1285" s="1"/>
      <x:c r="Q1285" s="1"/>
      <x:c r="R1285" s="1"/>
      <x:c r="S1285" s="1"/>
      <x:c r="T1285" s="1"/>
      <x:c r="U1285" s="1"/>
      <x:c r="V1285" s="1"/>
    </x:row>
    <x:row r="1286">
      <x:c r="A1286" s="1"/>
      <x:c r="B1286" s="1"/>
      <x:c r="C1286" s="1"/>
      <x:c r="D1286" s="1"/>
      <x:c r="E1286" s="1"/>
      <x:c r="F1286" s="1"/>
      <x:c r="G1286" s="1"/>
      <x:c r="H1286" s="1"/>
      <x:c r="I1286" s="1"/>
      <x:c r="J1286" s="1"/>
      <x:c r="K1286" s="1"/>
      <x:c r="L1286" s="1"/>
      <x:c r="M1286" s="1"/>
      <x:c r="N1286" s="1"/>
      <x:c r="O1286" s="1"/>
      <x:c r="P1286" s="1"/>
      <x:c r="Q1286" s="1"/>
      <x:c r="R1286" s="1"/>
      <x:c r="S1286" s="1"/>
      <x:c r="T1286" s="1"/>
      <x:c r="U1286" s="1"/>
      <x:c r="V1286" s="1"/>
    </x:row>
    <x:row r="1287">
      <x:c r="A1287" s="1"/>
      <x:c r="B1287" s="1"/>
      <x:c r="C1287" s="1"/>
      <x:c r="D1287" s="1"/>
      <x:c r="E1287" s="1"/>
      <x:c r="F1287" s="1"/>
      <x:c r="G1287" s="1"/>
      <x:c r="H1287" s="1"/>
      <x:c r="I1287" s="1"/>
      <x:c r="J1287" s="1"/>
      <x:c r="K1287" s="1"/>
      <x:c r="L1287" s="1"/>
      <x:c r="M1287" s="1"/>
      <x:c r="N1287" s="1"/>
      <x:c r="O1287" s="1"/>
      <x:c r="P1287" s="1"/>
      <x:c r="Q1287" s="1"/>
      <x:c r="R1287" s="1"/>
      <x:c r="S1287" s="1"/>
      <x:c r="T1287" s="1"/>
      <x:c r="U1287" s="1"/>
      <x:c r="V1287" s="1"/>
    </x:row>
    <x:row r="1288">
      <x:c r="A1288" s="1"/>
      <x:c r="B1288" s="1"/>
      <x:c r="C1288" s="1"/>
      <x:c r="D1288" s="1"/>
      <x:c r="E1288" s="1"/>
      <x:c r="F1288" s="1"/>
      <x:c r="G1288" s="1"/>
      <x:c r="H1288" s="1"/>
      <x:c r="I1288" s="1"/>
      <x:c r="J1288" s="1"/>
      <x:c r="K1288" s="1"/>
      <x:c r="L1288" s="1"/>
      <x:c r="M1288" s="1"/>
      <x:c r="N1288" s="1"/>
      <x:c r="O1288" s="1"/>
      <x:c r="P1288" s="1"/>
      <x:c r="Q1288" s="1"/>
      <x:c r="R1288" s="1"/>
      <x:c r="S1288" s="1"/>
      <x:c r="T1288" s="1"/>
      <x:c r="U1288" s="1"/>
      <x:c r="V1288" s="1"/>
    </x:row>
    <x:row r="1289">
      <x:c r="A1289" s="1"/>
      <x:c r="B1289" s="1"/>
      <x:c r="C1289" s="1"/>
      <x:c r="D1289" s="1"/>
      <x:c r="E1289" s="1"/>
      <x:c r="F1289" s="1"/>
      <x:c r="G1289" s="1"/>
      <x:c r="H1289" s="1"/>
      <x:c r="I1289" s="1"/>
      <x:c r="J1289" s="1"/>
      <x:c r="K1289" s="1"/>
      <x:c r="L1289" s="1"/>
      <x:c r="M1289" s="1"/>
      <x:c r="N1289" s="1"/>
      <x:c r="O1289" s="1"/>
      <x:c r="P1289" s="1"/>
      <x:c r="Q1289" s="1"/>
      <x:c r="R1289" s="1"/>
      <x:c r="S1289" s="1"/>
      <x:c r="T1289" s="1"/>
      <x:c r="U1289" s="1"/>
      <x:c r="V1289" s="1"/>
    </x:row>
    <x:row r="1290">
      <x:c r="A1290" s="1"/>
      <x:c r="B1290" s="1"/>
      <x:c r="C1290" s="1"/>
      <x:c r="D1290" s="1"/>
      <x:c r="E1290" s="1"/>
      <x:c r="F1290" s="1"/>
      <x:c r="G1290" s="1"/>
      <x:c r="H1290" s="1"/>
      <x:c r="I1290" s="1"/>
      <x:c r="J1290" s="1"/>
      <x:c r="K1290" s="1"/>
      <x:c r="L1290" s="1"/>
      <x:c r="M1290" s="1"/>
      <x:c r="N1290" s="1"/>
      <x:c r="O1290" s="1"/>
      <x:c r="P1290" s="1"/>
      <x:c r="Q1290" s="1"/>
      <x:c r="R1290" s="1"/>
      <x:c r="S1290" s="1"/>
      <x:c r="T1290" s="1"/>
      <x:c r="U1290" s="1"/>
      <x:c r="V1290" s="1"/>
    </x:row>
    <x:row r="1291">
      <x:c r="A1291" s="1"/>
      <x:c r="B1291" s="1"/>
      <x:c r="C1291" s="1"/>
      <x:c r="D1291" s="1"/>
      <x:c r="E1291" s="1"/>
      <x:c r="F1291" s="1"/>
      <x:c r="G1291" s="1"/>
      <x:c r="H1291" s="1"/>
      <x:c r="I1291" s="1"/>
      <x:c r="J1291" s="1"/>
      <x:c r="K1291" s="1"/>
      <x:c r="L1291" s="1"/>
      <x:c r="M1291" s="1"/>
      <x:c r="N1291" s="1"/>
      <x:c r="O1291" s="1"/>
      <x:c r="P1291" s="1"/>
      <x:c r="Q1291" s="1"/>
      <x:c r="R1291" s="1"/>
      <x:c r="S1291" s="1"/>
      <x:c r="T1291" s="1"/>
      <x:c r="U1291" s="1"/>
      <x:c r="V1291" s="1"/>
    </x:row>
    <x:row r="1292">
      <x:c r="A1292" s="1"/>
      <x:c r="B1292" s="1"/>
      <x:c r="C1292" s="1"/>
      <x:c r="D1292" s="1"/>
      <x:c r="E1292" s="1"/>
      <x:c r="F1292" s="1"/>
      <x:c r="G1292" s="1"/>
      <x:c r="H1292" s="1"/>
      <x:c r="I1292" s="1"/>
      <x:c r="J1292" s="1"/>
      <x:c r="K1292" s="1"/>
      <x:c r="L1292" s="1"/>
      <x:c r="M1292" s="1"/>
      <x:c r="N1292" s="1"/>
      <x:c r="O1292" s="1"/>
      <x:c r="P1292" s="1"/>
      <x:c r="Q1292" s="1"/>
      <x:c r="R1292" s="1"/>
      <x:c r="S1292" s="1"/>
      <x:c r="T1292" s="1"/>
      <x:c r="U1292" s="1"/>
      <x:c r="V1292" s="1"/>
    </x:row>
    <x:row r="1293">
      <x:c r="A1293" s="1"/>
      <x:c r="B1293" s="1"/>
      <x:c r="C1293" s="1"/>
      <x:c r="D1293" s="1"/>
      <x:c r="E1293" s="1"/>
      <x:c r="F1293" s="1"/>
      <x:c r="G1293" s="1"/>
      <x:c r="H1293" s="1"/>
      <x:c r="I1293" s="1"/>
      <x:c r="J1293" s="1"/>
      <x:c r="K1293" s="1"/>
      <x:c r="L1293" s="1"/>
      <x:c r="M1293" s="1"/>
      <x:c r="N1293" s="1"/>
      <x:c r="O1293" s="1"/>
      <x:c r="P1293" s="1"/>
      <x:c r="Q1293" s="1"/>
      <x:c r="R1293" s="1"/>
      <x:c r="S1293" s="1"/>
      <x:c r="T1293" s="1"/>
      <x:c r="U1293" s="1"/>
      <x:c r="V1293" s="1"/>
    </x:row>
    <x:row r="1294">
      <x:c r="A1294" s="1"/>
      <x:c r="B1294" s="1"/>
      <x:c r="C1294" s="1"/>
      <x:c r="D1294" s="1"/>
      <x:c r="E1294" s="1"/>
      <x:c r="F1294" s="1"/>
      <x:c r="G1294" s="1"/>
      <x:c r="H1294" s="1"/>
      <x:c r="I1294" s="1"/>
      <x:c r="J1294" s="1"/>
      <x:c r="K1294" s="1"/>
      <x:c r="L1294" s="1"/>
      <x:c r="M1294" s="1"/>
      <x:c r="N1294" s="1"/>
      <x:c r="O1294" s="1"/>
      <x:c r="P1294" s="1"/>
      <x:c r="Q1294" s="1"/>
      <x:c r="R1294" s="1"/>
      <x:c r="S1294" s="1"/>
      <x:c r="T1294" s="1"/>
      <x:c r="U1294" s="1"/>
      <x:c r="V1294" s="1"/>
    </x:row>
    <x:row r="1295">
      <x:c r="A1295" s="1"/>
      <x:c r="B1295" s="1"/>
      <x:c r="C1295" s="1"/>
      <x:c r="D1295" s="1"/>
      <x:c r="E1295" s="1"/>
      <x:c r="F1295" s="1"/>
      <x:c r="G1295" s="1"/>
      <x:c r="H1295" s="1"/>
      <x:c r="I1295" s="1"/>
      <x:c r="J1295" s="1"/>
      <x:c r="K1295" s="1"/>
      <x:c r="L1295" s="1"/>
      <x:c r="M1295" s="1"/>
      <x:c r="N1295" s="1"/>
      <x:c r="O1295" s="1"/>
      <x:c r="P1295" s="1"/>
      <x:c r="Q1295" s="1"/>
      <x:c r="R1295" s="1"/>
      <x:c r="S1295" s="1"/>
      <x:c r="T1295" s="1"/>
      <x:c r="U1295" s="1"/>
      <x:c r="V1295" s="1"/>
    </x:row>
    <x:row r="1296">
      <x:c r="A1296" s="1"/>
      <x:c r="B1296" s="1"/>
      <x:c r="C1296" s="1"/>
      <x:c r="D1296" s="1"/>
      <x:c r="E1296" s="1"/>
      <x:c r="F1296" s="1"/>
      <x:c r="G1296" s="1"/>
      <x:c r="H1296" s="1"/>
      <x:c r="I1296" s="1"/>
      <x:c r="J1296" s="1"/>
      <x:c r="K1296" s="1"/>
      <x:c r="L1296" s="1"/>
      <x:c r="M1296" s="1"/>
      <x:c r="N1296" s="1"/>
      <x:c r="O1296" s="1"/>
      <x:c r="P1296" s="1"/>
      <x:c r="Q1296" s="1"/>
      <x:c r="R1296" s="1"/>
      <x:c r="S1296" s="1"/>
      <x:c r="T1296" s="1"/>
      <x:c r="U1296" s="1"/>
      <x:c r="V1296" s="1"/>
    </x:row>
    <x:row r="1297">
      <x:c r="A1297" s="1"/>
      <x:c r="B1297" s="1"/>
      <x:c r="C1297" s="1"/>
      <x:c r="D1297" s="1"/>
      <x:c r="E1297" s="1"/>
      <x:c r="F1297" s="1"/>
      <x:c r="G1297" s="1"/>
      <x:c r="H1297" s="1"/>
      <x:c r="I1297" s="1"/>
      <x:c r="J1297" s="1"/>
      <x:c r="K1297" s="1"/>
      <x:c r="L1297" s="1"/>
      <x:c r="M1297" s="1"/>
      <x:c r="N1297" s="1"/>
      <x:c r="O1297" s="1"/>
      <x:c r="P1297" s="1"/>
      <x:c r="Q1297" s="1"/>
      <x:c r="R1297" s="1"/>
      <x:c r="S1297" s="1"/>
      <x:c r="T1297" s="1"/>
      <x:c r="U1297" s="1"/>
      <x:c r="V1297" s="1"/>
    </x:row>
    <x:row r="1298">
      <x:c r="A1298" s="1"/>
      <x:c r="B1298" s="1"/>
      <x:c r="C1298" s="1"/>
      <x:c r="D1298" s="1"/>
      <x:c r="E1298" s="1"/>
      <x:c r="F1298" s="1"/>
      <x:c r="G1298" s="1"/>
      <x:c r="H1298" s="1"/>
      <x:c r="I1298" s="1"/>
      <x:c r="J1298" s="1"/>
      <x:c r="K1298" s="1"/>
      <x:c r="L1298" s="1"/>
      <x:c r="M1298" s="1"/>
      <x:c r="N1298" s="1"/>
      <x:c r="O1298" s="1"/>
      <x:c r="P1298" s="1"/>
      <x:c r="Q1298" s="1"/>
      <x:c r="R1298" s="1"/>
      <x:c r="S1298" s="1"/>
      <x:c r="T1298" s="1"/>
      <x:c r="U1298" s="1"/>
      <x:c r="V1298" s="1"/>
    </x:row>
    <x:row r="1299">
      <x:c r="A1299" s="1"/>
      <x:c r="B1299" s="1"/>
      <x:c r="C1299" s="1"/>
      <x:c r="D1299" s="1"/>
      <x:c r="E1299" s="1"/>
      <x:c r="F1299" s="1"/>
      <x:c r="G1299" s="1"/>
      <x:c r="H1299" s="1"/>
      <x:c r="I1299" s="1"/>
      <x:c r="J1299" s="1"/>
      <x:c r="K1299" s="1"/>
      <x:c r="L1299" s="1"/>
      <x:c r="M1299" s="1"/>
      <x:c r="N1299" s="1"/>
      <x:c r="O1299" s="1"/>
      <x:c r="P1299" s="1"/>
      <x:c r="Q1299" s="1"/>
      <x:c r="R1299" s="1"/>
      <x:c r="S1299" s="1"/>
      <x:c r="T1299" s="1"/>
      <x:c r="U1299" s="1"/>
      <x:c r="V1299" s="1"/>
    </x:row>
    <x:row r="1300">
      <x:c r="A1300" s="1"/>
      <x:c r="B1300" s="1"/>
      <x:c r="C1300" s="1"/>
      <x:c r="D1300" s="1"/>
      <x:c r="E1300" s="1"/>
      <x:c r="F1300" s="1"/>
      <x:c r="G1300" s="1"/>
      <x:c r="H1300" s="1"/>
      <x:c r="I1300" s="1"/>
      <x:c r="J1300" s="1"/>
      <x:c r="K1300" s="1"/>
      <x:c r="L1300" s="1"/>
      <x:c r="M1300" s="1"/>
      <x:c r="N1300" s="1"/>
      <x:c r="O1300" s="1"/>
      <x:c r="P1300" s="1"/>
      <x:c r="Q1300" s="1"/>
      <x:c r="R1300" s="1"/>
      <x:c r="S1300" s="1"/>
      <x:c r="T1300" s="1"/>
      <x:c r="U1300" s="1"/>
      <x:c r="V1300" s="1"/>
    </x:row>
    <x:row r="1301">
      <x:c r="A1301" s="1"/>
      <x:c r="B1301" s="1"/>
      <x:c r="C1301" s="1"/>
      <x:c r="D1301" s="1"/>
      <x:c r="E1301" s="1"/>
      <x:c r="F1301" s="1"/>
      <x:c r="G1301" s="1"/>
      <x:c r="H1301" s="1"/>
      <x:c r="I1301" s="1"/>
      <x:c r="J1301" s="1"/>
      <x:c r="K1301" s="1"/>
      <x:c r="L1301" s="1"/>
      <x:c r="M1301" s="1"/>
      <x:c r="N1301" s="1"/>
      <x:c r="O1301" s="1"/>
      <x:c r="P1301" s="1"/>
      <x:c r="Q1301" s="1"/>
      <x:c r="R1301" s="1"/>
      <x:c r="S1301" s="1"/>
      <x:c r="T1301" s="1"/>
      <x:c r="U1301" s="1"/>
      <x:c r="V1301" s="1"/>
    </x:row>
    <x:row r="1302">
      <x:c r="A1302" s="1"/>
      <x:c r="B1302" s="1"/>
      <x:c r="C1302" s="1"/>
      <x:c r="D1302" s="1"/>
      <x:c r="E1302" s="1"/>
      <x:c r="F1302" s="1"/>
      <x:c r="G1302" s="1"/>
      <x:c r="H1302" s="1"/>
      <x:c r="I1302" s="1"/>
      <x:c r="J1302" s="1"/>
      <x:c r="K1302" s="1"/>
      <x:c r="L1302" s="1"/>
      <x:c r="M1302" s="1"/>
      <x:c r="N1302" s="1"/>
      <x:c r="O1302" s="1"/>
      <x:c r="P1302" s="1"/>
      <x:c r="Q1302" s="1"/>
      <x:c r="R1302" s="1"/>
      <x:c r="S1302" s="1"/>
      <x:c r="T1302" s="1"/>
      <x:c r="U1302" s="1"/>
      <x:c r="V1302" s="1"/>
    </x:row>
    <x:row r="1303">
      <x:c r="A1303" s="1"/>
      <x:c r="B1303" s="1"/>
      <x:c r="C1303" s="1"/>
      <x:c r="D1303" s="1"/>
      <x:c r="E1303" s="1"/>
      <x:c r="F1303" s="1"/>
      <x:c r="G1303" s="1"/>
      <x:c r="H1303" s="1"/>
      <x:c r="I1303" s="1"/>
      <x:c r="J1303" s="1"/>
      <x:c r="K1303" s="1"/>
      <x:c r="L1303" s="1"/>
      <x:c r="M1303" s="1"/>
      <x:c r="N1303" s="1"/>
      <x:c r="O1303" s="1"/>
      <x:c r="P1303" s="1"/>
      <x:c r="Q1303" s="1"/>
      <x:c r="R1303" s="1"/>
      <x:c r="S1303" s="1"/>
      <x:c r="T1303" s="1"/>
      <x:c r="U1303" s="1"/>
      <x:c r="V1303" s="1"/>
    </x:row>
    <x:row r="1304">
      <x:c r="A1304" s="1"/>
      <x:c r="B1304" s="1"/>
      <x:c r="C1304" s="1"/>
      <x:c r="D1304" s="1"/>
      <x:c r="E1304" s="1"/>
      <x:c r="F1304" s="1"/>
      <x:c r="G1304" s="1"/>
      <x:c r="H1304" s="1"/>
      <x:c r="I1304" s="1"/>
      <x:c r="J1304" s="1"/>
      <x:c r="K1304" s="1"/>
      <x:c r="L1304" s="1"/>
      <x:c r="M1304" s="1"/>
      <x:c r="N1304" s="1"/>
      <x:c r="O1304" s="1"/>
      <x:c r="P1304" s="1"/>
      <x:c r="Q1304" s="1"/>
      <x:c r="R1304" s="1"/>
      <x:c r="S1304" s="1"/>
      <x:c r="T1304" s="1"/>
      <x:c r="U1304" s="1"/>
      <x:c r="V1304" s="1"/>
    </x:row>
    <x:row r="1305">
      <x:c r="A1305" s="1"/>
      <x:c r="B1305" s="1"/>
      <x:c r="C1305" s="1"/>
      <x:c r="D1305" s="1"/>
      <x:c r="E1305" s="1"/>
      <x:c r="F1305" s="1"/>
      <x:c r="G1305" s="1"/>
      <x:c r="H1305" s="1"/>
      <x:c r="I1305" s="1"/>
      <x:c r="J1305" s="1"/>
      <x:c r="K1305" s="1"/>
      <x:c r="L1305" s="1"/>
      <x:c r="M1305" s="1"/>
      <x:c r="N1305" s="1"/>
      <x:c r="O1305" s="1"/>
      <x:c r="P1305" s="1"/>
      <x:c r="Q1305" s="1"/>
      <x:c r="R1305" s="1"/>
      <x:c r="S1305" s="1"/>
      <x:c r="T1305" s="1"/>
      <x:c r="U1305" s="1"/>
      <x:c r="V1305" s="1"/>
    </x:row>
    <x:row r="1306">
      <x:c r="A1306" s="1"/>
      <x:c r="B1306" s="1"/>
      <x:c r="C1306" s="1"/>
      <x:c r="D1306" s="1"/>
      <x:c r="E1306" s="1"/>
      <x:c r="F1306" s="1"/>
      <x:c r="G1306" s="1"/>
      <x:c r="H1306" s="1"/>
      <x:c r="I1306" s="1"/>
      <x:c r="J1306" s="1"/>
      <x:c r="K1306" s="1"/>
      <x:c r="L1306" s="1"/>
      <x:c r="M1306" s="1"/>
      <x:c r="N1306" s="1"/>
      <x:c r="O1306" s="1"/>
      <x:c r="P1306" s="1"/>
      <x:c r="Q1306" s="1"/>
      <x:c r="R1306" s="1"/>
      <x:c r="S1306" s="1"/>
      <x:c r="T1306" s="1"/>
      <x:c r="U1306" s="1"/>
      <x:c r="V1306" s="1"/>
    </x:row>
    <x:row r="1307">
      <x:c r="A1307" s="1"/>
      <x:c r="B1307" s="1"/>
      <x:c r="C1307" s="1"/>
      <x:c r="D1307" s="1"/>
      <x:c r="E1307" s="1"/>
      <x:c r="F1307" s="1"/>
      <x:c r="G1307" s="1"/>
      <x:c r="H1307" s="1"/>
      <x:c r="I1307" s="1"/>
      <x:c r="J1307" s="1"/>
      <x:c r="K1307" s="1"/>
      <x:c r="L1307" s="1"/>
      <x:c r="M1307" s="1"/>
      <x:c r="N1307" s="1"/>
      <x:c r="O1307" s="1"/>
      <x:c r="P1307" s="1"/>
      <x:c r="Q1307" s="1"/>
      <x:c r="R1307" s="1"/>
      <x:c r="S1307" s="1"/>
      <x:c r="T1307" s="1"/>
      <x:c r="U1307" s="1"/>
      <x:c r="V1307" s="1"/>
    </x:row>
    <x:row r="1308">
      <x:c r="A1308" s="1"/>
      <x:c r="B1308" s="1"/>
      <x:c r="C1308" s="1"/>
      <x:c r="D1308" s="1"/>
      <x:c r="E1308" s="1"/>
      <x:c r="F1308" s="1"/>
      <x:c r="G1308" s="1"/>
      <x:c r="H1308" s="1"/>
      <x:c r="I1308" s="1"/>
      <x:c r="J1308" s="1"/>
      <x:c r="K1308" s="1"/>
      <x:c r="L1308" s="1"/>
      <x:c r="M1308" s="1"/>
      <x:c r="N1308" s="1"/>
      <x:c r="O1308" s="1"/>
      <x:c r="P1308" s="1"/>
      <x:c r="Q1308" s="1"/>
      <x:c r="R1308" s="1"/>
      <x:c r="S1308" s="1"/>
      <x:c r="T1308" s="1"/>
      <x:c r="U1308" s="1"/>
      <x:c r="V1308" s="1"/>
    </x:row>
    <x:row r="1309">
      <x:c r="A1309" s="1"/>
      <x:c r="B1309" s="1"/>
      <x:c r="C1309" s="1"/>
      <x:c r="D1309" s="1"/>
      <x:c r="E1309" s="1"/>
      <x:c r="F1309" s="1"/>
      <x:c r="G1309" s="1"/>
      <x:c r="H1309" s="1"/>
      <x:c r="I1309" s="1"/>
      <x:c r="J1309" s="1"/>
      <x:c r="K1309" s="1"/>
      <x:c r="L1309" s="1"/>
      <x:c r="M1309" s="1"/>
      <x:c r="N1309" s="1"/>
      <x:c r="O1309" s="1"/>
      <x:c r="P1309" s="1"/>
      <x:c r="Q1309" s="1"/>
      <x:c r="R1309" s="1"/>
      <x:c r="S1309" s="1"/>
      <x:c r="T1309" s="1"/>
      <x:c r="U1309" s="1"/>
      <x:c r="V1309" s="1"/>
    </x:row>
    <x:row r="1310">
      <x:c r="A1310" s="1"/>
      <x:c r="B1310" s="1"/>
      <x:c r="C1310" s="1"/>
      <x:c r="D1310" s="1"/>
      <x:c r="E1310" s="1"/>
      <x:c r="F1310" s="1"/>
      <x:c r="G1310" s="1"/>
      <x:c r="H1310" s="1"/>
      <x:c r="I1310" s="1"/>
      <x:c r="J1310" s="1"/>
      <x:c r="K1310" s="1"/>
      <x:c r="L1310" s="1"/>
      <x:c r="M1310" s="1"/>
      <x:c r="N1310" s="1"/>
      <x:c r="O1310" s="1"/>
      <x:c r="P1310" s="1"/>
      <x:c r="Q1310" s="1"/>
      <x:c r="R1310" s="1"/>
      <x:c r="S1310" s="1"/>
      <x:c r="T1310" s="1"/>
      <x:c r="U1310" s="1"/>
      <x:c r="V1310" s="1"/>
    </x:row>
    <x:row r="1311">
      <x:c r="A1311" s="1"/>
      <x:c r="B1311" s="1"/>
      <x:c r="C1311" s="1"/>
      <x:c r="D1311" s="1"/>
      <x:c r="E1311" s="1"/>
      <x:c r="F1311" s="1"/>
      <x:c r="G1311" s="1"/>
      <x:c r="H1311" s="1"/>
      <x:c r="I1311" s="1"/>
      <x:c r="J1311" s="1"/>
      <x:c r="K1311" s="1"/>
      <x:c r="L1311" s="1"/>
      <x:c r="M1311" s="1"/>
      <x:c r="N1311" s="1"/>
      <x:c r="O1311" s="1"/>
      <x:c r="P1311" s="1"/>
      <x:c r="Q1311" s="1"/>
      <x:c r="R1311" s="1"/>
      <x:c r="S1311" s="1"/>
      <x:c r="T1311" s="1"/>
      <x:c r="U1311" s="1"/>
      <x:c r="V1311" s="1"/>
    </x:row>
    <x:row r="1312">
      <x:c r="A1312" s="1"/>
      <x:c r="B1312" s="1"/>
      <x:c r="C1312" s="1"/>
      <x:c r="D1312" s="1"/>
      <x:c r="E1312" s="1"/>
      <x:c r="F1312" s="1"/>
      <x:c r="G1312" s="1"/>
      <x:c r="H1312" s="1"/>
      <x:c r="I1312" s="1"/>
      <x:c r="J1312" s="1"/>
      <x:c r="K1312" s="1"/>
      <x:c r="L1312" s="1"/>
      <x:c r="M1312" s="1"/>
      <x:c r="N1312" s="1"/>
      <x:c r="O1312" s="1"/>
      <x:c r="P1312" s="1"/>
      <x:c r="Q1312" s="1"/>
      <x:c r="R1312" s="1"/>
      <x:c r="S1312" s="1"/>
      <x:c r="T1312" s="1"/>
      <x:c r="U1312" s="1"/>
      <x:c r="V1312" s="1"/>
    </x:row>
    <x:row r="1313">
      <x:c r="A1313" s="1"/>
      <x:c r="B1313" s="1"/>
      <x:c r="C1313" s="1"/>
      <x:c r="D1313" s="1"/>
      <x:c r="E1313" s="1"/>
      <x:c r="F1313" s="1"/>
      <x:c r="G1313" s="1"/>
      <x:c r="H1313" s="1"/>
      <x:c r="I1313" s="1"/>
      <x:c r="J1313" s="1"/>
      <x:c r="K1313" s="1"/>
      <x:c r="L1313" s="1"/>
      <x:c r="M1313" s="1"/>
      <x:c r="N1313" s="1"/>
      <x:c r="O1313" s="1"/>
      <x:c r="P1313" s="1"/>
      <x:c r="Q1313" s="1"/>
      <x:c r="R1313" s="1"/>
      <x:c r="S1313" s="1"/>
      <x:c r="T1313" s="1"/>
      <x:c r="U1313" s="1"/>
      <x:c r="V1313" s="1"/>
    </x:row>
    <x:row r="1314">
      <x:c r="A1314" s="1"/>
      <x:c r="B1314" s="1"/>
      <x:c r="C1314" s="1"/>
      <x:c r="D1314" s="1"/>
      <x:c r="E1314" s="1"/>
      <x:c r="F1314" s="1"/>
      <x:c r="G1314" s="1"/>
      <x:c r="H1314" s="1"/>
      <x:c r="I1314" s="1"/>
      <x:c r="J1314" s="1"/>
      <x:c r="K1314" s="1"/>
      <x:c r="L1314" s="1"/>
      <x:c r="M1314" s="1"/>
      <x:c r="N1314" s="1"/>
      <x:c r="O1314" s="1"/>
      <x:c r="P1314" s="1"/>
      <x:c r="Q1314" s="1"/>
      <x:c r="R1314" s="1"/>
      <x:c r="S1314" s="1"/>
      <x:c r="T1314" s="1"/>
      <x:c r="U1314" s="1"/>
      <x:c r="V1314" s="1"/>
    </x:row>
    <x:row r="1315">
      <x:c r="A1315" s="1"/>
      <x:c r="B1315" s="1"/>
      <x:c r="C1315" s="1"/>
      <x:c r="D1315" s="1"/>
      <x:c r="E1315" s="1"/>
      <x:c r="F1315" s="1"/>
      <x:c r="G1315" s="1"/>
      <x:c r="H1315" s="1"/>
      <x:c r="I1315" s="1"/>
      <x:c r="J1315" s="1"/>
      <x:c r="K1315" s="1"/>
      <x:c r="L1315" s="1"/>
      <x:c r="M1315" s="1"/>
      <x:c r="N1315" s="1"/>
      <x:c r="O1315" s="1"/>
      <x:c r="P1315" s="1"/>
      <x:c r="Q1315" s="1"/>
      <x:c r="R1315" s="1"/>
      <x:c r="S1315" s="1"/>
      <x:c r="T1315" s="1"/>
      <x:c r="U1315" s="1"/>
      <x:c r="V1315" s="1"/>
    </x:row>
    <x:row r="1316">
      <x:c r="A1316" s="1"/>
      <x:c r="B1316" s="1"/>
      <x:c r="C1316" s="1"/>
      <x:c r="D1316" s="1"/>
      <x:c r="E1316" s="1"/>
      <x:c r="F1316" s="1"/>
      <x:c r="G1316" s="1"/>
      <x:c r="H1316" s="1"/>
      <x:c r="I1316" s="1"/>
      <x:c r="J1316" s="1"/>
      <x:c r="K1316" s="1"/>
      <x:c r="L1316" s="1"/>
      <x:c r="M1316" s="1"/>
      <x:c r="N1316" s="1"/>
      <x:c r="O1316" s="1"/>
      <x:c r="P1316" s="1"/>
      <x:c r="Q1316" s="1"/>
      <x:c r="R1316" s="1"/>
      <x:c r="S1316" s="1"/>
      <x:c r="T1316" s="1"/>
      <x:c r="U1316" s="1"/>
      <x:c r="V1316" s="1"/>
    </x:row>
    <x:row r="1317">
      <x:c r="A1317" s="1"/>
      <x:c r="B1317" s="1"/>
      <x:c r="C1317" s="1"/>
      <x:c r="D1317" s="1"/>
      <x:c r="E1317" s="1"/>
      <x:c r="F1317" s="1"/>
      <x:c r="G1317" s="1"/>
      <x:c r="H1317" s="1"/>
      <x:c r="I1317" s="1"/>
      <x:c r="J1317" s="1"/>
      <x:c r="K1317" s="1"/>
      <x:c r="L1317" s="1"/>
      <x:c r="M1317" s="1"/>
      <x:c r="N1317" s="1"/>
      <x:c r="O1317" s="1"/>
      <x:c r="P1317" s="1"/>
      <x:c r="Q1317" s="1"/>
      <x:c r="R1317" s="1"/>
      <x:c r="S1317" s="1"/>
      <x:c r="T1317" s="1"/>
      <x:c r="U1317" s="1"/>
      <x:c r="V1317" s="1"/>
    </x:row>
    <x:row r="1318">
      <x:c r="A1318" s="1"/>
      <x:c r="B1318" s="1"/>
      <x:c r="C1318" s="1"/>
      <x:c r="D1318" s="1"/>
      <x:c r="E1318" s="1"/>
      <x:c r="F1318" s="1"/>
      <x:c r="G1318" s="1"/>
      <x:c r="H1318" s="1"/>
      <x:c r="I1318" s="1"/>
      <x:c r="J1318" s="1"/>
      <x:c r="K1318" s="1"/>
      <x:c r="L1318" s="1"/>
      <x:c r="M1318" s="1"/>
      <x:c r="N1318" s="1"/>
      <x:c r="O1318" s="1"/>
      <x:c r="P1318" s="1"/>
      <x:c r="Q1318" s="1"/>
      <x:c r="R1318" s="1"/>
      <x:c r="S1318" s="1"/>
      <x:c r="T1318" s="1"/>
      <x:c r="U1318" s="1"/>
      <x:c r="V1318" s="1"/>
    </x:row>
    <x:row r="1319">
      <x:c r="A1319" s="1"/>
      <x:c r="B1319" s="1"/>
      <x:c r="C1319" s="1"/>
      <x:c r="D1319" s="1"/>
      <x:c r="E1319" s="1"/>
      <x:c r="F1319" s="1"/>
      <x:c r="G1319" s="1"/>
      <x:c r="H1319" s="1"/>
      <x:c r="I1319" s="1"/>
      <x:c r="J1319" s="1"/>
      <x:c r="K1319" s="1"/>
      <x:c r="L1319" s="1"/>
      <x:c r="M1319" s="1"/>
      <x:c r="N1319" s="1"/>
      <x:c r="O1319" s="1"/>
      <x:c r="P1319" s="1"/>
      <x:c r="Q1319" s="1"/>
      <x:c r="R1319" s="1"/>
      <x:c r="S1319" s="1"/>
      <x:c r="T1319" s="1"/>
      <x:c r="U1319" s="1"/>
      <x:c r="V1319" s="1"/>
    </x:row>
    <x:row r="1320">
      <x:c r="A1320" s="1"/>
      <x:c r="B1320" s="1"/>
      <x:c r="C1320" s="1"/>
      <x:c r="D1320" s="1"/>
      <x:c r="E1320" s="1"/>
      <x:c r="F1320" s="1"/>
      <x:c r="G1320" s="1"/>
      <x:c r="H1320" s="1"/>
      <x:c r="I1320" s="1"/>
      <x:c r="J1320" s="1"/>
      <x:c r="K1320" s="1"/>
      <x:c r="L1320" s="1"/>
      <x:c r="M1320" s="1"/>
      <x:c r="N1320" s="1"/>
      <x:c r="O1320" s="1"/>
      <x:c r="P1320" s="1"/>
      <x:c r="Q1320" s="1"/>
      <x:c r="R1320" s="1"/>
      <x:c r="S1320" s="1"/>
      <x:c r="T1320" s="1"/>
      <x:c r="U1320" s="1"/>
      <x:c r="V1320" s="1"/>
    </x:row>
    <x:row r="1321">
      <x:c r="A1321" s="1"/>
      <x:c r="B1321" s="1"/>
      <x:c r="C1321" s="1"/>
      <x:c r="D1321" s="1"/>
      <x:c r="E1321" s="1"/>
      <x:c r="F1321" s="1"/>
      <x:c r="G1321" s="1"/>
      <x:c r="H1321" s="1"/>
      <x:c r="I1321" s="1"/>
      <x:c r="J1321" s="1"/>
      <x:c r="K1321" s="1"/>
      <x:c r="L1321" s="1"/>
      <x:c r="M1321" s="1"/>
      <x:c r="N1321" s="1"/>
      <x:c r="O1321" s="1"/>
      <x:c r="P1321" s="1"/>
      <x:c r="Q1321" s="1"/>
      <x:c r="R1321" s="1"/>
      <x:c r="S1321" s="1"/>
      <x:c r="T1321" s="1"/>
      <x:c r="U1321" s="1"/>
      <x:c r="V1321" s="1"/>
    </x:row>
    <x:row r="1322">
      <x:c r="A1322" s="1"/>
      <x:c r="B1322" s="1"/>
      <x:c r="C1322" s="1"/>
      <x:c r="D1322" s="1"/>
      <x:c r="E1322" s="1"/>
      <x:c r="F1322" s="1"/>
      <x:c r="G1322" s="1"/>
      <x:c r="H1322" s="1"/>
      <x:c r="I1322" s="1"/>
      <x:c r="J1322" s="1"/>
      <x:c r="K1322" s="1"/>
      <x:c r="L1322" s="1"/>
      <x:c r="M1322" s="1"/>
      <x:c r="N1322" s="1"/>
      <x:c r="O1322" s="1"/>
      <x:c r="P1322" s="1"/>
      <x:c r="Q1322" s="1"/>
      <x:c r="R1322" s="1"/>
      <x:c r="S1322" s="1"/>
      <x:c r="T1322" s="1"/>
      <x:c r="U1322" s="1"/>
      <x:c r="V1322" s="1"/>
    </x:row>
    <x:row r="1323">
      <x:c r="A1323" s="1"/>
      <x:c r="B1323" s="1"/>
      <x:c r="C1323" s="1"/>
      <x:c r="D1323" s="1"/>
      <x:c r="E1323" s="1"/>
      <x:c r="F1323" s="1"/>
      <x:c r="G1323" s="1"/>
      <x:c r="H1323" s="1"/>
      <x:c r="I1323" s="1"/>
      <x:c r="J1323" s="1"/>
      <x:c r="K1323" s="1"/>
      <x:c r="L1323" s="1"/>
      <x:c r="M1323" s="1"/>
      <x:c r="N1323" s="1"/>
      <x:c r="O1323" s="1"/>
      <x:c r="P1323" s="1"/>
      <x:c r="Q1323" s="1"/>
      <x:c r="R1323" s="1"/>
      <x:c r="S1323" s="1"/>
      <x:c r="T1323" s="1"/>
      <x:c r="U1323" s="1"/>
      <x:c r="V1323" s="1"/>
    </x:row>
    <x:row r="1324">
      <x:c r="A1324" s="1"/>
      <x:c r="B1324" s="1"/>
      <x:c r="C1324" s="1"/>
      <x:c r="D1324" s="1"/>
      <x:c r="E1324" s="1"/>
      <x:c r="F1324" s="1"/>
      <x:c r="G1324" s="1"/>
      <x:c r="H1324" s="1"/>
      <x:c r="I1324" s="1"/>
      <x:c r="J1324" s="1"/>
      <x:c r="K1324" s="1"/>
      <x:c r="L1324" s="1"/>
      <x:c r="M1324" s="1"/>
      <x:c r="N1324" s="1"/>
      <x:c r="O1324" s="1"/>
      <x:c r="P1324" s="1"/>
      <x:c r="Q1324" s="1"/>
      <x:c r="R1324" s="1"/>
      <x:c r="S1324" s="1"/>
      <x:c r="T1324" s="1"/>
      <x:c r="U1324" s="1"/>
      <x:c r="V1324" s="1"/>
    </x:row>
    <x:row r="1325">
      <x:c r="A1325" s="1"/>
      <x:c r="B1325" s="1"/>
      <x:c r="C1325" s="1"/>
      <x:c r="D1325" s="1"/>
      <x:c r="E1325" s="1"/>
      <x:c r="F1325" s="1"/>
      <x:c r="G1325" s="1"/>
      <x:c r="H1325" s="1"/>
      <x:c r="I1325" s="1"/>
      <x:c r="J1325" s="1"/>
      <x:c r="K1325" s="1"/>
      <x:c r="L1325" s="1"/>
      <x:c r="M1325" s="1"/>
      <x:c r="N1325" s="1"/>
      <x:c r="O1325" s="1"/>
      <x:c r="P1325" s="1"/>
      <x:c r="Q1325" s="1"/>
      <x:c r="R1325" s="1"/>
      <x:c r="S1325" s="1"/>
      <x:c r="T1325" s="1"/>
      <x:c r="U1325" s="1"/>
      <x:c r="V1325" s="1"/>
    </x:row>
    <x:row r="1326">
      <x:c r="A1326" s="1"/>
      <x:c r="B1326" s="1"/>
      <x:c r="C1326" s="1"/>
      <x:c r="D1326" s="1"/>
      <x:c r="E1326" s="1"/>
      <x:c r="F1326" s="1"/>
      <x:c r="G1326" s="1"/>
      <x:c r="H1326" s="1"/>
      <x:c r="I1326" s="1"/>
      <x:c r="J1326" s="1"/>
      <x:c r="K1326" s="1"/>
      <x:c r="L1326" s="1"/>
      <x:c r="M1326" s="1"/>
      <x:c r="N1326" s="1"/>
      <x:c r="O1326" s="1"/>
      <x:c r="P1326" s="1"/>
      <x:c r="Q1326" s="1"/>
      <x:c r="R1326" s="1"/>
      <x:c r="S1326" s="1"/>
      <x:c r="T1326" s="1"/>
      <x:c r="U1326" s="1"/>
      <x:c r="V1326" s="1"/>
    </x:row>
    <x:row r="1327">
      <x:c r="A1327" s="1"/>
      <x:c r="B1327" s="1"/>
      <x:c r="C1327" s="1"/>
      <x:c r="D1327" s="1"/>
      <x:c r="E1327" s="1"/>
      <x:c r="F1327" s="1"/>
      <x:c r="G1327" s="1"/>
      <x:c r="H1327" s="1"/>
      <x:c r="I1327" s="1"/>
      <x:c r="J1327" s="1"/>
      <x:c r="K1327" s="1"/>
      <x:c r="L1327" s="1"/>
      <x:c r="M1327" s="1"/>
      <x:c r="N1327" s="1"/>
      <x:c r="O1327" s="1"/>
      <x:c r="P1327" s="1"/>
      <x:c r="Q1327" s="1"/>
      <x:c r="R1327" s="1"/>
      <x:c r="S1327" s="1"/>
      <x:c r="T1327" s="1"/>
      <x:c r="U1327" s="1"/>
      <x:c r="V1327" s="1"/>
    </x:row>
    <x:row r="1328">
      <x:c r="A1328" s="1"/>
      <x:c r="B1328" s="1"/>
      <x:c r="C1328" s="1"/>
      <x:c r="D1328" s="1"/>
      <x:c r="E1328" s="1"/>
      <x:c r="F1328" s="1"/>
      <x:c r="G1328" s="1"/>
      <x:c r="H1328" s="1"/>
      <x:c r="I1328" s="1"/>
      <x:c r="J1328" s="1"/>
      <x:c r="K1328" s="1"/>
      <x:c r="L1328" s="1"/>
      <x:c r="M1328" s="1"/>
      <x:c r="N1328" s="1"/>
      <x:c r="O1328" s="1"/>
      <x:c r="P1328" s="1"/>
      <x:c r="Q1328" s="1"/>
      <x:c r="R1328" s="1"/>
      <x:c r="S1328" s="1"/>
      <x:c r="T1328" s="1"/>
      <x:c r="U1328" s="1"/>
      <x:c r="V1328" s="1"/>
    </x:row>
    <x:row r="1329">
      <x:c r="A1329" s="1"/>
      <x:c r="B1329" s="1"/>
      <x:c r="C1329" s="1"/>
      <x:c r="D1329" s="1"/>
      <x:c r="E1329" s="1"/>
      <x:c r="F1329" s="1"/>
      <x:c r="G1329" s="1"/>
      <x:c r="H1329" s="1"/>
      <x:c r="I1329" s="1"/>
      <x:c r="J1329" s="1"/>
      <x:c r="K1329" s="1"/>
      <x:c r="L1329" s="1"/>
      <x:c r="M1329" s="1"/>
      <x:c r="N1329" s="1"/>
      <x:c r="O1329" s="1"/>
      <x:c r="P1329" s="1"/>
      <x:c r="Q1329" s="1"/>
      <x:c r="R1329" s="1"/>
      <x:c r="S1329" s="1"/>
      <x:c r="T1329" s="1"/>
      <x:c r="U1329" s="1"/>
      <x:c r="V1329" s="1"/>
    </x:row>
    <x:row r="1330">
      <x:c r="A1330" s="1"/>
      <x:c r="B1330" s="1"/>
      <x:c r="C1330" s="1"/>
      <x:c r="D1330" s="1"/>
      <x:c r="E1330" s="1"/>
      <x:c r="F1330" s="1"/>
      <x:c r="G1330" s="1"/>
      <x:c r="H1330" s="1"/>
      <x:c r="I1330" s="1"/>
      <x:c r="J1330" s="1"/>
      <x:c r="K1330" s="1"/>
      <x:c r="L1330" s="1"/>
      <x:c r="M1330" s="1"/>
      <x:c r="N1330" s="1"/>
      <x:c r="O1330" s="1"/>
      <x:c r="P1330" s="1"/>
      <x:c r="Q1330" s="1"/>
      <x:c r="R1330" s="1"/>
      <x:c r="S1330" s="1"/>
      <x:c r="T1330" s="1"/>
      <x:c r="U1330" s="1"/>
      <x:c r="V1330" s="1"/>
    </x:row>
    <x:row r="1331">
      <x:c r="A1331" s="1"/>
      <x:c r="B1331" s="1"/>
      <x:c r="C1331" s="1"/>
      <x:c r="D1331" s="1"/>
      <x:c r="E1331" s="1"/>
      <x:c r="F1331" s="1"/>
      <x:c r="G1331" s="1"/>
      <x:c r="H1331" s="1"/>
      <x:c r="I1331" s="1"/>
      <x:c r="J1331" s="1"/>
      <x:c r="K1331" s="1"/>
      <x:c r="L1331" s="1"/>
      <x:c r="M1331" s="1"/>
      <x:c r="N1331" s="1"/>
      <x:c r="O1331" s="1"/>
      <x:c r="P1331" s="1"/>
      <x:c r="Q1331" s="1"/>
      <x:c r="R1331" s="1"/>
      <x:c r="S1331" s="1"/>
      <x:c r="T1331" s="1"/>
      <x:c r="U1331" s="1"/>
      <x:c r="V1331" s="1"/>
    </x:row>
    <x:row r="1332">
      <x:c r="A1332" s="1"/>
      <x:c r="B1332" s="1"/>
      <x:c r="C1332" s="1"/>
      <x:c r="D1332" s="1"/>
      <x:c r="E1332" s="1"/>
      <x:c r="F1332" s="1"/>
      <x:c r="G1332" s="1"/>
      <x:c r="H1332" s="1"/>
      <x:c r="I1332" s="1"/>
      <x:c r="J1332" s="1"/>
      <x:c r="K1332" s="1"/>
      <x:c r="L1332" s="1"/>
      <x:c r="M1332" s="1"/>
      <x:c r="N1332" s="1"/>
      <x:c r="O1332" s="1"/>
      <x:c r="P1332" s="1"/>
      <x:c r="Q1332" s="1"/>
      <x:c r="R1332" s="1"/>
      <x:c r="S1332" s="1"/>
      <x:c r="T1332" s="1"/>
      <x:c r="U1332" s="1"/>
      <x:c r="V1332" s="1"/>
    </x:row>
    <x:row r="1333">
      <x:c r="A1333" s="1"/>
      <x:c r="B1333" s="1"/>
      <x:c r="C1333" s="1"/>
      <x:c r="D1333" s="1"/>
      <x:c r="E1333" s="1"/>
      <x:c r="F1333" s="1"/>
      <x:c r="G1333" s="1"/>
      <x:c r="H1333" s="1"/>
      <x:c r="I1333" s="1"/>
      <x:c r="J1333" s="1"/>
      <x:c r="K1333" s="1"/>
      <x:c r="L1333" s="1"/>
      <x:c r="M1333" s="1"/>
      <x:c r="N1333" s="1"/>
      <x:c r="O1333" s="1"/>
      <x:c r="P1333" s="1"/>
      <x:c r="Q1333" s="1"/>
      <x:c r="R1333" s="1"/>
      <x:c r="S1333" s="1"/>
      <x:c r="T1333" s="1"/>
      <x:c r="U1333" s="1"/>
      <x:c r="V1333" s="1"/>
    </x:row>
    <x:row r="1334">
      <x:c r="A1334" s="1"/>
      <x:c r="B1334" s="1"/>
      <x:c r="C1334" s="1"/>
      <x:c r="D1334" s="1"/>
      <x:c r="E1334" s="1"/>
      <x:c r="F1334" s="1"/>
      <x:c r="G1334" s="1"/>
      <x:c r="H1334" s="1"/>
      <x:c r="I1334" s="1"/>
      <x:c r="J1334" s="1"/>
      <x:c r="K1334" s="1"/>
      <x:c r="L1334" s="1"/>
      <x:c r="M1334" s="1"/>
      <x:c r="N1334" s="1"/>
      <x:c r="O1334" s="1"/>
      <x:c r="P1334" s="1"/>
      <x:c r="Q1334" s="1"/>
      <x:c r="R1334" s="1"/>
      <x:c r="S1334" s="1"/>
      <x:c r="T1334" s="1"/>
      <x:c r="U1334" s="1"/>
      <x:c r="V1334" s="1"/>
    </x:row>
    <x:row r="1335">
      <x:c r="A1335" s="1"/>
      <x:c r="B1335" s="1"/>
      <x:c r="C1335" s="1"/>
      <x:c r="D1335" s="1"/>
      <x:c r="E1335" s="1"/>
      <x:c r="F1335" s="1"/>
      <x:c r="G1335" s="1"/>
      <x:c r="H1335" s="1"/>
      <x:c r="I1335" s="1"/>
      <x:c r="J1335" s="1"/>
      <x:c r="K1335" s="1"/>
      <x:c r="L1335" s="1"/>
      <x:c r="M1335" s="1"/>
      <x:c r="N1335" s="1"/>
      <x:c r="O1335" s="1"/>
      <x:c r="P1335" s="1"/>
      <x:c r="Q1335" s="1"/>
      <x:c r="R1335" s="1"/>
      <x:c r="S1335" s="1"/>
      <x:c r="T1335" s="1"/>
      <x:c r="U1335" s="1"/>
      <x:c r="V1335" s="1"/>
    </x:row>
    <x:row r="1336">
      <x:c r="A1336" s="1"/>
      <x:c r="B1336" s="1"/>
      <x:c r="C1336" s="1"/>
      <x:c r="D1336" s="1"/>
      <x:c r="E1336" s="1"/>
      <x:c r="F1336" s="1"/>
      <x:c r="G1336" s="1"/>
      <x:c r="H1336" s="1"/>
      <x:c r="I1336" s="1"/>
      <x:c r="J1336" s="1"/>
      <x:c r="K1336" s="1"/>
      <x:c r="L1336" s="1"/>
      <x:c r="M1336" s="1"/>
      <x:c r="N1336" s="1"/>
      <x:c r="O1336" s="1"/>
      <x:c r="P1336" s="1"/>
      <x:c r="Q1336" s="1"/>
      <x:c r="R1336" s="1"/>
      <x:c r="S1336" s="1"/>
      <x:c r="T1336" s="1"/>
      <x:c r="U1336" s="1"/>
      <x:c r="V1336" s="1"/>
    </x:row>
    <x:row r="1337">
      <x:c r="A1337" s="1"/>
      <x:c r="B1337" s="1"/>
      <x:c r="C1337" s="1"/>
      <x:c r="D1337" s="1"/>
      <x:c r="E1337" s="1"/>
      <x:c r="F1337" s="1"/>
      <x:c r="G1337" s="1"/>
      <x:c r="H1337" s="1"/>
      <x:c r="I1337" s="1"/>
      <x:c r="J1337" s="1"/>
      <x:c r="K1337" s="1"/>
      <x:c r="L1337" s="1"/>
      <x:c r="M1337" s="1"/>
      <x:c r="N1337" s="1"/>
      <x:c r="O1337" s="1"/>
      <x:c r="P1337" s="1"/>
      <x:c r="Q1337" s="1"/>
      <x:c r="R1337" s="1"/>
      <x:c r="S1337" s="1"/>
      <x:c r="T1337" s="1"/>
      <x:c r="U1337" s="1"/>
      <x:c r="V1337" s="1"/>
    </x:row>
    <x:row r="1338">
      <x:c r="A1338" s="1"/>
      <x:c r="B1338" s="1"/>
      <x:c r="C1338" s="1"/>
      <x:c r="D1338" s="1"/>
      <x:c r="E1338" s="1"/>
      <x:c r="F1338" s="1"/>
      <x:c r="G1338" s="1"/>
      <x:c r="H1338" s="1"/>
      <x:c r="I1338" s="1"/>
      <x:c r="J1338" s="1"/>
      <x:c r="K1338" s="1"/>
      <x:c r="L1338" s="1"/>
      <x:c r="M1338" s="1"/>
      <x:c r="N1338" s="1"/>
      <x:c r="O1338" s="1"/>
      <x:c r="P1338" s="1"/>
      <x:c r="Q1338" s="1"/>
      <x:c r="R1338" s="1"/>
      <x:c r="S1338" s="1"/>
      <x:c r="T1338" s="1"/>
      <x:c r="U1338" s="1"/>
      <x:c r="V1338" s="1"/>
    </x:row>
    <x:row r="1339">
      <x:c r="A1339" s="1"/>
      <x:c r="B1339" s="1"/>
      <x:c r="C1339" s="1"/>
      <x:c r="D1339" s="1"/>
      <x:c r="E1339" s="1"/>
      <x:c r="F1339" s="1"/>
      <x:c r="G1339" s="1"/>
      <x:c r="H1339" s="1"/>
      <x:c r="I1339" s="1"/>
      <x:c r="J1339" s="1"/>
      <x:c r="K1339" s="1"/>
      <x:c r="L1339" s="1"/>
      <x:c r="M1339" s="1"/>
      <x:c r="N1339" s="1"/>
      <x:c r="O1339" s="1"/>
      <x:c r="P1339" s="1"/>
      <x:c r="Q1339" s="1"/>
      <x:c r="R1339" s="1"/>
      <x:c r="S1339" s="1"/>
      <x:c r="T1339" s="1"/>
      <x:c r="U1339" s="1"/>
      <x:c r="V1339" s="1"/>
    </x:row>
    <x:row r="1340">
      <x:c r="A1340" s="1"/>
      <x:c r="B1340" s="1"/>
      <x:c r="C1340" s="1"/>
      <x:c r="D1340" s="1"/>
      <x:c r="E1340" s="1"/>
      <x:c r="F1340" s="1"/>
      <x:c r="G1340" s="1"/>
      <x:c r="H1340" s="1"/>
      <x:c r="I1340" s="1"/>
      <x:c r="J1340" s="1"/>
      <x:c r="K1340" s="1"/>
      <x:c r="L1340" s="1"/>
      <x:c r="M1340" s="1"/>
      <x:c r="N1340" s="1"/>
      <x:c r="O1340" s="1"/>
      <x:c r="P1340" s="1"/>
      <x:c r="Q1340" s="1"/>
      <x:c r="R1340" s="1"/>
      <x:c r="S1340" s="1"/>
      <x:c r="T1340" s="1"/>
      <x:c r="U1340" s="1"/>
      <x:c r="V1340" s="1"/>
    </x:row>
    <x:row r="1341">
      <x:c r="A1341" s="1"/>
      <x:c r="B1341" s="1"/>
      <x:c r="C1341" s="1"/>
      <x:c r="D1341" s="1"/>
      <x:c r="E1341" s="1"/>
      <x:c r="F1341" s="1"/>
      <x:c r="G1341" s="1"/>
      <x:c r="H1341" s="1"/>
      <x:c r="I1341" s="1"/>
      <x:c r="J1341" s="1"/>
      <x:c r="K1341" s="1"/>
      <x:c r="L1341" s="1"/>
      <x:c r="M1341" s="1"/>
      <x:c r="N1341" s="1"/>
      <x:c r="O1341" s="1"/>
      <x:c r="P1341" s="1"/>
      <x:c r="Q1341" s="1"/>
      <x:c r="R1341" s="1"/>
      <x:c r="S1341" s="1"/>
      <x:c r="T1341" s="1"/>
      <x:c r="U1341" s="1"/>
      <x:c r="V1341" s="1"/>
    </x:row>
    <x:row r="1342">
      <x:c r="A1342" s="1"/>
      <x:c r="B1342" s="1"/>
      <x:c r="C1342" s="1"/>
      <x:c r="D1342" s="1"/>
      <x:c r="E1342" s="1"/>
      <x:c r="F1342" s="1"/>
      <x:c r="G1342" s="1"/>
      <x:c r="H1342" s="1"/>
      <x:c r="I1342" s="1"/>
      <x:c r="J1342" s="1"/>
      <x:c r="K1342" s="1"/>
      <x:c r="L1342" s="1"/>
      <x:c r="M1342" s="1"/>
      <x:c r="N1342" s="1"/>
      <x:c r="O1342" s="1"/>
      <x:c r="P1342" s="1"/>
      <x:c r="Q1342" s="1"/>
      <x:c r="R1342" s="1"/>
      <x:c r="S1342" s="1"/>
      <x:c r="T1342" s="1"/>
      <x:c r="U1342" s="1"/>
      <x:c r="V1342" s="1"/>
    </x:row>
    <x:row r="1343">
      <x:c r="A1343" s="1"/>
      <x:c r="B1343" s="1"/>
      <x:c r="C1343" s="1"/>
      <x:c r="D1343" s="1"/>
      <x:c r="E1343" s="1"/>
      <x:c r="F1343" s="1"/>
      <x:c r="G1343" s="1"/>
      <x:c r="H1343" s="1"/>
      <x:c r="I1343" s="1"/>
      <x:c r="J1343" s="1"/>
      <x:c r="K1343" s="1"/>
      <x:c r="L1343" s="1"/>
      <x:c r="M1343" s="1"/>
      <x:c r="N1343" s="1"/>
      <x:c r="O1343" s="1"/>
      <x:c r="P1343" s="1"/>
      <x:c r="Q1343" s="1"/>
      <x:c r="R1343" s="1"/>
      <x:c r="S1343" s="1"/>
      <x:c r="T1343" s="1"/>
      <x:c r="U1343" s="1"/>
      <x:c r="V1343" s="1"/>
    </x:row>
    <x:row r="1344">
      <x:c r="A1344" s="1"/>
      <x:c r="B1344" s="1"/>
      <x:c r="C1344" s="1"/>
      <x:c r="D1344" s="1"/>
      <x:c r="E1344" s="1"/>
      <x:c r="F1344" s="1"/>
      <x:c r="G1344" s="1"/>
      <x:c r="H1344" s="1"/>
      <x:c r="I1344" s="1"/>
      <x:c r="J1344" s="1"/>
      <x:c r="K1344" s="1"/>
      <x:c r="L1344" s="1"/>
      <x:c r="M1344" s="1"/>
      <x:c r="N1344" s="1"/>
      <x:c r="O1344" s="1"/>
      <x:c r="P1344" s="1"/>
      <x:c r="Q1344" s="1"/>
      <x:c r="R1344" s="1"/>
      <x:c r="S1344" s="1"/>
      <x:c r="T1344" s="1"/>
      <x:c r="U1344" s="1"/>
      <x:c r="V1344" s="1"/>
    </x:row>
    <x:row r="1345">
      <x:c r="A1345" s="1"/>
      <x:c r="B1345" s="1"/>
      <x:c r="C1345" s="1"/>
      <x:c r="D1345" s="1"/>
      <x:c r="E1345" s="1"/>
      <x:c r="F1345" s="1"/>
      <x:c r="G1345" s="1"/>
      <x:c r="H1345" s="1"/>
      <x:c r="I1345" s="1"/>
      <x:c r="J1345" s="1"/>
      <x:c r="K1345" s="1"/>
      <x:c r="L1345" s="1"/>
      <x:c r="M1345" s="1"/>
      <x:c r="N1345" s="1"/>
      <x:c r="O1345" s="1"/>
      <x:c r="P1345" s="1"/>
      <x:c r="Q1345" s="1"/>
      <x:c r="R1345" s="1"/>
      <x:c r="S1345" s="1"/>
      <x:c r="T1345" s="1"/>
      <x:c r="U1345" s="1"/>
      <x:c r="V1345" s="1"/>
    </x:row>
    <x:row r="1346">
      <x:c r="A1346" s="1"/>
      <x:c r="B1346" s="1"/>
      <x:c r="C1346" s="1"/>
      <x:c r="D1346" s="1"/>
      <x:c r="E1346" s="1"/>
      <x:c r="F1346" s="1"/>
      <x:c r="G1346" s="1"/>
      <x:c r="H1346" s="1"/>
      <x:c r="I1346" s="1"/>
      <x:c r="J1346" s="1"/>
      <x:c r="K1346" s="1"/>
      <x:c r="L1346" s="1"/>
      <x:c r="M1346" s="1"/>
      <x:c r="N1346" s="1"/>
      <x:c r="O1346" s="1"/>
      <x:c r="P1346" s="1"/>
      <x:c r="Q1346" s="1"/>
      <x:c r="R1346" s="1"/>
      <x:c r="S1346" s="1"/>
      <x:c r="T1346" s="1"/>
      <x:c r="U1346" s="1"/>
      <x:c r="V1346" s="1"/>
    </x:row>
    <x:row r="1347">
      <x:c r="A1347" s="1"/>
      <x:c r="B1347" s="1"/>
      <x:c r="C1347" s="1"/>
      <x:c r="D1347" s="1"/>
      <x:c r="E1347" s="1"/>
      <x:c r="F1347" s="1"/>
      <x:c r="G1347" s="1"/>
      <x:c r="H1347" s="1"/>
      <x:c r="I1347" s="1"/>
      <x:c r="J1347" s="1"/>
      <x:c r="K1347" s="1"/>
      <x:c r="L1347" s="1"/>
      <x:c r="M1347" s="1"/>
      <x:c r="N1347" s="1"/>
      <x:c r="O1347" s="1"/>
      <x:c r="P1347" s="1"/>
      <x:c r="Q1347" s="1"/>
      <x:c r="R1347" s="1"/>
      <x:c r="S1347" s="1"/>
      <x:c r="T1347" s="1"/>
      <x:c r="U1347" s="1"/>
      <x:c r="V1347" s="1"/>
    </x:row>
    <x:row r="1348">
      <x:c r="A1348" s="1"/>
      <x:c r="B1348" s="1"/>
      <x:c r="C1348" s="1"/>
      <x:c r="D1348" s="1"/>
      <x:c r="E1348" s="1"/>
      <x:c r="F1348" s="1"/>
      <x:c r="G1348" s="1"/>
      <x:c r="H1348" s="1"/>
      <x:c r="I1348" s="1"/>
      <x:c r="J1348" s="1"/>
      <x:c r="K1348" s="1"/>
      <x:c r="L1348" s="1"/>
      <x:c r="M1348" s="1"/>
      <x:c r="N1348" s="1"/>
      <x:c r="O1348" s="1"/>
      <x:c r="P1348" s="1"/>
      <x:c r="Q1348" s="1"/>
      <x:c r="R1348" s="1"/>
      <x:c r="S1348" s="1"/>
      <x:c r="T1348" s="1"/>
      <x:c r="U1348" s="1"/>
      <x:c r="V1348" s="1"/>
    </x:row>
    <x:row r="1349">
      <x:c r="A1349" s="1"/>
      <x:c r="B1349" s="1"/>
      <x:c r="C1349" s="1"/>
      <x:c r="D1349" s="1"/>
      <x:c r="E1349" s="1"/>
      <x:c r="F1349" s="1"/>
      <x:c r="G1349" s="1"/>
      <x:c r="H1349" s="1"/>
      <x:c r="I1349" s="1"/>
      <x:c r="J1349" s="1"/>
      <x:c r="K1349" s="1"/>
      <x:c r="L1349" s="1"/>
      <x:c r="M1349" s="1"/>
      <x:c r="N1349" s="1"/>
      <x:c r="O1349" s="1"/>
      <x:c r="P1349" s="1"/>
      <x:c r="Q1349" s="1"/>
      <x:c r="R1349" s="1"/>
      <x:c r="S1349" s="1"/>
      <x:c r="T1349" s="1"/>
      <x:c r="U1349" s="1"/>
      <x:c r="V1349" s="1"/>
    </x:row>
    <x:row r="1350">
      <x:c r="A1350" s="1"/>
      <x:c r="B1350" s="1"/>
      <x:c r="C1350" s="1"/>
      <x:c r="D1350" s="1"/>
      <x:c r="E1350" s="1"/>
      <x:c r="F1350" s="1"/>
      <x:c r="G1350" s="1"/>
      <x:c r="H1350" s="1"/>
      <x:c r="I1350" s="1"/>
      <x:c r="J1350" s="1"/>
      <x:c r="K1350" s="1"/>
      <x:c r="L1350" s="1"/>
      <x:c r="M1350" s="1"/>
      <x:c r="N1350" s="1"/>
      <x:c r="O1350" s="1"/>
      <x:c r="P1350" s="1"/>
      <x:c r="Q1350" s="1"/>
      <x:c r="R1350" s="1"/>
      <x:c r="S1350" s="1"/>
      <x:c r="T1350" s="1"/>
      <x:c r="U1350" s="1"/>
      <x:c r="V1350" s="1"/>
    </x:row>
    <x:row r="1351">
      <x:c r="A1351" s="1"/>
      <x:c r="B1351" s="1"/>
      <x:c r="C1351" s="1"/>
      <x:c r="D1351" s="1"/>
      <x:c r="E1351" s="1"/>
      <x:c r="F1351" s="1"/>
      <x:c r="G1351" s="1"/>
      <x:c r="H1351" s="1"/>
      <x:c r="I1351" s="1"/>
      <x:c r="J1351" s="1"/>
      <x:c r="K1351" s="1"/>
      <x:c r="L1351" s="1"/>
      <x:c r="M1351" s="1"/>
      <x:c r="N1351" s="1"/>
      <x:c r="O1351" s="1"/>
      <x:c r="P1351" s="1"/>
      <x:c r="Q1351" s="1"/>
      <x:c r="R1351" s="1"/>
      <x:c r="S1351" s="1"/>
      <x:c r="T1351" s="1"/>
      <x:c r="U1351" s="1"/>
      <x:c r="V1351" s="1"/>
    </x:row>
    <x:row r="1352">
      <x:c r="A1352" s="1"/>
      <x:c r="B1352" s="1"/>
      <x:c r="C1352" s="1"/>
      <x:c r="D1352" s="1"/>
      <x:c r="E1352" s="1"/>
      <x:c r="F1352" s="1"/>
      <x:c r="G1352" s="1"/>
      <x:c r="H1352" s="1"/>
      <x:c r="I1352" s="1"/>
      <x:c r="J1352" s="1"/>
      <x:c r="K1352" s="1"/>
      <x:c r="L1352" s="1"/>
      <x:c r="M1352" s="1"/>
      <x:c r="N1352" s="1"/>
      <x:c r="O1352" s="1"/>
      <x:c r="P1352" s="1"/>
      <x:c r="Q1352" s="1"/>
      <x:c r="R1352" s="1"/>
      <x:c r="S1352" s="1"/>
      <x:c r="T1352" s="1"/>
      <x:c r="U1352" s="1"/>
      <x:c r="V1352" s="1"/>
    </x:row>
    <x:row r="1353">
      <x:c r="A1353" s="1"/>
      <x:c r="B1353" s="1"/>
      <x:c r="C1353" s="1"/>
      <x:c r="D1353" s="1"/>
      <x:c r="E1353" s="1"/>
      <x:c r="F1353" s="1"/>
      <x:c r="G1353" s="1"/>
      <x:c r="H1353" s="1"/>
      <x:c r="I1353" s="1"/>
      <x:c r="J1353" s="1"/>
      <x:c r="K1353" s="1"/>
      <x:c r="L1353" s="1"/>
      <x:c r="M1353" s="1"/>
      <x:c r="N1353" s="1"/>
      <x:c r="O1353" s="1"/>
      <x:c r="P1353" s="1"/>
      <x:c r="Q1353" s="1"/>
      <x:c r="R1353" s="1"/>
      <x:c r="S1353" s="1"/>
      <x:c r="T1353" s="1"/>
      <x:c r="U1353" s="1"/>
      <x:c r="V1353" s="1"/>
    </x:row>
    <x:row r="1354">
      <x:c r="A1354" s="1"/>
      <x:c r="B1354" s="1"/>
      <x:c r="C1354" s="1"/>
      <x:c r="D1354" s="1"/>
      <x:c r="E1354" s="1"/>
      <x:c r="F1354" s="1"/>
      <x:c r="G1354" s="1"/>
      <x:c r="H1354" s="1"/>
      <x:c r="I1354" s="1"/>
      <x:c r="J1354" s="1"/>
      <x:c r="K1354" s="1"/>
      <x:c r="L1354" s="1"/>
      <x:c r="M1354" s="1"/>
      <x:c r="N1354" s="1"/>
      <x:c r="O1354" s="1"/>
      <x:c r="P1354" s="1"/>
      <x:c r="Q1354" s="1"/>
      <x:c r="R1354" s="1"/>
      <x:c r="S1354" s="1"/>
      <x:c r="T1354" s="1"/>
      <x:c r="U1354" s="1"/>
      <x:c r="V1354" s="1"/>
    </x:row>
    <x:row r="1355">
      <x:c r="A1355" s="1"/>
      <x:c r="B1355" s="1"/>
      <x:c r="C1355" s="1"/>
      <x:c r="D1355" s="1"/>
      <x:c r="E1355" s="1"/>
      <x:c r="F1355" s="1"/>
      <x:c r="G1355" s="1"/>
      <x:c r="H1355" s="1"/>
      <x:c r="I1355" s="1"/>
      <x:c r="J1355" s="1"/>
      <x:c r="K1355" s="1"/>
      <x:c r="L1355" s="1"/>
      <x:c r="M1355" s="1"/>
      <x:c r="N1355" s="1"/>
      <x:c r="O1355" s="1"/>
      <x:c r="P1355" s="1"/>
      <x:c r="Q1355" s="1"/>
      <x:c r="R1355" s="1"/>
      <x:c r="S1355" s="1"/>
      <x:c r="T1355" s="1"/>
      <x:c r="U1355" s="1"/>
      <x:c r="V1355" s="1"/>
    </x:row>
    <x:row r="1356">
      <x:c r="A1356" s="1"/>
      <x:c r="B1356" s="1"/>
      <x:c r="C1356" s="1"/>
      <x:c r="D1356" s="1"/>
      <x:c r="E1356" s="1"/>
      <x:c r="F1356" s="1"/>
      <x:c r="G1356" s="1"/>
      <x:c r="H1356" s="1"/>
      <x:c r="I1356" s="1"/>
      <x:c r="J1356" s="1"/>
      <x:c r="K1356" s="1"/>
      <x:c r="L1356" s="1"/>
      <x:c r="M1356" s="1"/>
      <x:c r="N1356" s="1"/>
      <x:c r="O1356" s="1"/>
      <x:c r="P1356" s="1"/>
      <x:c r="Q1356" s="1"/>
      <x:c r="R1356" s="1"/>
      <x:c r="S1356" s="1"/>
      <x:c r="T1356" s="1"/>
      <x:c r="U1356" s="1"/>
      <x:c r="V1356" s="1"/>
    </x:row>
    <x:row r="1357">
      <x:c r="A1357" s="1"/>
      <x:c r="B1357" s="1"/>
      <x:c r="C1357" s="1"/>
      <x:c r="D1357" s="1"/>
      <x:c r="E1357" s="1"/>
      <x:c r="F1357" s="1"/>
      <x:c r="G1357" s="1"/>
      <x:c r="H1357" s="1"/>
      <x:c r="I1357" s="1"/>
      <x:c r="J1357" s="1"/>
      <x:c r="K1357" s="1"/>
      <x:c r="L1357" s="1"/>
      <x:c r="M1357" s="1"/>
      <x:c r="N1357" s="1"/>
      <x:c r="O1357" s="1"/>
      <x:c r="P1357" s="1"/>
      <x:c r="Q1357" s="1"/>
      <x:c r="R1357" s="1"/>
      <x:c r="S1357" s="1"/>
      <x:c r="T1357" s="1"/>
      <x:c r="U1357" s="1"/>
      <x:c r="V1357" s="1"/>
    </x:row>
    <x:row r="1358">
      <x:c r="A1358" s="1"/>
      <x:c r="B1358" s="1"/>
      <x:c r="C1358" s="1"/>
      <x:c r="D1358" s="1"/>
      <x:c r="E1358" s="1"/>
      <x:c r="F1358" s="1"/>
      <x:c r="G1358" s="1"/>
      <x:c r="H1358" s="1"/>
      <x:c r="I1358" s="1"/>
      <x:c r="J1358" s="1"/>
      <x:c r="K1358" s="1"/>
      <x:c r="L1358" s="1"/>
      <x:c r="M1358" s="1"/>
      <x:c r="N1358" s="1"/>
      <x:c r="O1358" s="1"/>
      <x:c r="P1358" s="1"/>
      <x:c r="Q1358" s="1"/>
      <x:c r="R1358" s="1"/>
      <x:c r="S1358" s="1"/>
      <x:c r="T1358" s="1"/>
      <x:c r="U1358" s="1"/>
      <x:c r="V1358" s="1"/>
    </x:row>
    <x:row r="1359">
      <x:c r="A1359" s="1"/>
      <x:c r="B1359" s="1"/>
      <x:c r="C1359" s="1"/>
      <x:c r="D1359" s="1"/>
      <x:c r="E1359" s="1"/>
      <x:c r="F1359" s="1"/>
      <x:c r="G1359" s="1"/>
      <x:c r="H1359" s="1"/>
      <x:c r="I1359" s="1"/>
      <x:c r="J1359" s="1"/>
      <x:c r="K1359" s="1"/>
      <x:c r="L1359" s="1"/>
      <x:c r="M1359" s="1"/>
      <x:c r="N1359" s="1"/>
      <x:c r="O1359" s="1"/>
      <x:c r="P1359" s="1"/>
      <x:c r="Q1359" s="1"/>
      <x:c r="R1359" s="1"/>
      <x:c r="S1359" s="1"/>
      <x:c r="T1359" s="1"/>
      <x:c r="U1359" s="1"/>
      <x:c r="V1359" s="1"/>
    </x:row>
    <x:row r="1360">
      <x:c r="A1360" s="1"/>
      <x:c r="B1360" s="1"/>
      <x:c r="C1360" s="1"/>
      <x:c r="D1360" s="1"/>
      <x:c r="E1360" s="1"/>
      <x:c r="F1360" s="1"/>
      <x:c r="G1360" s="1"/>
      <x:c r="H1360" s="1"/>
      <x:c r="I1360" s="1"/>
      <x:c r="J1360" s="1"/>
      <x:c r="K1360" s="1"/>
      <x:c r="L1360" s="1"/>
      <x:c r="M1360" s="1"/>
      <x:c r="N1360" s="1"/>
      <x:c r="O1360" s="1"/>
      <x:c r="P1360" s="1"/>
      <x:c r="Q1360" s="1"/>
      <x:c r="R1360" s="1"/>
      <x:c r="S1360" s="1"/>
      <x:c r="T1360" s="1"/>
      <x:c r="U1360" s="1"/>
      <x:c r="V1360" s="1"/>
    </x:row>
    <x:row r="1361">
      <x:c r="A1361" s="1"/>
      <x:c r="B1361" s="1"/>
      <x:c r="C1361" s="1"/>
      <x:c r="D1361" s="1"/>
      <x:c r="E1361" s="1"/>
      <x:c r="F1361" s="1"/>
      <x:c r="G1361" s="1"/>
      <x:c r="H1361" s="1"/>
      <x:c r="I1361" s="1"/>
      <x:c r="J1361" s="1"/>
      <x:c r="K1361" s="1"/>
      <x:c r="L1361" s="1"/>
      <x:c r="M1361" s="1"/>
      <x:c r="N1361" s="1"/>
      <x:c r="O1361" s="1"/>
      <x:c r="P1361" s="1"/>
      <x:c r="Q1361" s="1"/>
      <x:c r="R1361" s="1"/>
      <x:c r="S1361" s="1"/>
      <x:c r="T1361" s="1"/>
      <x:c r="U1361" s="1"/>
      <x:c r="V1361" s="1"/>
    </x:row>
    <x:row r="1362">
      <x:c r="A1362" s="1"/>
      <x:c r="B1362" s="1"/>
      <x:c r="C1362" s="1"/>
      <x:c r="D1362" s="1"/>
      <x:c r="E1362" s="1"/>
      <x:c r="F1362" s="1"/>
      <x:c r="G1362" s="1"/>
      <x:c r="H1362" s="1"/>
      <x:c r="I1362" s="1"/>
      <x:c r="J1362" s="1"/>
      <x:c r="K1362" s="1"/>
      <x:c r="L1362" s="1"/>
      <x:c r="M1362" s="1"/>
      <x:c r="N1362" s="1"/>
      <x:c r="O1362" s="1"/>
      <x:c r="P1362" s="1"/>
      <x:c r="Q1362" s="1"/>
      <x:c r="R1362" s="1"/>
      <x:c r="S1362" s="1"/>
      <x:c r="T1362" s="1"/>
      <x:c r="U1362" s="1"/>
      <x:c r="V1362" s="1"/>
    </x:row>
    <x:row r="1363">
      <x:c r="A1363" s="1"/>
      <x:c r="B1363" s="1"/>
      <x:c r="C1363" s="1"/>
      <x:c r="D1363" s="1"/>
      <x:c r="E1363" s="1"/>
      <x:c r="F1363" s="1"/>
      <x:c r="G1363" s="1"/>
      <x:c r="H1363" s="1"/>
      <x:c r="I1363" s="1"/>
      <x:c r="J1363" s="1"/>
      <x:c r="K1363" s="1"/>
      <x:c r="L1363" s="1"/>
      <x:c r="M1363" s="1"/>
      <x:c r="N1363" s="1"/>
      <x:c r="O1363" s="1"/>
      <x:c r="P1363" s="1"/>
      <x:c r="Q1363" s="1"/>
      <x:c r="R1363" s="1"/>
      <x:c r="S1363" s="1"/>
      <x:c r="T1363" s="1"/>
      <x:c r="U1363" s="1"/>
      <x:c r="V1363" s="1"/>
    </x:row>
    <x:row r="1364">
      <x:c r="A1364" s="1"/>
      <x:c r="B1364" s="1"/>
      <x:c r="C1364" s="1"/>
      <x:c r="D1364" s="1"/>
      <x:c r="E1364" s="1"/>
      <x:c r="F1364" s="1"/>
      <x:c r="G1364" s="1"/>
      <x:c r="H1364" s="1"/>
      <x:c r="I1364" s="1"/>
      <x:c r="J1364" s="1"/>
      <x:c r="K1364" s="1"/>
      <x:c r="L1364" s="1"/>
      <x:c r="M1364" s="1"/>
      <x:c r="N1364" s="1"/>
      <x:c r="O1364" s="1"/>
      <x:c r="P1364" s="1"/>
      <x:c r="Q1364" s="1"/>
      <x:c r="R1364" s="1"/>
      <x:c r="S1364" s="1"/>
      <x:c r="T1364" s="1"/>
      <x:c r="U1364" s="1"/>
      <x:c r="V1364" s="1"/>
    </x:row>
    <x:row r="1365">
      <x:c r="A1365" s="1"/>
      <x:c r="B1365" s="1"/>
      <x:c r="C1365" s="1"/>
      <x:c r="D1365" s="1"/>
      <x:c r="E1365" s="1"/>
      <x:c r="F1365" s="1"/>
      <x:c r="G1365" s="1"/>
      <x:c r="H1365" s="1"/>
      <x:c r="I1365" s="1"/>
      <x:c r="J1365" s="1"/>
      <x:c r="K1365" s="1"/>
      <x:c r="L1365" s="1"/>
      <x:c r="M1365" s="1"/>
      <x:c r="N1365" s="1"/>
      <x:c r="O1365" s="1"/>
      <x:c r="P1365" s="1"/>
      <x:c r="Q1365" s="1"/>
      <x:c r="R1365" s="1"/>
      <x:c r="S1365" s="1"/>
      <x:c r="T1365" s="1"/>
      <x:c r="U1365" s="1"/>
      <x:c r="V1365" s="1"/>
    </x:row>
    <x:row r="1366">
      <x:c r="A1366" s="1"/>
      <x:c r="B1366" s="1"/>
      <x:c r="C1366" s="1"/>
      <x:c r="D1366" s="1"/>
      <x:c r="E1366" s="1"/>
      <x:c r="F1366" s="1"/>
      <x:c r="G1366" s="1"/>
      <x:c r="H1366" s="1"/>
      <x:c r="I1366" s="1"/>
      <x:c r="J1366" s="1"/>
      <x:c r="K1366" s="1"/>
      <x:c r="L1366" s="1"/>
      <x:c r="M1366" s="1"/>
      <x:c r="N1366" s="1"/>
      <x:c r="O1366" s="1"/>
      <x:c r="P1366" s="1"/>
      <x:c r="Q1366" s="1"/>
      <x:c r="R1366" s="1"/>
      <x:c r="S1366" s="1"/>
      <x:c r="T1366" s="1"/>
      <x:c r="U1366" s="1"/>
      <x:c r="V1366" s="1"/>
    </x:row>
    <x:row r="1367">
      <x:c r="A1367" s="1"/>
      <x:c r="B1367" s="1"/>
      <x:c r="C1367" s="1"/>
      <x:c r="D1367" s="1"/>
      <x:c r="E1367" s="1"/>
      <x:c r="F1367" s="1"/>
      <x:c r="G1367" s="1"/>
      <x:c r="H1367" s="1"/>
      <x:c r="I1367" s="1"/>
      <x:c r="J1367" s="1"/>
      <x:c r="K1367" s="1"/>
      <x:c r="L1367" s="1"/>
      <x:c r="M1367" s="1"/>
      <x:c r="N1367" s="1"/>
      <x:c r="O1367" s="1"/>
      <x:c r="P1367" s="1"/>
      <x:c r="Q1367" s="1"/>
      <x:c r="R1367" s="1"/>
      <x:c r="S1367" s="1"/>
      <x:c r="T1367" s="1"/>
      <x:c r="U1367" s="1"/>
      <x:c r="V1367" s="1"/>
    </x:row>
    <x:row r="1368">
      <x:c r="A1368" s="1"/>
      <x:c r="B1368" s="1"/>
      <x:c r="C1368" s="1"/>
      <x:c r="D1368" s="1"/>
      <x:c r="E1368" s="1"/>
      <x:c r="F1368" s="1"/>
      <x:c r="G1368" s="1"/>
      <x:c r="H1368" s="1"/>
      <x:c r="I1368" s="1"/>
      <x:c r="J1368" s="1"/>
      <x:c r="K1368" s="1"/>
      <x:c r="L1368" s="1"/>
      <x:c r="M1368" s="1"/>
      <x:c r="N1368" s="1"/>
      <x:c r="O1368" s="1"/>
      <x:c r="P1368" s="1"/>
      <x:c r="Q1368" s="1"/>
      <x:c r="R1368" s="1"/>
      <x:c r="S1368" s="1"/>
      <x:c r="T1368" s="1"/>
      <x:c r="U1368" s="1"/>
      <x:c r="V1368" s="1"/>
    </x:row>
    <x:row r="1369">
      <x:c r="A1369" s="1"/>
      <x:c r="B1369" s="1"/>
      <x:c r="C1369" s="1"/>
      <x:c r="D1369" s="1"/>
      <x:c r="E1369" s="1"/>
      <x:c r="F1369" s="1"/>
      <x:c r="G1369" s="1"/>
      <x:c r="H1369" s="1"/>
      <x:c r="I1369" s="1"/>
      <x:c r="J1369" s="1"/>
      <x:c r="K1369" s="1"/>
      <x:c r="L1369" s="1"/>
      <x:c r="M1369" s="1"/>
      <x:c r="N1369" s="1"/>
      <x:c r="O1369" s="1"/>
      <x:c r="P1369" s="1"/>
      <x:c r="Q1369" s="1"/>
      <x:c r="R1369" s="1"/>
      <x:c r="S1369" s="1"/>
      <x:c r="T1369" s="1"/>
      <x:c r="U1369" s="1"/>
      <x:c r="V1369" s="1"/>
    </x:row>
    <x:row r="1370">
      <x:c r="A1370" s="1"/>
      <x:c r="B1370" s="1"/>
      <x:c r="C1370" s="1"/>
      <x:c r="D1370" s="1"/>
      <x:c r="E1370" s="1"/>
      <x:c r="F1370" s="1"/>
      <x:c r="G1370" s="1"/>
      <x:c r="H1370" s="1"/>
      <x:c r="I1370" s="1"/>
      <x:c r="J1370" s="1"/>
      <x:c r="K1370" s="1"/>
      <x:c r="L1370" s="1"/>
      <x:c r="M1370" s="1"/>
      <x:c r="N1370" s="1"/>
      <x:c r="O1370" s="1"/>
      <x:c r="P1370" s="1"/>
      <x:c r="Q1370" s="1"/>
      <x:c r="R1370" s="1"/>
      <x:c r="S1370" s="1"/>
      <x:c r="T1370" s="1"/>
      <x:c r="U1370" s="1"/>
      <x:c r="V1370" s="1"/>
    </x:row>
    <x:row r="1371">
      <x:c r="A1371" s="1"/>
      <x:c r="B1371" s="1"/>
      <x:c r="C1371" s="1"/>
      <x:c r="D1371" s="1"/>
      <x:c r="E1371" s="1"/>
      <x:c r="F1371" s="1"/>
      <x:c r="G1371" s="1"/>
      <x:c r="H1371" s="1"/>
      <x:c r="I1371" s="1"/>
      <x:c r="J1371" s="1"/>
      <x:c r="K1371" s="1"/>
      <x:c r="L1371" s="1"/>
      <x:c r="M1371" s="1"/>
      <x:c r="N1371" s="1"/>
      <x:c r="O1371" s="1"/>
      <x:c r="P1371" s="1"/>
      <x:c r="Q1371" s="1"/>
      <x:c r="R1371" s="1"/>
      <x:c r="S1371" s="1"/>
      <x:c r="T1371" s="1"/>
      <x:c r="U1371" s="1"/>
      <x:c r="V1371" s="1"/>
    </x:row>
    <x:row r="1372">
      <x:c r="A1372" s="1"/>
      <x:c r="B1372" s="1"/>
      <x:c r="C1372" s="1"/>
      <x:c r="D1372" s="1"/>
      <x:c r="E1372" s="1"/>
      <x:c r="F1372" s="1"/>
      <x:c r="G1372" s="1"/>
      <x:c r="H1372" s="1"/>
      <x:c r="I1372" s="1"/>
      <x:c r="J1372" s="1"/>
      <x:c r="K1372" s="1"/>
      <x:c r="L1372" s="1"/>
      <x:c r="M1372" s="1"/>
      <x:c r="N1372" s="1"/>
      <x:c r="O1372" s="1"/>
      <x:c r="P1372" s="1"/>
      <x:c r="Q1372" s="1"/>
      <x:c r="R1372" s="1"/>
      <x:c r="S1372" s="1"/>
      <x:c r="T1372" s="1"/>
      <x:c r="U1372" s="1"/>
      <x:c r="V1372" s="1"/>
    </x:row>
    <x:row r="1373">
      <x:c r="A1373" s="1"/>
      <x:c r="B1373" s="1"/>
      <x:c r="C1373" s="1"/>
      <x:c r="D1373" s="1"/>
      <x:c r="E1373" s="1"/>
      <x:c r="F1373" s="1"/>
      <x:c r="G1373" s="1"/>
      <x:c r="H1373" s="1"/>
      <x:c r="I1373" s="1"/>
      <x:c r="J1373" s="1"/>
      <x:c r="K1373" s="1"/>
      <x:c r="L1373" s="1"/>
      <x:c r="M1373" s="1"/>
      <x:c r="N1373" s="1"/>
      <x:c r="O1373" s="1"/>
      <x:c r="P1373" s="1"/>
      <x:c r="Q1373" s="1"/>
      <x:c r="R1373" s="1"/>
      <x:c r="S1373" s="1"/>
      <x:c r="T1373" s="1"/>
      <x:c r="U1373" s="1"/>
      <x:c r="V1373" s="1"/>
    </x:row>
    <x:row r="1374">
      <x:c r="A1374" s="1"/>
      <x:c r="B1374" s="1"/>
      <x:c r="C1374" s="1"/>
      <x:c r="D1374" s="1"/>
      <x:c r="E1374" s="1"/>
      <x:c r="F1374" s="1"/>
      <x:c r="G1374" s="1"/>
      <x:c r="H1374" s="1"/>
      <x:c r="I1374" s="1"/>
      <x:c r="J1374" s="1"/>
      <x:c r="K1374" s="1"/>
      <x:c r="L1374" s="1"/>
      <x:c r="M1374" s="1"/>
      <x:c r="N1374" s="1"/>
      <x:c r="O1374" s="1"/>
      <x:c r="P1374" s="1"/>
      <x:c r="Q1374" s="1"/>
      <x:c r="R1374" s="1"/>
      <x:c r="S1374" s="1"/>
      <x:c r="T1374" s="1"/>
      <x:c r="U1374" s="1"/>
      <x:c r="V1374" s="1"/>
    </x:row>
    <x:row r="1375">
      <x:c r="A1375" s="1"/>
      <x:c r="B1375" s="1"/>
      <x:c r="C1375" s="1"/>
      <x:c r="D1375" s="1"/>
      <x:c r="E1375" s="1"/>
      <x:c r="F1375" s="1"/>
      <x:c r="G1375" s="1"/>
      <x:c r="H1375" s="1"/>
      <x:c r="I1375" s="1"/>
      <x:c r="J1375" s="1"/>
      <x:c r="K1375" s="1"/>
      <x:c r="L1375" s="1"/>
      <x:c r="M1375" s="1"/>
      <x:c r="N1375" s="1"/>
      <x:c r="O1375" s="1"/>
      <x:c r="P1375" s="1"/>
      <x:c r="Q1375" s="1"/>
      <x:c r="R1375" s="1"/>
      <x:c r="S1375" s="1"/>
      <x:c r="T1375" s="1"/>
      <x:c r="U1375" s="1"/>
      <x:c r="V1375" s="1"/>
    </x:row>
    <x:row r="1376">
      <x:c r="A1376" s="1"/>
      <x:c r="B1376" s="1"/>
      <x:c r="C1376" s="1"/>
      <x:c r="D1376" s="1"/>
      <x:c r="E1376" s="1"/>
      <x:c r="F1376" s="1"/>
      <x:c r="G1376" s="1"/>
      <x:c r="H1376" s="1"/>
      <x:c r="I1376" s="1"/>
      <x:c r="J1376" s="1"/>
      <x:c r="K1376" s="1"/>
      <x:c r="L1376" s="1"/>
      <x:c r="M1376" s="1"/>
      <x:c r="N1376" s="1"/>
      <x:c r="O1376" s="1"/>
      <x:c r="P1376" s="1"/>
      <x:c r="Q1376" s="1"/>
      <x:c r="R1376" s="1"/>
      <x:c r="S1376" s="1"/>
      <x:c r="T1376" s="1"/>
      <x:c r="U1376" s="1"/>
      <x:c r="V1376" s="1"/>
    </x:row>
    <x:row r="1377">
      <x:c r="A1377" s="1"/>
      <x:c r="B1377" s="1"/>
      <x:c r="C1377" s="1"/>
      <x:c r="D1377" s="1"/>
      <x:c r="E1377" s="1"/>
      <x:c r="F1377" s="1"/>
      <x:c r="G1377" s="1"/>
      <x:c r="H1377" s="1"/>
      <x:c r="I1377" s="1"/>
      <x:c r="J1377" s="1"/>
      <x:c r="K1377" s="1"/>
      <x:c r="L1377" s="1"/>
      <x:c r="M1377" s="1"/>
      <x:c r="N1377" s="1"/>
      <x:c r="O1377" s="1"/>
      <x:c r="P1377" s="1"/>
      <x:c r="Q1377" s="1"/>
      <x:c r="R1377" s="1"/>
      <x:c r="S1377" s="1"/>
      <x:c r="T1377" s="1"/>
      <x:c r="U1377" s="1"/>
      <x:c r="V1377" s="1"/>
    </x:row>
    <x:row r="1378">
      <x:c r="A1378" s="1"/>
      <x:c r="B1378" s="1"/>
      <x:c r="C1378" s="1"/>
      <x:c r="D1378" s="1"/>
      <x:c r="E1378" s="1"/>
      <x:c r="F1378" s="1"/>
      <x:c r="G1378" s="1"/>
      <x:c r="H1378" s="1"/>
      <x:c r="I1378" s="1"/>
      <x:c r="J1378" s="1"/>
      <x:c r="K1378" s="1"/>
      <x:c r="L1378" s="1"/>
      <x:c r="M1378" s="1"/>
      <x:c r="N1378" s="1"/>
      <x:c r="O1378" s="1"/>
      <x:c r="P1378" s="1"/>
      <x:c r="Q1378" s="1"/>
      <x:c r="R1378" s="1"/>
      <x:c r="S1378" s="1"/>
      <x:c r="T1378" s="1"/>
      <x:c r="U1378" s="1"/>
      <x:c r="V1378" s="1"/>
    </x:row>
    <x:row r="1379">
      <x:c r="A1379" s="1"/>
      <x:c r="B1379" s="1"/>
      <x:c r="C1379" s="1"/>
      <x:c r="D1379" s="1"/>
      <x:c r="E1379" s="1"/>
      <x:c r="F1379" s="1"/>
      <x:c r="G1379" s="1"/>
      <x:c r="H1379" s="1"/>
      <x:c r="I1379" s="1"/>
      <x:c r="J1379" s="1"/>
      <x:c r="K1379" s="1"/>
      <x:c r="L1379" s="1"/>
      <x:c r="M1379" s="1"/>
      <x:c r="N1379" s="1"/>
      <x:c r="O1379" s="1"/>
      <x:c r="P1379" s="1"/>
      <x:c r="Q1379" s="1"/>
      <x:c r="R1379" s="1"/>
      <x:c r="S1379" s="1"/>
      <x:c r="T1379" s="1"/>
      <x:c r="U1379" s="1"/>
      <x:c r="V1379" s="1"/>
    </x:row>
    <x:row r="1380">
      <x:c r="A1380" s="1"/>
      <x:c r="B1380" s="1"/>
      <x:c r="C1380" s="1"/>
      <x:c r="D1380" s="1"/>
      <x:c r="E1380" s="1"/>
      <x:c r="F1380" s="1"/>
      <x:c r="G1380" s="1"/>
      <x:c r="H1380" s="1"/>
      <x:c r="I1380" s="1"/>
      <x:c r="J1380" s="1"/>
      <x:c r="K1380" s="1"/>
      <x:c r="L1380" s="1"/>
      <x:c r="M1380" s="1"/>
      <x:c r="N1380" s="1"/>
      <x:c r="O1380" s="1"/>
      <x:c r="P1380" s="1"/>
      <x:c r="Q1380" s="1"/>
      <x:c r="R1380" s="1"/>
      <x:c r="S1380" s="1"/>
      <x:c r="T1380" s="1"/>
      <x:c r="U1380" s="1"/>
      <x:c r="V1380" s="1"/>
    </x:row>
    <x:row r="1381">
      <x:c r="A1381" s="1"/>
      <x:c r="B1381" s="1"/>
      <x:c r="C1381" s="1"/>
      <x:c r="D1381" s="1"/>
      <x:c r="E1381" s="1"/>
      <x:c r="F1381" s="1"/>
      <x:c r="G1381" s="1"/>
      <x:c r="H1381" s="1"/>
      <x:c r="I1381" s="1"/>
      <x:c r="J1381" s="1"/>
      <x:c r="K1381" s="1"/>
      <x:c r="L1381" s="1"/>
      <x:c r="M1381" s="1"/>
      <x:c r="N1381" s="1"/>
      <x:c r="O1381" s="1"/>
      <x:c r="P1381" s="1"/>
      <x:c r="Q1381" s="1"/>
      <x:c r="R1381" s="1"/>
      <x:c r="S1381" s="1"/>
      <x:c r="T1381" s="1"/>
      <x:c r="U1381" s="1"/>
      <x:c r="V1381" s="1"/>
    </x:row>
    <x:row r="1382">
      <x:c r="A1382" s="1"/>
      <x:c r="B1382" s="1"/>
      <x:c r="C1382" s="1"/>
      <x:c r="D1382" s="1"/>
      <x:c r="E1382" s="1"/>
      <x:c r="F1382" s="1"/>
      <x:c r="G1382" s="1"/>
      <x:c r="H1382" s="1"/>
      <x:c r="I1382" s="1"/>
      <x:c r="J1382" s="1"/>
      <x:c r="K1382" s="1"/>
      <x:c r="L1382" s="1"/>
      <x:c r="M1382" s="1"/>
      <x:c r="N1382" s="1"/>
      <x:c r="O1382" s="1"/>
      <x:c r="P1382" s="1"/>
      <x:c r="Q1382" s="1"/>
      <x:c r="R1382" s="1"/>
      <x:c r="S1382" s="1"/>
      <x:c r="T1382" s="1"/>
      <x:c r="U1382" s="1"/>
      <x:c r="V1382" s="1"/>
    </x:row>
    <x:row r="1383">
      <x:c r="A1383" s="1"/>
      <x:c r="B1383" s="1"/>
      <x:c r="C1383" s="1"/>
      <x:c r="D1383" s="1"/>
      <x:c r="E1383" s="1"/>
      <x:c r="F1383" s="1"/>
      <x:c r="G1383" s="1"/>
      <x:c r="H1383" s="1"/>
      <x:c r="I1383" s="1"/>
      <x:c r="J1383" s="1"/>
      <x:c r="K1383" s="1"/>
      <x:c r="L1383" s="1"/>
      <x:c r="M1383" s="1"/>
      <x:c r="N1383" s="1"/>
      <x:c r="O1383" s="1"/>
      <x:c r="P1383" s="1"/>
      <x:c r="Q1383" s="1"/>
      <x:c r="R1383" s="1"/>
      <x:c r="S1383" s="1"/>
      <x:c r="T1383" s="1"/>
      <x:c r="U1383" s="1"/>
      <x:c r="V1383" s="1"/>
    </x:row>
    <x:row r="1384">
      <x:c r="A1384" s="1"/>
      <x:c r="B1384" s="1"/>
      <x:c r="C1384" s="1"/>
      <x:c r="D1384" s="1"/>
      <x:c r="E1384" s="1"/>
      <x:c r="F1384" s="1"/>
      <x:c r="G1384" s="1"/>
      <x:c r="H1384" s="1"/>
      <x:c r="I1384" s="1"/>
      <x:c r="J1384" s="1"/>
      <x:c r="K1384" s="1"/>
      <x:c r="L1384" s="1"/>
      <x:c r="M1384" s="1"/>
      <x:c r="N1384" s="1"/>
      <x:c r="O1384" s="1"/>
      <x:c r="P1384" s="1"/>
      <x:c r="Q1384" s="1"/>
      <x:c r="R1384" s="1"/>
      <x:c r="S1384" s="1"/>
      <x:c r="T1384" s="1"/>
      <x:c r="U1384" s="1"/>
      <x:c r="V1384" s="1"/>
    </x:row>
    <x:row r="1385">
      <x:c r="A1385" s="1"/>
      <x:c r="B1385" s="1"/>
      <x:c r="C1385" s="1"/>
      <x:c r="D1385" s="1"/>
      <x:c r="E1385" s="1"/>
      <x:c r="F1385" s="1"/>
      <x:c r="G1385" s="1"/>
      <x:c r="H1385" s="1"/>
      <x:c r="I1385" s="1"/>
      <x:c r="J1385" s="1"/>
      <x:c r="K1385" s="1"/>
      <x:c r="L1385" s="1"/>
      <x:c r="M1385" s="1"/>
      <x:c r="N1385" s="1"/>
      <x:c r="O1385" s="1"/>
      <x:c r="P1385" s="1"/>
      <x:c r="Q1385" s="1"/>
      <x:c r="R1385" s="1"/>
      <x:c r="S1385" s="1"/>
      <x:c r="T1385" s="1"/>
      <x:c r="U1385" s="1"/>
      <x:c r="V1385" s="1"/>
    </x:row>
    <x:row r="1386">
      <x:c r="A1386" s="1"/>
      <x:c r="B1386" s="1"/>
      <x:c r="C1386" s="1"/>
      <x:c r="D1386" s="1"/>
      <x:c r="E1386" s="1"/>
      <x:c r="F1386" s="1"/>
      <x:c r="G1386" s="1"/>
      <x:c r="H1386" s="1"/>
      <x:c r="I1386" s="1"/>
      <x:c r="J1386" s="1"/>
      <x:c r="K1386" s="1"/>
      <x:c r="L1386" s="1"/>
      <x:c r="M1386" s="1"/>
      <x:c r="N1386" s="1"/>
      <x:c r="O1386" s="1"/>
      <x:c r="P1386" s="1"/>
      <x:c r="Q1386" s="1"/>
      <x:c r="R1386" s="1"/>
      <x:c r="S1386" s="1"/>
      <x:c r="T1386" s="1"/>
      <x:c r="U1386" s="1"/>
      <x:c r="V1386" s="1"/>
    </x:row>
    <x:row r="1387">
      <x:c r="A1387" s="1"/>
      <x:c r="B1387" s="1"/>
      <x:c r="C1387" s="1"/>
      <x:c r="D1387" s="1"/>
      <x:c r="E1387" s="1"/>
      <x:c r="F1387" s="1"/>
      <x:c r="G1387" s="1"/>
      <x:c r="H1387" s="1"/>
      <x:c r="I1387" s="1"/>
      <x:c r="J1387" s="1"/>
      <x:c r="K1387" s="1"/>
      <x:c r="L1387" s="1"/>
      <x:c r="M1387" s="1"/>
      <x:c r="N1387" s="1"/>
      <x:c r="O1387" s="1"/>
      <x:c r="P1387" s="1"/>
      <x:c r="Q1387" s="1"/>
      <x:c r="R1387" s="1"/>
      <x:c r="S1387" s="1"/>
      <x:c r="T1387" s="1"/>
      <x:c r="U1387" s="1"/>
      <x:c r="V1387" s="1"/>
    </x:row>
    <x:row r="1388">
      <x:c r="A1388" s="1"/>
      <x:c r="B1388" s="1"/>
      <x:c r="C1388" s="1"/>
      <x:c r="D1388" s="1"/>
      <x:c r="E1388" s="1"/>
      <x:c r="F1388" s="1"/>
      <x:c r="G1388" s="1"/>
      <x:c r="H1388" s="1"/>
      <x:c r="I1388" s="1"/>
      <x:c r="J1388" s="1"/>
      <x:c r="K1388" s="1"/>
      <x:c r="L1388" s="1"/>
      <x:c r="M1388" s="1"/>
      <x:c r="N1388" s="1"/>
      <x:c r="O1388" s="1"/>
      <x:c r="P1388" s="1"/>
      <x:c r="Q1388" s="1"/>
      <x:c r="R1388" s="1"/>
      <x:c r="S1388" s="1"/>
      <x:c r="T1388" s="1"/>
      <x:c r="U1388" s="1"/>
      <x:c r="V1388" s="1"/>
    </x:row>
    <x:row r="1389">
      <x:c r="A1389" s="1"/>
      <x:c r="B1389" s="1"/>
      <x:c r="C1389" s="1"/>
      <x:c r="D1389" s="1"/>
      <x:c r="E1389" s="1"/>
      <x:c r="F1389" s="1"/>
      <x:c r="G1389" s="1"/>
      <x:c r="H1389" s="1"/>
      <x:c r="I1389" s="1"/>
      <x:c r="J1389" s="1"/>
      <x:c r="K1389" s="1"/>
      <x:c r="L1389" s="1"/>
      <x:c r="M1389" s="1"/>
      <x:c r="N1389" s="1"/>
      <x:c r="O1389" s="1"/>
      <x:c r="P1389" s="1"/>
      <x:c r="Q1389" s="1"/>
      <x:c r="R1389" s="1"/>
      <x:c r="S1389" s="1"/>
      <x:c r="T1389" s="1"/>
      <x:c r="U1389" s="1"/>
      <x:c r="V1389" s="1"/>
    </x:row>
    <x:row r="1390">
      <x:c r="A1390" s="1"/>
      <x:c r="B1390" s="1"/>
      <x:c r="C1390" s="1"/>
      <x:c r="D1390" s="1"/>
      <x:c r="E1390" s="1"/>
      <x:c r="F1390" s="1"/>
      <x:c r="G1390" s="1"/>
      <x:c r="H1390" s="1"/>
      <x:c r="I1390" s="1"/>
      <x:c r="J1390" s="1"/>
      <x:c r="K1390" s="1"/>
      <x:c r="L1390" s="1"/>
      <x:c r="M1390" s="1"/>
      <x:c r="N1390" s="1"/>
      <x:c r="O1390" s="1"/>
      <x:c r="P1390" s="1"/>
      <x:c r="Q1390" s="1"/>
      <x:c r="R1390" s="1"/>
      <x:c r="S1390" s="1"/>
      <x:c r="T1390" s="1"/>
      <x:c r="U1390" s="1"/>
      <x:c r="V1390" s="1"/>
    </x:row>
    <x:row r="1391">
      <x:c r="A1391" s="1"/>
      <x:c r="B1391" s="1"/>
      <x:c r="C1391" s="1"/>
      <x:c r="D1391" s="1"/>
      <x:c r="E1391" s="1"/>
      <x:c r="F1391" s="1"/>
      <x:c r="G1391" s="1"/>
      <x:c r="H1391" s="1"/>
      <x:c r="I1391" s="1"/>
      <x:c r="J1391" s="1"/>
      <x:c r="K1391" s="1"/>
      <x:c r="L1391" s="1"/>
      <x:c r="M1391" s="1"/>
      <x:c r="N1391" s="1"/>
      <x:c r="O1391" s="1"/>
      <x:c r="P1391" s="1"/>
      <x:c r="Q1391" s="1"/>
      <x:c r="R1391" s="1"/>
      <x:c r="S1391" s="1"/>
      <x:c r="T1391" s="1"/>
      <x:c r="U1391" s="1"/>
      <x:c r="V1391" s="1"/>
    </x:row>
    <x:row r="1392">
      <x:c r="A1392" s="1"/>
      <x:c r="B1392" s="1"/>
      <x:c r="C1392" s="1"/>
      <x:c r="D1392" s="1"/>
      <x:c r="E1392" s="1"/>
      <x:c r="F1392" s="1"/>
      <x:c r="G1392" s="1"/>
      <x:c r="H1392" s="1"/>
      <x:c r="I1392" s="1"/>
      <x:c r="J1392" s="1"/>
      <x:c r="K1392" s="1"/>
      <x:c r="L1392" s="1"/>
      <x:c r="M1392" s="1"/>
      <x:c r="N1392" s="1"/>
      <x:c r="O1392" s="1"/>
      <x:c r="P1392" s="1"/>
      <x:c r="Q1392" s="1"/>
      <x:c r="R1392" s="1"/>
      <x:c r="S1392" s="1"/>
      <x:c r="T1392" s="1"/>
      <x:c r="U1392" s="1"/>
      <x:c r="V1392" s="1"/>
    </x:row>
    <x:row r="1393">
      <x:c r="A1393" s="1"/>
      <x:c r="B1393" s="1"/>
      <x:c r="C1393" s="1"/>
      <x:c r="D1393" s="1"/>
      <x:c r="E1393" s="1"/>
      <x:c r="F1393" s="1"/>
      <x:c r="G1393" s="1"/>
      <x:c r="H1393" s="1"/>
      <x:c r="I1393" s="1"/>
      <x:c r="J1393" s="1"/>
      <x:c r="K1393" s="1"/>
      <x:c r="L1393" s="1"/>
      <x:c r="M1393" s="1"/>
      <x:c r="N1393" s="1"/>
      <x:c r="O1393" s="1"/>
      <x:c r="P1393" s="1"/>
      <x:c r="Q1393" s="1"/>
      <x:c r="R1393" s="1"/>
      <x:c r="S1393" s="1"/>
      <x:c r="T1393" s="1"/>
      <x:c r="U1393" s="1"/>
      <x:c r="V1393" s="1"/>
    </x:row>
    <x:row r="1394">
      <x:c r="A1394" s="1"/>
      <x:c r="B1394" s="1"/>
      <x:c r="C1394" s="1"/>
      <x:c r="D1394" s="1"/>
      <x:c r="E1394" s="1"/>
      <x:c r="F1394" s="1"/>
      <x:c r="G1394" s="1"/>
      <x:c r="H1394" s="1"/>
      <x:c r="I1394" s="1"/>
      <x:c r="J1394" s="1"/>
      <x:c r="K1394" s="1"/>
      <x:c r="L1394" s="1"/>
      <x:c r="M1394" s="1"/>
      <x:c r="N1394" s="1"/>
      <x:c r="O1394" s="1"/>
      <x:c r="P1394" s="1"/>
      <x:c r="Q1394" s="1"/>
      <x:c r="R1394" s="1"/>
      <x:c r="S1394" s="1"/>
      <x:c r="T1394" s="1"/>
      <x:c r="U1394" s="1"/>
      <x:c r="V1394" s="1"/>
    </x:row>
    <x:row r="1395">
      <x:c r="A1395" s="1"/>
      <x:c r="B1395" s="1"/>
      <x:c r="C1395" s="1"/>
      <x:c r="D1395" s="1"/>
      <x:c r="E1395" s="1"/>
      <x:c r="F1395" s="1"/>
      <x:c r="G1395" s="1"/>
      <x:c r="H1395" s="1"/>
      <x:c r="I1395" s="1"/>
      <x:c r="J1395" s="1"/>
      <x:c r="K1395" s="1"/>
      <x:c r="L1395" s="1"/>
      <x:c r="M1395" s="1"/>
      <x:c r="N1395" s="1"/>
      <x:c r="O1395" s="1"/>
      <x:c r="P1395" s="1"/>
      <x:c r="Q1395" s="1"/>
      <x:c r="R1395" s="1"/>
      <x:c r="S1395" s="1"/>
      <x:c r="T1395" s="1"/>
      <x:c r="U1395" s="1"/>
      <x:c r="V1395" s="1"/>
    </x:row>
    <x:row r="1396">
      <x:c r="A1396" s="1"/>
      <x:c r="B1396" s="1"/>
      <x:c r="C1396" s="1"/>
      <x:c r="D1396" s="1"/>
      <x:c r="E1396" s="1"/>
      <x:c r="F1396" s="1"/>
      <x:c r="G1396" s="1"/>
      <x:c r="H1396" s="1"/>
      <x:c r="I1396" s="1"/>
      <x:c r="J1396" s="1"/>
      <x:c r="K1396" s="1"/>
      <x:c r="L1396" s="1"/>
      <x:c r="M1396" s="1"/>
      <x:c r="N1396" s="1"/>
      <x:c r="O1396" s="1"/>
      <x:c r="P1396" s="1"/>
      <x:c r="Q1396" s="1"/>
      <x:c r="R1396" s="1"/>
      <x:c r="S1396" s="1"/>
      <x:c r="T1396" s="1"/>
      <x:c r="U1396" s="1"/>
      <x:c r="V1396" s="1"/>
    </x:row>
    <x:row r="1397">
      <x:c r="A1397" s="1"/>
      <x:c r="B1397" s="1"/>
      <x:c r="C1397" s="1"/>
      <x:c r="D1397" s="1"/>
      <x:c r="E1397" s="1"/>
      <x:c r="F1397" s="1"/>
      <x:c r="G1397" s="1"/>
      <x:c r="H1397" s="1"/>
      <x:c r="I1397" s="1"/>
      <x:c r="J1397" s="1"/>
      <x:c r="K1397" s="1"/>
      <x:c r="L1397" s="1"/>
      <x:c r="M1397" s="1"/>
      <x:c r="N1397" s="1"/>
      <x:c r="O1397" s="1"/>
      <x:c r="P1397" s="1"/>
      <x:c r="Q1397" s="1"/>
      <x:c r="R1397" s="1"/>
      <x:c r="S1397" s="1"/>
      <x:c r="T1397" s="1"/>
      <x:c r="U1397" s="1"/>
      <x:c r="V1397" s="1"/>
    </x:row>
    <x:row r="1398">
      <x:c r="A1398" s="1"/>
      <x:c r="B1398" s="1"/>
      <x:c r="C1398" s="1"/>
      <x:c r="D1398" s="1"/>
      <x:c r="E1398" s="1"/>
      <x:c r="F1398" s="1"/>
      <x:c r="G1398" s="1"/>
      <x:c r="H1398" s="1"/>
      <x:c r="I1398" s="1"/>
      <x:c r="J1398" s="1"/>
      <x:c r="K1398" s="1"/>
      <x:c r="L1398" s="1"/>
      <x:c r="M1398" s="1"/>
      <x:c r="N1398" s="1"/>
      <x:c r="O1398" s="1"/>
      <x:c r="P1398" s="1"/>
      <x:c r="Q1398" s="1"/>
      <x:c r="R1398" s="1"/>
      <x:c r="S1398" s="1"/>
      <x:c r="T1398" s="1"/>
      <x:c r="U1398" s="1"/>
      <x:c r="V1398" s="1"/>
    </x:row>
    <x:row r="1399">
      <x:c r="A1399" s="1"/>
      <x:c r="B1399" s="1"/>
      <x:c r="C1399" s="1"/>
      <x:c r="D1399" s="1"/>
      <x:c r="E1399" s="1"/>
      <x:c r="F1399" s="1"/>
      <x:c r="G1399" s="1"/>
      <x:c r="H1399" s="1"/>
      <x:c r="I1399" s="1"/>
      <x:c r="J1399" s="1"/>
      <x:c r="K1399" s="1"/>
      <x:c r="L1399" s="1"/>
      <x:c r="M1399" s="1"/>
      <x:c r="N1399" s="1"/>
      <x:c r="O1399" s="1"/>
      <x:c r="P1399" s="1"/>
      <x:c r="Q1399" s="1"/>
      <x:c r="R1399" s="1"/>
      <x:c r="S1399" s="1"/>
      <x:c r="T1399" s="1"/>
      <x:c r="U1399" s="1"/>
      <x:c r="V1399" s="1"/>
    </x:row>
    <x:row r="1400">
      <x:c r="A1400" s="1"/>
      <x:c r="B1400" s="1"/>
      <x:c r="C1400" s="1"/>
      <x:c r="D1400" s="1"/>
      <x:c r="E1400" s="1"/>
      <x:c r="F1400" s="1"/>
      <x:c r="G1400" s="1"/>
      <x:c r="H1400" s="1"/>
      <x:c r="I1400" s="1"/>
      <x:c r="J1400" s="1"/>
      <x:c r="K1400" s="1"/>
      <x:c r="L1400" s="1"/>
      <x:c r="M1400" s="1"/>
      <x:c r="N1400" s="1"/>
      <x:c r="O1400" s="1"/>
      <x:c r="P1400" s="1"/>
      <x:c r="Q1400" s="1"/>
      <x:c r="R1400" s="1"/>
      <x:c r="S1400" s="1"/>
      <x:c r="T1400" s="1"/>
      <x:c r="U1400" s="1"/>
      <x:c r="V1400" s="1"/>
    </x:row>
    <x:row r="1401">
      <x:c r="A1401" s="1"/>
      <x:c r="B1401" s="1"/>
      <x:c r="C1401" s="1"/>
      <x:c r="D1401" s="1"/>
      <x:c r="E1401" s="1"/>
      <x:c r="F1401" s="1"/>
      <x:c r="G1401" s="1"/>
      <x:c r="H1401" s="1"/>
      <x:c r="I1401" s="1"/>
      <x:c r="J1401" s="1"/>
      <x:c r="K1401" s="1"/>
      <x:c r="L1401" s="1"/>
      <x:c r="M1401" s="1"/>
      <x:c r="N1401" s="1"/>
      <x:c r="O1401" s="1"/>
      <x:c r="P1401" s="1"/>
      <x:c r="Q1401" s="1"/>
      <x:c r="R1401" s="1"/>
      <x:c r="S1401" s="1"/>
      <x:c r="T1401" s="1"/>
      <x:c r="U1401" s="1"/>
      <x:c r="V1401" s="1"/>
    </x:row>
    <x:row r="1402">
      <x:c r="A1402" s="1"/>
      <x:c r="B1402" s="1"/>
      <x:c r="C1402" s="1"/>
      <x:c r="D1402" s="1"/>
      <x:c r="E1402" s="1"/>
      <x:c r="F1402" s="1"/>
      <x:c r="G1402" s="1"/>
      <x:c r="H1402" s="1"/>
      <x:c r="I1402" s="1"/>
      <x:c r="J1402" s="1"/>
      <x:c r="K1402" s="1"/>
      <x:c r="L1402" s="1"/>
      <x:c r="M1402" s="1"/>
      <x:c r="N1402" s="1"/>
      <x:c r="O1402" s="1"/>
      <x:c r="P1402" s="1"/>
      <x:c r="Q1402" s="1"/>
      <x:c r="R1402" s="1"/>
      <x:c r="S1402" s="1"/>
      <x:c r="T1402" s="1"/>
      <x:c r="U1402" s="1"/>
      <x:c r="V1402" s="1"/>
    </x:row>
    <x:row r="1403">
      <x:c r="A1403" s="1"/>
      <x:c r="B1403" s="1"/>
      <x:c r="C1403" s="1"/>
      <x:c r="D1403" s="1"/>
      <x:c r="E1403" s="1"/>
      <x:c r="F1403" s="1"/>
      <x:c r="G1403" s="1"/>
      <x:c r="H1403" s="1"/>
      <x:c r="I1403" s="1"/>
      <x:c r="J1403" s="1"/>
      <x:c r="K1403" s="1"/>
      <x:c r="L1403" s="1"/>
      <x:c r="M1403" s="1"/>
      <x:c r="N1403" s="1"/>
      <x:c r="O1403" s="1"/>
      <x:c r="P1403" s="1"/>
      <x:c r="Q1403" s="1"/>
      <x:c r="R1403" s="1"/>
      <x:c r="S1403" s="1"/>
      <x:c r="T1403" s="1"/>
      <x:c r="U1403" s="1"/>
      <x:c r="V1403" s="1"/>
    </x:row>
    <x:row r="1404">
      <x:c r="A1404" s="1"/>
      <x:c r="B1404" s="1"/>
      <x:c r="C1404" s="1"/>
      <x:c r="D1404" s="1"/>
      <x:c r="E1404" s="1"/>
      <x:c r="F1404" s="1"/>
      <x:c r="G1404" s="1"/>
      <x:c r="H1404" s="1"/>
      <x:c r="I1404" s="1"/>
      <x:c r="J1404" s="1"/>
      <x:c r="K1404" s="1"/>
      <x:c r="L1404" s="1"/>
      <x:c r="M1404" s="1"/>
      <x:c r="N1404" s="1"/>
      <x:c r="O1404" s="1"/>
      <x:c r="P1404" s="1"/>
      <x:c r="Q1404" s="1"/>
      <x:c r="R1404" s="1"/>
      <x:c r="S1404" s="1"/>
      <x:c r="T1404" s="1"/>
      <x:c r="U1404" s="1"/>
      <x:c r="V1404" s="1"/>
    </x:row>
    <x:row r="1405">
      <x:c r="A1405" s="1"/>
      <x:c r="B1405" s="1"/>
      <x:c r="C1405" s="1"/>
      <x:c r="D1405" s="1"/>
      <x:c r="E1405" s="1"/>
      <x:c r="F1405" s="1"/>
      <x:c r="G1405" s="1"/>
      <x:c r="H1405" s="1"/>
      <x:c r="I1405" s="1"/>
      <x:c r="J1405" s="1"/>
      <x:c r="K1405" s="1"/>
      <x:c r="L1405" s="1"/>
      <x:c r="M1405" s="1"/>
      <x:c r="N1405" s="1"/>
      <x:c r="O1405" s="1"/>
      <x:c r="P1405" s="1"/>
      <x:c r="Q1405" s="1"/>
      <x:c r="R1405" s="1"/>
      <x:c r="S1405" s="1"/>
      <x:c r="T1405" s="1"/>
      <x:c r="U1405" s="1"/>
      <x:c r="V1405" s="1"/>
    </x:row>
    <x:row r="1406">
      <x:c r="A1406" s="1"/>
      <x:c r="B1406" s="1"/>
      <x:c r="C1406" s="1"/>
      <x:c r="D1406" s="1"/>
      <x:c r="E1406" s="1"/>
      <x:c r="F1406" s="1"/>
      <x:c r="G1406" s="1"/>
      <x:c r="H1406" s="1"/>
      <x:c r="I1406" s="1"/>
      <x:c r="J1406" s="1"/>
      <x:c r="K1406" s="1"/>
      <x:c r="L1406" s="1"/>
      <x:c r="M1406" s="1"/>
      <x:c r="N1406" s="1"/>
      <x:c r="O1406" s="1"/>
      <x:c r="P1406" s="1"/>
      <x:c r="Q1406" s="1"/>
      <x:c r="R1406" s="1"/>
      <x:c r="S1406" s="1"/>
      <x:c r="T1406" s="1"/>
      <x:c r="U1406" s="1"/>
      <x:c r="V1406" s="1"/>
    </x:row>
    <x:row r="1407">
      <x:c r="A1407" s="1"/>
      <x:c r="B1407" s="1"/>
      <x:c r="C1407" s="1"/>
      <x:c r="D1407" s="1"/>
      <x:c r="E1407" s="1"/>
      <x:c r="F1407" s="1"/>
      <x:c r="G1407" s="1"/>
      <x:c r="H1407" s="1"/>
      <x:c r="I1407" s="1"/>
      <x:c r="J1407" s="1"/>
      <x:c r="K1407" s="1"/>
      <x:c r="L1407" s="1"/>
      <x:c r="M1407" s="1"/>
      <x:c r="N1407" s="1"/>
      <x:c r="O1407" s="1"/>
      <x:c r="P1407" s="1"/>
      <x:c r="Q1407" s="1"/>
      <x:c r="R1407" s="1"/>
      <x:c r="S1407" s="1"/>
      <x:c r="T1407" s="1"/>
      <x:c r="U1407" s="1"/>
      <x:c r="V1407" s="1"/>
    </x:row>
    <x:row r="1408">
      <x:c r="A1408" s="1"/>
      <x:c r="B1408" s="1"/>
      <x:c r="C1408" s="1"/>
      <x:c r="D1408" s="1"/>
      <x:c r="E1408" s="1"/>
      <x:c r="F1408" s="1"/>
      <x:c r="G1408" s="1"/>
      <x:c r="H1408" s="1"/>
      <x:c r="I1408" s="1"/>
      <x:c r="J1408" s="1"/>
      <x:c r="K1408" s="1"/>
      <x:c r="L1408" s="1"/>
      <x:c r="M1408" s="1"/>
      <x:c r="N1408" s="1"/>
      <x:c r="O1408" s="1"/>
      <x:c r="P1408" s="1"/>
      <x:c r="Q1408" s="1"/>
      <x:c r="R1408" s="1"/>
      <x:c r="S1408" s="1"/>
      <x:c r="T1408" s="1"/>
      <x:c r="U1408" s="1"/>
      <x:c r="V1408" s="1"/>
    </x:row>
    <x:row r="1409">
      <x:c r="A1409" s="1"/>
      <x:c r="B1409" s="1"/>
      <x:c r="C1409" s="1"/>
      <x:c r="D1409" s="1"/>
      <x:c r="E1409" s="1"/>
      <x:c r="F1409" s="1"/>
      <x:c r="G1409" s="1"/>
      <x:c r="H1409" s="1"/>
      <x:c r="I1409" s="1"/>
      <x:c r="J1409" s="1"/>
      <x:c r="K1409" s="1"/>
      <x:c r="L1409" s="1"/>
      <x:c r="M1409" s="1"/>
      <x:c r="N1409" s="1"/>
      <x:c r="O1409" s="1"/>
      <x:c r="P1409" s="1"/>
      <x:c r="Q1409" s="1"/>
      <x:c r="R1409" s="1"/>
      <x:c r="S1409" s="1"/>
      <x:c r="T1409" s="1"/>
      <x:c r="U1409" s="1"/>
      <x:c r="V1409" s="1"/>
    </x:row>
    <x:row r="1410">
      <x:c r="A1410" s="1"/>
      <x:c r="B1410" s="1"/>
      <x:c r="C1410" s="1"/>
      <x:c r="D1410" s="1"/>
      <x:c r="E1410" s="1"/>
      <x:c r="F1410" s="1"/>
      <x:c r="G1410" s="1"/>
      <x:c r="H1410" s="1"/>
      <x:c r="I1410" s="1"/>
      <x:c r="J1410" s="1"/>
      <x:c r="K1410" s="1"/>
      <x:c r="L1410" s="1"/>
      <x:c r="M1410" s="1"/>
      <x:c r="N1410" s="1"/>
      <x:c r="O1410" s="1"/>
      <x:c r="P1410" s="1"/>
      <x:c r="Q1410" s="1"/>
      <x:c r="R1410" s="1"/>
      <x:c r="S1410" s="1"/>
      <x:c r="T1410" s="1"/>
      <x:c r="U1410" s="1"/>
      <x:c r="V1410" s="1"/>
    </x:row>
    <x:row r="1411">
      <x:c r="A1411" s="1"/>
      <x:c r="B1411" s="1"/>
      <x:c r="C1411" s="1"/>
      <x:c r="D1411" s="1"/>
      <x:c r="E1411" s="1"/>
      <x:c r="F1411" s="1"/>
      <x:c r="G1411" s="1"/>
      <x:c r="H1411" s="1"/>
      <x:c r="I1411" s="1"/>
      <x:c r="J1411" s="1"/>
      <x:c r="K1411" s="1"/>
      <x:c r="L1411" s="1"/>
      <x:c r="M1411" s="1"/>
      <x:c r="N1411" s="1"/>
      <x:c r="O1411" s="1"/>
      <x:c r="P1411" s="1"/>
      <x:c r="Q1411" s="1"/>
      <x:c r="R1411" s="1"/>
      <x:c r="S1411" s="1"/>
      <x:c r="T1411" s="1"/>
      <x:c r="U1411" s="1"/>
      <x:c r="V1411" s="1"/>
    </x:row>
    <x:row r="1412">
      <x:c r="A1412" s="1"/>
      <x:c r="B1412" s="1"/>
      <x:c r="C1412" s="1"/>
      <x:c r="D1412" s="1"/>
      <x:c r="E1412" s="1"/>
      <x:c r="F1412" s="1"/>
      <x:c r="G1412" s="1"/>
      <x:c r="H1412" s="1"/>
      <x:c r="I1412" s="1"/>
      <x:c r="J1412" s="1"/>
      <x:c r="K1412" s="1"/>
      <x:c r="L1412" s="1"/>
      <x:c r="M1412" s="1"/>
      <x:c r="N1412" s="1"/>
      <x:c r="O1412" s="1"/>
      <x:c r="P1412" s="1"/>
      <x:c r="Q1412" s="1"/>
      <x:c r="R1412" s="1"/>
      <x:c r="S1412" s="1"/>
      <x:c r="T1412" s="1"/>
      <x:c r="U1412" s="1"/>
      <x:c r="V1412" s="1"/>
    </x:row>
    <x:row r="1413">
      <x:c r="A1413" s="1"/>
      <x:c r="B1413" s="1"/>
      <x:c r="C1413" s="1"/>
      <x:c r="D1413" s="1"/>
      <x:c r="E1413" s="1"/>
      <x:c r="F1413" s="1"/>
      <x:c r="G1413" s="1"/>
      <x:c r="H1413" s="1"/>
      <x:c r="I1413" s="1"/>
      <x:c r="J1413" s="1"/>
      <x:c r="K1413" s="1"/>
      <x:c r="L1413" s="1"/>
      <x:c r="M1413" s="1"/>
      <x:c r="N1413" s="1"/>
      <x:c r="O1413" s="1"/>
      <x:c r="P1413" s="1"/>
      <x:c r="Q1413" s="1"/>
      <x:c r="R1413" s="1"/>
      <x:c r="S1413" s="1"/>
      <x:c r="T1413" s="1"/>
      <x:c r="U1413" s="1"/>
      <x:c r="V1413" s="1"/>
    </x:row>
    <x:row r="1414">
      <x:c r="A1414" s="1"/>
      <x:c r="B1414" s="1"/>
      <x:c r="C1414" s="1"/>
      <x:c r="D1414" s="1"/>
      <x:c r="E1414" s="1"/>
      <x:c r="F1414" s="1"/>
      <x:c r="G1414" s="1"/>
      <x:c r="H1414" s="1"/>
      <x:c r="I1414" s="1"/>
      <x:c r="J1414" s="1"/>
      <x:c r="K1414" s="1"/>
      <x:c r="L1414" s="1"/>
      <x:c r="M1414" s="1"/>
      <x:c r="N1414" s="1"/>
      <x:c r="O1414" s="1"/>
      <x:c r="P1414" s="1"/>
      <x:c r="Q1414" s="1"/>
      <x:c r="R1414" s="1"/>
      <x:c r="S1414" s="1"/>
      <x:c r="T1414" s="1"/>
      <x:c r="U1414" s="1"/>
      <x:c r="V1414" s="1"/>
    </x:row>
    <x:row r="1415">
      <x:c r="A1415" s="1"/>
      <x:c r="B1415" s="1"/>
      <x:c r="C1415" s="1"/>
      <x:c r="D1415" s="1"/>
      <x:c r="E1415" s="1"/>
      <x:c r="F1415" s="1"/>
      <x:c r="G1415" s="1"/>
      <x:c r="H1415" s="1"/>
      <x:c r="I1415" s="1"/>
      <x:c r="J1415" s="1"/>
      <x:c r="K1415" s="1"/>
      <x:c r="L1415" s="1"/>
      <x:c r="M1415" s="1"/>
      <x:c r="N1415" s="1"/>
      <x:c r="O1415" s="1"/>
      <x:c r="P1415" s="1"/>
      <x:c r="Q1415" s="1"/>
      <x:c r="R1415" s="1"/>
      <x:c r="S1415" s="1"/>
      <x:c r="T1415" s="1"/>
      <x:c r="U1415" s="1"/>
      <x:c r="V1415" s="1"/>
    </x:row>
    <x:row r="1416">
      <x:c r="A1416" s="1"/>
      <x:c r="B1416" s="1"/>
      <x:c r="C1416" s="1"/>
      <x:c r="D1416" s="1"/>
      <x:c r="E1416" s="1"/>
      <x:c r="F1416" s="1"/>
      <x:c r="G1416" s="1"/>
      <x:c r="H1416" s="1"/>
      <x:c r="I1416" s="1"/>
      <x:c r="J1416" s="1"/>
      <x:c r="K1416" s="1"/>
      <x:c r="L1416" s="1"/>
      <x:c r="M1416" s="1"/>
      <x:c r="N1416" s="1"/>
      <x:c r="O1416" s="1"/>
      <x:c r="P1416" s="1"/>
      <x:c r="Q1416" s="1"/>
      <x:c r="R1416" s="1"/>
      <x:c r="S1416" s="1"/>
      <x:c r="T1416" s="1"/>
      <x:c r="U1416" s="1"/>
      <x:c r="V1416" s="1"/>
    </x:row>
    <x:row r="1417">
      <x:c r="A1417" s="1"/>
      <x:c r="B1417" s="1"/>
      <x:c r="C1417" s="1"/>
      <x:c r="D1417" s="1"/>
      <x:c r="E1417" s="1"/>
      <x:c r="F1417" s="1"/>
      <x:c r="G1417" s="1"/>
      <x:c r="H1417" s="1"/>
      <x:c r="I1417" s="1"/>
      <x:c r="J1417" s="1"/>
      <x:c r="K1417" s="1"/>
      <x:c r="L1417" s="1"/>
      <x:c r="M1417" s="1"/>
      <x:c r="N1417" s="1"/>
      <x:c r="O1417" s="1"/>
      <x:c r="P1417" s="1"/>
      <x:c r="Q1417" s="1"/>
      <x:c r="R1417" s="1"/>
      <x:c r="S1417" s="1"/>
      <x:c r="T1417" s="1"/>
      <x:c r="U1417" s="1"/>
      <x:c r="V1417" s="1"/>
    </x:row>
    <x:row r="1418">
      <x:c r="A1418" s="1"/>
      <x:c r="B1418" s="1"/>
      <x:c r="C1418" s="1"/>
      <x:c r="D1418" s="1"/>
      <x:c r="E1418" s="1"/>
      <x:c r="F1418" s="1"/>
      <x:c r="G1418" s="1"/>
      <x:c r="H1418" s="1"/>
      <x:c r="I1418" s="1"/>
      <x:c r="J1418" s="1"/>
      <x:c r="K1418" s="1"/>
      <x:c r="L1418" s="1"/>
      <x:c r="M1418" s="1"/>
      <x:c r="N1418" s="1"/>
      <x:c r="O1418" s="1"/>
      <x:c r="P1418" s="1"/>
      <x:c r="Q1418" s="1"/>
      <x:c r="R1418" s="1"/>
      <x:c r="S1418" s="1"/>
      <x:c r="T1418" s="1"/>
      <x:c r="U1418" s="1"/>
      <x:c r="V1418" s="1"/>
    </x:row>
    <x:row r="1419">
      <x:c r="A1419" s="1"/>
      <x:c r="B1419" s="1"/>
      <x:c r="C1419" s="1"/>
      <x:c r="D1419" s="1"/>
      <x:c r="E1419" s="1"/>
      <x:c r="F1419" s="1"/>
      <x:c r="G1419" s="1"/>
      <x:c r="H1419" s="1"/>
      <x:c r="I1419" s="1"/>
      <x:c r="J1419" s="1"/>
      <x:c r="K1419" s="1"/>
      <x:c r="L1419" s="1"/>
      <x:c r="M1419" s="1"/>
      <x:c r="N1419" s="1"/>
      <x:c r="O1419" s="1"/>
      <x:c r="P1419" s="1"/>
      <x:c r="Q1419" s="1"/>
      <x:c r="R1419" s="1"/>
      <x:c r="S1419" s="1"/>
      <x:c r="T1419" s="1"/>
      <x:c r="U1419" s="1"/>
      <x:c r="V1419" s="1"/>
    </x:row>
    <x:row r="1420">
      <x:c r="A1420" s="1"/>
      <x:c r="B1420" s="1"/>
      <x:c r="C1420" s="1"/>
      <x:c r="D1420" s="1"/>
      <x:c r="E1420" s="1"/>
      <x:c r="F1420" s="1"/>
      <x:c r="G1420" s="1"/>
      <x:c r="H1420" s="1"/>
      <x:c r="I1420" s="1"/>
      <x:c r="J1420" s="1"/>
      <x:c r="K1420" s="1"/>
      <x:c r="L1420" s="1"/>
      <x:c r="M1420" s="1"/>
      <x:c r="N1420" s="1"/>
      <x:c r="O1420" s="1"/>
      <x:c r="P1420" s="1"/>
      <x:c r="Q1420" s="1"/>
      <x:c r="R1420" s="1"/>
      <x:c r="S1420" s="1"/>
      <x:c r="T1420" s="1"/>
      <x:c r="U1420" s="1"/>
      <x:c r="V1420" s="1"/>
    </x:row>
    <x:row r="1421">
      <x:c r="A1421" s="1"/>
      <x:c r="B1421" s="1"/>
      <x:c r="C1421" s="1"/>
      <x:c r="D1421" s="1"/>
      <x:c r="E1421" s="1"/>
      <x:c r="F1421" s="1"/>
      <x:c r="G1421" s="1"/>
      <x:c r="H1421" s="1"/>
      <x:c r="I1421" s="1"/>
      <x:c r="J1421" s="1"/>
      <x:c r="K1421" s="1"/>
      <x:c r="L1421" s="1"/>
      <x:c r="M1421" s="1"/>
      <x:c r="N1421" s="1"/>
      <x:c r="O1421" s="1"/>
      <x:c r="P1421" s="1"/>
      <x:c r="Q1421" s="1"/>
      <x:c r="R1421" s="1"/>
      <x:c r="S1421" s="1"/>
      <x:c r="T1421" s="1"/>
      <x:c r="U1421" s="1"/>
      <x:c r="V1421" s="1"/>
    </x:row>
    <x:row r="1422">
      <x:c r="A1422" s="1"/>
      <x:c r="B1422" s="1"/>
      <x:c r="C1422" s="1"/>
      <x:c r="D1422" s="1"/>
      <x:c r="E1422" s="1"/>
      <x:c r="F1422" s="1"/>
      <x:c r="G1422" s="1"/>
      <x:c r="H1422" s="1"/>
      <x:c r="I1422" s="1"/>
      <x:c r="J1422" s="1"/>
      <x:c r="K1422" s="1"/>
      <x:c r="L1422" s="1"/>
      <x:c r="M1422" s="1"/>
      <x:c r="N1422" s="1"/>
      <x:c r="O1422" s="1"/>
      <x:c r="P1422" s="1"/>
      <x:c r="Q1422" s="1"/>
      <x:c r="R1422" s="1"/>
      <x:c r="S1422" s="1"/>
      <x:c r="T1422" s="1"/>
      <x:c r="U1422" s="1"/>
      <x:c r="V1422" s="1"/>
    </x:row>
    <x:row r="1423">
      <x:c r="A1423" s="1"/>
      <x:c r="B1423" s="1"/>
      <x:c r="C1423" s="1"/>
      <x:c r="D1423" s="1"/>
      <x:c r="E1423" s="1"/>
      <x:c r="F1423" s="1"/>
      <x:c r="G1423" s="1"/>
      <x:c r="H1423" s="1"/>
      <x:c r="I1423" s="1"/>
      <x:c r="J1423" s="1"/>
      <x:c r="K1423" s="1"/>
      <x:c r="L1423" s="1"/>
      <x:c r="M1423" s="1"/>
      <x:c r="N1423" s="1"/>
      <x:c r="O1423" s="1"/>
      <x:c r="P1423" s="1"/>
      <x:c r="Q1423" s="1"/>
      <x:c r="R1423" s="1"/>
      <x:c r="S1423" s="1"/>
      <x:c r="T1423" s="1"/>
      <x:c r="U1423" s="1"/>
      <x:c r="V1423" s="1"/>
    </x:row>
    <x:row r="1424">
      <x:c r="A1424" s="1"/>
      <x:c r="B1424" s="1"/>
      <x:c r="C1424" s="1"/>
      <x:c r="D1424" s="1"/>
      <x:c r="E1424" s="1"/>
      <x:c r="F1424" s="1"/>
      <x:c r="G1424" s="1"/>
      <x:c r="H1424" s="1"/>
      <x:c r="I1424" s="1"/>
      <x:c r="J1424" s="1"/>
      <x:c r="K1424" s="1"/>
      <x:c r="L1424" s="1"/>
      <x:c r="M1424" s="1"/>
      <x:c r="N1424" s="1"/>
      <x:c r="O1424" s="1"/>
      <x:c r="P1424" s="1"/>
      <x:c r="Q1424" s="1"/>
      <x:c r="R1424" s="1"/>
      <x:c r="S1424" s="1"/>
      <x:c r="T1424" s="1"/>
      <x:c r="U1424" s="1"/>
      <x:c r="V1424" s="1"/>
    </x:row>
    <x:row r="1425">
      <x:c r="A1425" s="1"/>
      <x:c r="B1425" s="1"/>
      <x:c r="C1425" s="1"/>
      <x:c r="D1425" s="1"/>
      <x:c r="E1425" s="1"/>
      <x:c r="F1425" s="1"/>
      <x:c r="G1425" s="1"/>
      <x:c r="H1425" s="1"/>
      <x:c r="I1425" s="1"/>
      <x:c r="J1425" s="1"/>
      <x:c r="K1425" s="1"/>
      <x:c r="L1425" s="1"/>
      <x:c r="M1425" s="1"/>
      <x:c r="N1425" s="1"/>
      <x:c r="O1425" s="1"/>
      <x:c r="P1425" s="1"/>
      <x:c r="Q1425" s="1"/>
      <x:c r="R1425" s="1"/>
      <x:c r="S1425" s="1"/>
      <x:c r="T1425" s="1"/>
      <x:c r="U1425" s="1"/>
      <x:c r="V1425" s="1"/>
    </x:row>
    <x:row r="1426">
      <x:c r="A1426" s="1"/>
      <x:c r="B1426" s="1"/>
      <x:c r="C1426" s="1"/>
      <x:c r="D1426" s="1"/>
      <x:c r="E1426" s="1"/>
      <x:c r="F1426" s="1"/>
      <x:c r="G1426" s="1"/>
      <x:c r="H1426" s="1"/>
      <x:c r="I1426" s="1"/>
      <x:c r="J1426" s="1"/>
      <x:c r="K1426" s="1"/>
      <x:c r="L1426" s="1"/>
      <x:c r="M1426" s="1"/>
      <x:c r="N1426" s="1"/>
      <x:c r="O1426" s="1"/>
      <x:c r="P1426" s="1"/>
      <x:c r="Q1426" s="1"/>
      <x:c r="R1426" s="1"/>
      <x:c r="S1426" s="1"/>
      <x:c r="T1426" s="1"/>
      <x:c r="U1426" s="1"/>
      <x:c r="V1426" s="1"/>
    </x:row>
    <x:row r="1427">
      <x:c r="A1427" s="1"/>
      <x:c r="B1427" s="1"/>
      <x:c r="C1427" s="1"/>
      <x:c r="D1427" s="1"/>
      <x:c r="E1427" s="1"/>
      <x:c r="F1427" s="1"/>
      <x:c r="G1427" s="1"/>
      <x:c r="H1427" s="1"/>
      <x:c r="I1427" s="1"/>
      <x:c r="J1427" s="1"/>
      <x:c r="K1427" s="1"/>
      <x:c r="L1427" s="1"/>
      <x:c r="M1427" s="1"/>
      <x:c r="N1427" s="1"/>
      <x:c r="O1427" s="1"/>
      <x:c r="P1427" s="1"/>
      <x:c r="Q1427" s="1"/>
      <x:c r="R1427" s="1"/>
      <x:c r="S1427" s="1"/>
      <x:c r="T1427" s="1"/>
      <x:c r="U1427" s="1"/>
      <x:c r="V1427" s="1"/>
    </x:row>
    <x:row r="1428">
      <x:c r="A1428" s="1"/>
      <x:c r="B1428" s="1"/>
      <x:c r="C1428" s="1"/>
      <x:c r="D1428" s="1"/>
      <x:c r="E1428" s="1"/>
      <x:c r="F1428" s="1"/>
      <x:c r="G1428" s="1"/>
      <x:c r="H1428" s="1"/>
      <x:c r="I1428" s="1"/>
      <x:c r="J1428" s="1"/>
      <x:c r="K1428" s="1"/>
      <x:c r="L1428" s="1"/>
      <x:c r="M1428" s="1"/>
      <x:c r="N1428" s="1"/>
      <x:c r="O1428" s="1"/>
      <x:c r="P1428" s="1"/>
      <x:c r="Q1428" s="1"/>
      <x:c r="R1428" s="1"/>
      <x:c r="S1428" s="1"/>
      <x:c r="T1428" s="1"/>
      <x:c r="U1428" s="1"/>
      <x:c r="V1428" s="1"/>
    </x:row>
    <x:row r="1429">
      <x:c r="A1429" s="1"/>
      <x:c r="B1429" s="1"/>
      <x:c r="C1429" s="1"/>
      <x:c r="D1429" s="1"/>
      <x:c r="E1429" s="1"/>
      <x:c r="F1429" s="1"/>
      <x:c r="G1429" s="1"/>
      <x:c r="H1429" s="1"/>
      <x:c r="I1429" s="1"/>
      <x:c r="J1429" s="1"/>
      <x:c r="K1429" s="1"/>
      <x:c r="L1429" s="1"/>
      <x:c r="M1429" s="1"/>
      <x:c r="N1429" s="1"/>
      <x:c r="O1429" s="1"/>
      <x:c r="P1429" s="1"/>
      <x:c r="Q1429" s="1"/>
      <x:c r="R1429" s="1"/>
      <x:c r="S1429" s="1"/>
      <x:c r="T1429" s="1"/>
      <x:c r="U1429" s="1"/>
      <x:c r="V1429" s="1"/>
    </x:row>
    <x:row r="1430">
      <x:c r="A1430" s="1"/>
      <x:c r="B1430" s="1"/>
      <x:c r="C1430" s="1"/>
      <x:c r="D1430" s="1"/>
      <x:c r="E1430" s="1"/>
      <x:c r="F1430" s="1"/>
      <x:c r="G1430" s="1"/>
      <x:c r="H1430" s="1"/>
      <x:c r="I1430" s="1"/>
      <x:c r="J1430" s="1"/>
      <x:c r="K1430" s="1"/>
      <x:c r="L1430" s="1"/>
      <x:c r="M1430" s="1"/>
      <x:c r="N1430" s="1"/>
      <x:c r="O1430" s="1"/>
      <x:c r="P1430" s="1"/>
      <x:c r="Q1430" s="1"/>
      <x:c r="R1430" s="1"/>
      <x:c r="S1430" s="1"/>
      <x:c r="T1430" s="1"/>
      <x:c r="U1430" s="1"/>
      <x:c r="V1430" s="1"/>
    </x:row>
    <x:row r="1431">
      <x:c r="A1431" s="1"/>
      <x:c r="B1431" s="1"/>
      <x:c r="C1431" s="1"/>
      <x:c r="D1431" s="1"/>
      <x:c r="E1431" s="1"/>
      <x:c r="F1431" s="1"/>
      <x:c r="G1431" s="1"/>
      <x:c r="H1431" s="1"/>
      <x:c r="I1431" s="1"/>
      <x:c r="J1431" s="1"/>
      <x:c r="K1431" s="1"/>
      <x:c r="L1431" s="1"/>
      <x:c r="M1431" s="1"/>
      <x:c r="N1431" s="1"/>
      <x:c r="O1431" s="1"/>
      <x:c r="P1431" s="1"/>
      <x:c r="Q1431" s="1"/>
      <x:c r="R1431" s="1"/>
      <x:c r="S1431" s="1"/>
      <x:c r="T1431" s="1"/>
      <x:c r="U1431" s="1"/>
      <x:c r="V1431" s="1"/>
    </x:row>
    <x:row r="1432">
      <x:c r="A1432" s="1"/>
      <x:c r="B1432" s="1"/>
      <x:c r="C1432" s="1"/>
      <x:c r="D1432" s="1"/>
      <x:c r="E1432" s="1"/>
      <x:c r="F1432" s="1"/>
      <x:c r="G1432" s="1"/>
      <x:c r="H1432" s="1"/>
      <x:c r="I1432" s="1"/>
      <x:c r="J1432" s="1"/>
      <x:c r="K1432" s="1"/>
      <x:c r="L1432" s="1"/>
      <x:c r="M1432" s="1"/>
      <x:c r="N1432" s="1"/>
      <x:c r="O1432" s="1"/>
      <x:c r="P1432" s="1"/>
      <x:c r="Q1432" s="1"/>
      <x:c r="R1432" s="1"/>
      <x:c r="S1432" s="1"/>
      <x:c r="T1432" s="1"/>
      <x:c r="U1432" s="1"/>
      <x:c r="V1432" s="1"/>
    </x:row>
    <x:row r="1433">
      <x:c r="A1433" s="1"/>
      <x:c r="B1433" s="1"/>
      <x:c r="C1433" s="1"/>
      <x:c r="D1433" s="1"/>
      <x:c r="E1433" s="1"/>
      <x:c r="F1433" s="1"/>
      <x:c r="G1433" s="1"/>
      <x:c r="H1433" s="1"/>
      <x:c r="I1433" s="1"/>
      <x:c r="J1433" s="1"/>
      <x:c r="K1433" s="1"/>
      <x:c r="L1433" s="1"/>
      <x:c r="M1433" s="1"/>
      <x:c r="N1433" s="1"/>
      <x:c r="O1433" s="1"/>
      <x:c r="P1433" s="1"/>
      <x:c r="Q1433" s="1"/>
      <x:c r="R1433" s="1"/>
      <x:c r="S1433" s="1"/>
      <x:c r="T1433" s="1"/>
      <x:c r="U1433" s="1"/>
      <x:c r="V1433" s="1"/>
    </x:row>
    <x:row r="1434">
      <x:c r="A1434" s="1"/>
      <x:c r="B1434" s="1"/>
      <x:c r="C1434" s="1"/>
      <x:c r="D1434" s="1"/>
      <x:c r="E1434" s="1"/>
      <x:c r="F1434" s="1"/>
      <x:c r="G1434" s="1"/>
      <x:c r="H1434" s="1"/>
      <x:c r="I1434" s="1"/>
      <x:c r="J1434" s="1"/>
      <x:c r="K1434" s="1"/>
      <x:c r="L1434" s="1"/>
      <x:c r="M1434" s="1"/>
      <x:c r="N1434" s="1"/>
      <x:c r="O1434" s="1"/>
      <x:c r="P1434" s="1"/>
      <x:c r="Q1434" s="1"/>
      <x:c r="R1434" s="1"/>
      <x:c r="S1434" s="1"/>
      <x:c r="T1434" s="1"/>
      <x:c r="U1434" s="1"/>
      <x:c r="V1434" s="1"/>
    </x:row>
    <x:row r="1435">
      <x:c r="A1435" s="1"/>
      <x:c r="B1435" s="1"/>
      <x:c r="C1435" s="1"/>
      <x:c r="D1435" s="1"/>
      <x:c r="E1435" s="1"/>
      <x:c r="F1435" s="1"/>
      <x:c r="G1435" s="1"/>
      <x:c r="H1435" s="1"/>
      <x:c r="I1435" s="1"/>
      <x:c r="J1435" s="1"/>
      <x:c r="K1435" s="1"/>
      <x:c r="L1435" s="1"/>
      <x:c r="M1435" s="1"/>
      <x:c r="N1435" s="1"/>
      <x:c r="O1435" s="1"/>
      <x:c r="P1435" s="1"/>
      <x:c r="Q1435" s="1"/>
      <x:c r="R1435" s="1"/>
      <x:c r="S1435" s="1"/>
      <x:c r="T1435" s="1"/>
      <x:c r="U1435" s="1"/>
      <x:c r="V1435" s="1"/>
    </x:row>
    <x:row r="1436">
      <x:c r="A1436" s="1"/>
      <x:c r="B1436" s="1"/>
      <x:c r="C1436" s="1"/>
      <x:c r="D1436" s="1"/>
      <x:c r="E1436" s="1"/>
      <x:c r="F1436" s="1"/>
      <x:c r="G1436" s="1"/>
      <x:c r="H1436" s="1"/>
      <x:c r="I1436" s="1"/>
      <x:c r="J1436" s="1"/>
      <x:c r="K1436" s="1"/>
      <x:c r="L1436" s="1"/>
      <x:c r="M1436" s="1"/>
      <x:c r="N1436" s="1"/>
      <x:c r="O1436" s="1"/>
      <x:c r="P1436" s="1"/>
      <x:c r="Q1436" s="1"/>
      <x:c r="R1436" s="1"/>
      <x:c r="S1436" s="1"/>
      <x:c r="T1436" s="1"/>
      <x:c r="U1436" s="1"/>
      <x:c r="V1436" s="1"/>
    </x:row>
    <x:row r="1437">
      <x:c r="A1437" s="1"/>
      <x:c r="B1437" s="1"/>
      <x:c r="C1437" s="1"/>
      <x:c r="D1437" s="1"/>
      <x:c r="E1437" s="1"/>
      <x:c r="F1437" s="1"/>
      <x:c r="G1437" s="1"/>
      <x:c r="H1437" s="1"/>
      <x:c r="I1437" s="1"/>
      <x:c r="J1437" s="1"/>
      <x:c r="K1437" s="1"/>
      <x:c r="L1437" s="1"/>
      <x:c r="M1437" s="1"/>
      <x:c r="N1437" s="1"/>
      <x:c r="O1437" s="1"/>
      <x:c r="P1437" s="1"/>
      <x:c r="Q1437" s="1"/>
      <x:c r="R1437" s="1"/>
      <x:c r="S1437" s="1"/>
      <x:c r="T1437" s="1"/>
      <x:c r="U1437" s="1"/>
      <x:c r="V1437" s="1"/>
    </x:row>
    <x:row r="1438">
      <x:c r="A1438" s="1"/>
      <x:c r="B1438" s="1"/>
      <x:c r="C1438" s="1"/>
      <x:c r="D1438" s="1"/>
      <x:c r="E1438" s="1"/>
      <x:c r="F1438" s="1"/>
      <x:c r="G1438" s="1"/>
      <x:c r="H1438" s="1"/>
      <x:c r="I1438" s="1"/>
      <x:c r="J1438" s="1"/>
      <x:c r="K1438" s="1"/>
      <x:c r="L1438" s="1"/>
      <x:c r="M1438" s="1"/>
      <x:c r="N1438" s="1"/>
      <x:c r="O1438" s="1"/>
      <x:c r="P1438" s="1"/>
      <x:c r="Q1438" s="1"/>
      <x:c r="R1438" s="1"/>
      <x:c r="S1438" s="1"/>
      <x:c r="T1438" s="1"/>
      <x:c r="U1438" s="1"/>
      <x:c r="V1438" s="1"/>
    </x:row>
    <x:row r="1439">
      <x:c r="A1439" s="1"/>
      <x:c r="B1439" s="1"/>
      <x:c r="C1439" s="1"/>
      <x:c r="D1439" s="1"/>
      <x:c r="E1439" s="1"/>
      <x:c r="F1439" s="1"/>
      <x:c r="G1439" s="1"/>
      <x:c r="H1439" s="1"/>
      <x:c r="I1439" s="1"/>
      <x:c r="J1439" s="1"/>
      <x:c r="K1439" s="1"/>
      <x:c r="L1439" s="1"/>
      <x:c r="M1439" s="1"/>
      <x:c r="N1439" s="1"/>
      <x:c r="O1439" s="1"/>
      <x:c r="P1439" s="1"/>
      <x:c r="Q1439" s="1"/>
      <x:c r="R1439" s="1"/>
      <x:c r="S1439" s="1"/>
      <x:c r="T1439" s="1"/>
      <x:c r="U1439" s="1"/>
      <x:c r="V1439" s="1"/>
    </x:row>
    <x:row r="1440">
      <x:c r="A1440" s="1"/>
      <x:c r="B1440" s="1"/>
      <x:c r="C1440" s="1"/>
      <x:c r="D1440" s="1"/>
      <x:c r="E1440" s="1"/>
      <x:c r="F1440" s="1"/>
      <x:c r="G1440" s="1"/>
      <x:c r="H1440" s="1"/>
      <x:c r="I1440" s="1"/>
      <x:c r="J1440" s="1"/>
      <x:c r="K1440" s="1"/>
      <x:c r="L1440" s="1"/>
      <x:c r="M1440" s="1"/>
      <x:c r="N1440" s="1"/>
      <x:c r="O1440" s="1"/>
      <x:c r="P1440" s="1"/>
      <x:c r="Q1440" s="1"/>
      <x:c r="R1440" s="1"/>
      <x:c r="S1440" s="1"/>
      <x:c r="T1440" s="1"/>
      <x:c r="U1440" s="1"/>
      <x:c r="V1440" s="1"/>
    </x:row>
    <x:row r="1441">
      <x:c r="A1441" s="1"/>
      <x:c r="B1441" s="1"/>
      <x:c r="C1441" s="1"/>
      <x:c r="D1441" s="1"/>
      <x:c r="E1441" s="1"/>
      <x:c r="F1441" s="1"/>
      <x:c r="G1441" s="1"/>
      <x:c r="H1441" s="1"/>
      <x:c r="I1441" s="1"/>
      <x:c r="J1441" s="1"/>
      <x:c r="K1441" s="1"/>
      <x:c r="L1441" s="1"/>
      <x:c r="M1441" s="1"/>
      <x:c r="N1441" s="1"/>
      <x:c r="O1441" s="1"/>
      <x:c r="P1441" s="1"/>
      <x:c r="Q1441" s="1"/>
      <x:c r="R1441" s="1"/>
      <x:c r="S1441" s="1"/>
      <x:c r="T1441" s="1"/>
      <x:c r="U1441" s="1"/>
      <x:c r="V1441" s="1"/>
    </x:row>
    <x:row r="1442">
      <x:c r="A1442" s="1"/>
      <x:c r="B1442" s="1"/>
      <x:c r="C1442" s="1"/>
      <x:c r="D1442" s="1"/>
      <x:c r="E1442" s="1"/>
      <x:c r="F1442" s="1"/>
      <x:c r="G1442" s="1"/>
      <x:c r="H1442" s="1"/>
      <x:c r="I1442" s="1"/>
      <x:c r="J1442" s="1"/>
      <x:c r="K1442" s="1"/>
      <x:c r="L1442" s="1"/>
      <x:c r="M1442" s="1"/>
      <x:c r="N1442" s="1"/>
      <x:c r="O1442" s="1"/>
      <x:c r="P1442" s="1"/>
      <x:c r="Q1442" s="1"/>
      <x:c r="R1442" s="1"/>
      <x:c r="S1442" s="1"/>
      <x:c r="T1442" s="1"/>
      <x:c r="U1442" s="1"/>
      <x:c r="V1442" s="1"/>
    </x:row>
    <x:row r="1443">
      <x:c r="A1443" s="1"/>
      <x:c r="B1443" s="1"/>
      <x:c r="C1443" s="1"/>
      <x:c r="D1443" s="1"/>
      <x:c r="E1443" s="1"/>
      <x:c r="F1443" s="1"/>
      <x:c r="G1443" s="1"/>
      <x:c r="H1443" s="1"/>
      <x:c r="I1443" s="1"/>
      <x:c r="J1443" s="1"/>
      <x:c r="K1443" s="1"/>
      <x:c r="L1443" s="1"/>
      <x:c r="M1443" s="1"/>
      <x:c r="N1443" s="1"/>
      <x:c r="O1443" s="1"/>
      <x:c r="P1443" s="1"/>
      <x:c r="Q1443" s="1"/>
      <x:c r="R1443" s="1"/>
      <x:c r="S1443" s="1"/>
      <x:c r="T1443" s="1"/>
      <x:c r="U1443" s="1"/>
      <x:c r="V1443" s="1"/>
    </x:row>
    <x:row r="1444">
      <x:c r="A1444" s="1"/>
      <x:c r="B1444" s="1"/>
      <x:c r="C1444" s="1"/>
      <x:c r="D1444" s="1"/>
      <x:c r="E1444" s="1"/>
      <x:c r="F1444" s="1"/>
      <x:c r="G1444" s="1"/>
      <x:c r="H1444" s="1"/>
      <x:c r="I1444" s="1"/>
      <x:c r="J1444" s="1"/>
      <x:c r="K1444" s="1"/>
      <x:c r="L1444" s="1"/>
      <x:c r="M1444" s="1"/>
      <x:c r="N1444" s="1"/>
      <x:c r="O1444" s="1"/>
      <x:c r="P1444" s="1"/>
      <x:c r="Q1444" s="1"/>
      <x:c r="R1444" s="1"/>
      <x:c r="S1444" s="1"/>
      <x:c r="T1444" s="1"/>
      <x:c r="U1444" s="1"/>
      <x:c r="V1444" s="1"/>
    </x:row>
    <x:row r="1445">
      <x:c r="A1445" s="1"/>
      <x:c r="B1445" s="1"/>
      <x:c r="C1445" s="1"/>
      <x:c r="D1445" s="1"/>
      <x:c r="E1445" s="1"/>
      <x:c r="F1445" s="1"/>
      <x:c r="G1445" s="1"/>
      <x:c r="H1445" s="1"/>
      <x:c r="I1445" s="1"/>
      <x:c r="J1445" s="1"/>
      <x:c r="K1445" s="1"/>
      <x:c r="L1445" s="1"/>
      <x:c r="M1445" s="1"/>
      <x:c r="N1445" s="1"/>
      <x:c r="O1445" s="1"/>
      <x:c r="P1445" s="1"/>
      <x:c r="Q1445" s="1"/>
      <x:c r="R1445" s="1"/>
      <x:c r="S1445" s="1"/>
      <x:c r="T1445" s="1"/>
      <x:c r="U1445" s="1"/>
      <x:c r="V1445" s="1"/>
    </x:row>
    <x:row r="1446">
      <x:c r="A1446" s="1"/>
      <x:c r="B1446" s="1"/>
      <x:c r="C1446" s="1"/>
      <x:c r="D1446" s="1"/>
      <x:c r="E1446" s="1"/>
      <x:c r="F1446" s="1"/>
      <x:c r="G1446" s="1"/>
      <x:c r="H1446" s="1"/>
      <x:c r="I1446" s="1"/>
      <x:c r="J1446" s="1"/>
      <x:c r="K1446" s="1"/>
      <x:c r="L1446" s="1"/>
      <x:c r="M1446" s="1"/>
      <x:c r="N1446" s="1"/>
      <x:c r="O1446" s="1"/>
      <x:c r="P1446" s="1"/>
      <x:c r="Q1446" s="1"/>
      <x:c r="R1446" s="1"/>
      <x:c r="S1446" s="1"/>
      <x:c r="T1446" s="1"/>
      <x:c r="U1446" s="1"/>
      <x:c r="V1446" s="1"/>
    </x:row>
    <x:row r="1447">
      <x:c r="A1447" s="1"/>
      <x:c r="B1447" s="1"/>
      <x:c r="C1447" s="1"/>
      <x:c r="D1447" s="1"/>
      <x:c r="E1447" s="1"/>
      <x:c r="F1447" s="1"/>
      <x:c r="G1447" s="1"/>
      <x:c r="H1447" s="1"/>
      <x:c r="I1447" s="1"/>
      <x:c r="J1447" s="1"/>
      <x:c r="K1447" s="1"/>
      <x:c r="L1447" s="1"/>
      <x:c r="M1447" s="1"/>
      <x:c r="N1447" s="1"/>
      <x:c r="O1447" s="1"/>
      <x:c r="P1447" s="1"/>
      <x:c r="Q1447" s="1"/>
      <x:c r="R1447" s="1"/>
      <x:c r="S1447" s="1"/>
      <x:c r="T1447" s="1"/>
      <x:c r="U1447" s="1"/>
      <x:c r="V1447" s="1"/>
    </x:row>
    <x:row r="1448">
      <x:c r="A1448" s="1"/>
      <x:c r="B1448" s="1"/>
      <x:c r="C1448" s="1"/>
      <x:c r="D1448" s="1"/>
      <x:c r="E1448" s="1"/>
      <x:c r="F1448" s="1"/>
      <x:c r="G1448" s="1"/>
      <x:c r="H1448" s="1"/>
      <x:c r="I1448" s="1"/>
      <x:c r="J1448" s="1"/>
      <x:c r="K1448" s="1"/>
      <x:c r="L1448" s="1"/>
      <x:c r="M1448" s="1"/>
      <x:c r="N1448" s="1"/>
      <x:c r="O1448" s="1"/>
      <x:c r="P1448" s="1"/>
      <x:c r="Q1448" s="1"/>
      <x:c r="R1448" s="1"/>
      <x:c r="S1448" s="1"/>
      <x:c r="T1448" s="1"/>
      <x:c r="U1448" s="1"/>
      <x:c r="V1448" s="1"/>
    </x:row>
    <x:row r="1449">
      <x:c r="A1449" s="1"/>
      <x:c r="B1449" s="1"/>
      <x:c r="C1449" s="1"/>
      <x:c r="D1449" s="1"/>
      <x:c r="E1449" s="1"/>
      <x:c r="F1449" s="1"/>
      <x:c r="G1449" s="1"/>
      <x:c r="H1449" s="1"/>
      <x:c r="I1449" s="1"/>
      <x:c r="J1449" s="1"/>
      <x:c r="K1449" s="1"/>
      <x:c r="L1449" s="1"/>
      <x:c r="M1449" s="1"/>
      <x:c r="N1449" s="1"/>
      <x:c r="O1449" s="1"/>
      <x:c r="P1449" s="1"/>
      <x:c r="Q1449" s="1"/>
      <x:c r="R1449" s="1"/>
      <x:c r="S1449" s="1"/>
      <x:c r="T1449" s="1"/>
      <x:c r="U1449" s="1"/>
      <x:c r="V1449" s="1"/>
    </x:row>
    <x:row r="1450">
      <x:c r="A1450" s="1"/>
      <x:c r="B1450" s="1"/>
      <x:c r="C1450" s="1"/>
      <x:c r="D1450" s="1"/>
      <x:c r="E1450" s="1"/>
      <x:c r="F1450" s="1"/>
      <x:c r="G1450" s="1"/>
      <x:c r="H1450" s="1"/>
      <x:c r="I1450" s="1"/>
      <x:c r="J1450" s="1"/>
      <x:c r="K1450" s="1"/>
      <x:c r="L1450" s="1"/>
      <x:c r="M1450" s="1"/>
      <x:c r="N1450" s="1"/>
      <x:c r="O1450" s="1"/>
      <x:c r="P1450" s="1"/>
      <x:c r="Q1450" s="1"/>
      <x:c r="R1450" s="1"/>
      <x:c r="S1450" s="1"/>
      <x:c r="T1450" s="1"/>
      <x:c r="U1450" s="1"/>
      <x:c r="V1450" s="1"/>
    </x:row>
    <x:row r="1451">
      <x:c r="A1451" s="1"/>
      <x:c r="B1451" s="1"/>
      <x:c r="C1451" s="1"/>
      <x:c r="D1451" s="1"/>
      <x:c r="E1451" s="1"/>
      <x:c r="F1451" s="1"/>
      <x:c r="G1451" s="1"/>
      <x:c r="H1451" s="1"/>
      <x:c r="I1451" s="1"/>
      <x:c r="J1451" s="1"/>
      <x:c r="K1451" s="1"/>
      <x:c r="L1451" s="1"/>
      <x:c r="M1451" s="1"/>
      <x:c r="N1451" s="1"/>
      <x:c r="O1451" s="1"/>
      <x:c r="P1451" s="1"/>
      <x:c r="Q1451" s="1"/>
      <x:c r="R1451" s="1"/>
      <x:c r="S1451" s="1"/>
      <x:c r="T1451" s="1"/>
      <x:c r="U1451" s="1"/>
      <x:c r="V1451" s="1"/>
    </x:row>
    <x:row r="1452">
      <x:c r="A1452" s="1"/>
      <x:c r="B1452" s="1"/>
      <x:c r="C1452" s="1"/>
      <x:c r="D1452" s="1"/>
      <x:c r="E1452" s="1"/>
      <x:c r="F1452" s="1"/>
      <x:c r="G1452" s="1"/>
      <x:c r="H1452" s="1"/>
      <x:c r="I1452" s="1"/>
      <x:c r="J1452" s="1"/>
      <x:c r="K1452" s="1"/>
      <x:c r="L1452" s="1"/>
      <x:c r="M1452" s="1"/>
      <x:c r="N1452" s="1"/>
      <x:c r="O1452" s="1"/>
      <x:c r="P1452" s="1"/>
      <x:c r="Q1452" s="1"/>
      <x:c r="R1452" s="1"/>
      <x:c r="S1452" s="1"/>
      <x:c r="T1452" s="1"/>
      <x:c r="U1452" s="1"/>
      <x:c r="V1452" s="1"/>
    </x:row>
    <x:row r="1453">
      <x:c r="A1453" s="1"/>
      <x:c r="B1453" s="1"/>
      <x:c r="C1453" s="1"/>
      <x:c r="D1453" s="1"/>
      <x:c r="E1453" s="1"/>
      <x:c r="F1453" s="1"/>
      <x:c r="G1453" s="1"/>
      <x:c r="H1453" s="1"/>
      <x:c r="I1453" s="1"/>
      <x:c r="J1453" s="1"/>
      <x:c r="K1453" s="1"/>
      <x:c r="L1453" s="1"/>
      <x:c r="M1453" s="1"/>
      <x:c r="N1453" s="1"/>
      <x:c r="O1453" s="1"/>
      <x:c r="P1453" s="1"/>
      <x:c r="Q1453" s="1"/>
      <x:c r="R1453" s="1"/>
      <x:c r="S1453" s="1"/>
      <x:c r="T1453" s="1"/>
      <x:c r="U1453" s="1"/>
      <x:c r="V1453" s="1"/>
    </x:row>
    <x:row r="1454">
      <x:c r="A1454" s="1"/>
      <x:c r="B1454" s="1"/>
      <x:c r="C1454" s="1"/>
      <x:c r="D1454" s="1"/>
      <x:c r="E1454" s="1"/>
      <x:c r="F1454" s="1"/>
      <x:c r="G1454" s="1"/>
      <x:c r="H1454" s="1"/>
      <x:c r="I1454" s="1"/>
      <x:c r="J1454" s="1"/>
      <x:c r="K1454" s="1"/>
      <x:c r="L1454" s="1"/>
      <x:c r="M1454" s="1"/>
      <x:c r="N1454" s="1"/>
      <x:c r="O1454" s="1"/>
      <x:c r="P1454" s="1"/>
      <x:c r="Q1454" s="1"/>
      <x:c r="R1454" s="1"/>
      <x:c r="S1454" s="1"/>
      <x:c r="T1454" s="1"/>
      <x:c r="U1454" s="1"/>
      <x:c r="V1454" s="1"/>
    </x:row>
    <x:row r="1455">
      <x:c r="A1455" s="1"/>
      <x:c r="B1455" s="1"/>
      <x:c r="C1455" s="1"/>
      <x:c r="D1455" s="1"/>
      <x:c r="E1455" s="1"/>
      <x:c r="F1455" s="1"/>
      <x:c r="G1455" s="1"/>
      <x:c r="H1455" s="1"/>
      <x:c r="I1455" s="1"/>
      <x:c r="J1455" s="1"/>
      <x:c r="K1455" s="1"/>
      <x:c r="L1455" s="1"/>
      <x:c r="M1455" s="1"/>
      <x:c r="N1455" s="1"/>
      <x:c r="O1455" s="1"/>
      <x:c r="P1455" s="1"/>
      <x:c r="Q1455" s="1"/>
      <x:c r="R1455" s="1"/>
      <x:c r="S1455" s="1"/>
      <x:c r="T1455" s="1"/>
      <x:c r="U1455" s="1"/>
      <x:c r="V1455" s="1"/>
    </x:row>
    <x:row r="1456">
      <x:c r="A1456" s="1"/>
      <x:c r="B1456" s="1"/>
      <x:c r="C1456" s="1"/>
      <x:c r="D1456" s="1"/>
      <x:c r="E1456" s="1"/>
      <x:c r="F1456" s="1"/>
      <x:c r="G1456" s="1"/>
      <x:c r="H1456" s="1"/>
      <x:c r="I1456" s="1"/>
      <x:c r="J1456" s="1"/>
      <x:c r="K1456" s="1"/>
      <x:c r="L1456" s="1"/>
      <x:c r="M1456" s="1"/>
      <x:c r="N1456" s="1"/>
      <x:c r="O1456" s="1"/>
      <x:c r="P1456" s="1"/>
      <x:c r="Q1456" s="1"/>
      <x:c r="R1456" s="1"/>
      <x:c r="S1456" s="1"/>
      <x:c r="T1456" s="1"/>
      <x:c r="U1456" s="1"/>
      <x:c r="V1456" s="1"/>
    </x:row>
    <x:row r="1457">
      <x:c r="A1457" s="1"/>
      <x:c r="B1457" s="1"/>
      <x:c r="C1457" s="1"/>
      <x:c r="D1457" s="1"/>
      <x:c r="E1457" s="1"/>
      <x:c r="F1457" s="1"/>
      <x:c r="G1457" s="1"/>
      <x:c r="H1457" s="1"/>
      <x:c r="I1457" s="1"/>
      <x:c r="J1457" s="1"/>
      <x:c r="K1457" s="1"/>
      <x:c r="L1457" s="1"/>
      <x:c r="M1457" s="1"/>
      <x:c r="N1457" s="1"/>
      <x:c r="O1457" s="1"/>
      <x:c r="P1457" s="1"/>
      <x:c r="Q1457" s="1"/>
      <x:c r="R1457" s="1"/>
      <x:c r="S1457" s="1"/>
      <x:c r="T1457" s="1"/>
      <x:c r="U1457" s="1"/>
      <x:c r="V1457" s="1"/>
    </x:row>
    <x:row r="1458">
      <x:c r="A1458" s="1"/>
      <x:c r="B1458" s="1"/>
      <x:c r="C1458" s="1"/>
      <x:c r="D1458" s="1"/>
      <x:c r="E1458" s="1"/>
      <x:c r="F1458" s="1"/>
      <x:c r="G1458" s="1"/>
      <x:c r="H1458" s="1"/>
      <x:c r="I1458" s="1"/>
      <x:c r="J1458" s="1"/>
      <x:c r="K1458" s="1"/>
      <x:c r="L1458" s="1"/>
      <x:c r="M1458" s="1"/>
      <x:c r="N1458" s="1"/>
      <x:c r="O1458" s="1"/>
      <x:c r="P1458" s="1"/>
      <x:c r="Q1458" s="1"/>
      <x:c r="R1458" s="1"/>
      <x:c r="S1458" s="1"/>
      <x:c r="T1458" s="1"/>
      <x:c r="U1458" s="1"/>
      <x:c r="V1458" s="1"/>
    </x:row>
    <x:row r="1459">
      <x:c r="A1459" s="1"/>
      <x:c r="B1459" s="1"/>
      <x:c r="C1459" s="1"/>
      <x:c r="D1459" s="1"/>
      <x:c r="E1459" s="1"/>
      <x:c r="F1459" s="1"/>
      <x:c r="G1459" s="1"/>
      <x:c r="H1459" s="1"/>
      <x:c r="I1459" s="1"/>
      <x:c r="J1459" s="1"/>
      <x:c r="K1459" s="1"/>
      <x:c r="L1459" s="1"/>
      <x:c r="M1459" s="1"/>
      <x:c r="N1459" s="1"/>
      <x:c r="O1459" s="1"/>
      <x:c r="P1459" s="1"/>
      <x:c r="Q1459" s="1"/>
      <x:c r="R1459" s="1"/>
      <x:c r="S1459" s="1"/>
      <x:c r="T1459" s="1"/>
      <x:c r="U1459" s="1"/>
      <x:c r="V1459" s="1"/>
    </x:row>
    <x:row r="1460">
      <x:c r="A1460" s="1"/>
      <x:c r="B1460" s="1"/>
      <x:c r="C1460" s="1"/>
      <x:c r="D1460" s="1"/>
      <x:c r="E1460" s="1"/>
      <x:c r="F1460" s="1"/>
      <x:c r="G1460" s="1"/>
      <x:c r="H1460" s="1"/>
      <x:c r="I1460" s="1"/>
      <x:c r="J1460" s="1"/>
      <x:c r="K1460" s="1"/>
      <x:c r="L1460" s="1"/>
      <x:c r="M1460" s="1"/>
      <x:c r="N1460" s="1"/>
      <x:c r="O1460" s="1"/>
      <x:c r="P1460" s="1"/>
      <x:c r="Q1460" s="1"/>
      <x:c r="R1460" s="1"/>
      <x:c r="S1460" s="1"/>
      <x:c r="T1460" s="1"/>
      <x:c r="U1460" s="1"/>
      <x:c r="V1460" s="1"/>
    </x:row>
    <x:row r="1461">
      <x:c r="A1461" s="1"/>
      <x:c r="B1461" s="1"/>
      <x:c r="C1461" s="1"/>
      <x:c r="D1461" s="1"/>
      <x:c r="E1461" s="1"/>
      <x:c r="F1461" s="1"/>
      <x:c r="G1461" s="1"/>
      <x:c r="H1461" s="1"/>
      <x:c r="I1461" s="1"/>
      <x:c r="J1461" s="1"/>
      <x:c r="K1461" s="1"/>
      <x:c r="L1461" s="1"/>
      <x:c r="M1461" s="1"/>
      <x:c r="N1461" s="1"/>
      <x:c r="O1461" s="1"/>
      <x:c r="P1461" s="1"/>
      <x:c r="Q1461" s="1"/>
      <x:c r="R1461" s="1"/>
      <x:c r="S1461" s="1"/>
      <x:c r="T1461" s="1"/>
      <x:c r="U1461" s="1"/>
      <x:c r="V1461" s="1"/>
    </x:row>
    <x:row r="1462">
      <x:c r="A1462" s="1"/>
      <x:c r="B1462" s="1"/>
      <x:c r="C1462" s="1"/>
      <x:c r="D1462" s="1"/>
      <x:c r="E1462" s="1"/>
      <x:c r="F1462" s="1"/>
      <x:c r="G1462" s="1"/>
      <x:c r="H1462" s="1"/>
      <x:c r="I1462" s="1"/>
      <x:c r="J1462" s="1"/>
      <x:c r="K1462" s="1"/>
      <x:c r="L1462" s="1"/>
      <x:c r="M1462" s="1"/>
      <x:c r="N1462" s="1"/>
      <x:c r="O1462" s="1"/>
      <x:c r="P1462" s="1"/>
      <x:c r="Q1462" s="1"/>
      <x:c r="R1462" s="1"/>
      <x:c r="S1462" s="1"/>
      <x:c r="T1462" s="1"/>
      <x:c r="U1462" s="1"/>
      <x:c r="V1462" s="1"/>
    </x:row>
    <x:row r="1463">
      <x:c r="A1463" s="1"/>
      <x:c r="B1463" s="1"/>
      <x:c r="C1463" s="1"/>
      <x:c r="D1463" s="1"/>
      <x:c r="E1463" s="1"/>
      <x:c r="F1463" s="1"/>
      <x:c r="G1463" s="1"/>
      <x:c r="H1463" s="1"/>
      <x:c r="I1463" s="1"/>
      <x:c r="J1463" s="1"/>
      <x:c r="K1463" s="1"/>
      <x:c r="L1463" s="1"/>
      <x:c r="M1463" s="1"/>
      <x:c r="N1463" s="1"/>
      <x:c r="O1463" s="1"/>
      <x:c r="P1463" s="1"/>
      <x:c r="Q1463" s="1"/>
      <x:c r="R1463" s="1"/>
      <x:c r="S1463" s="1"/>
      <x:c r="T1463" s="1"/>
      <x:c r="U1463" s="1"/>
      <x:c r="V1463" s="1"/>
    </x:row>
    <x:row r="1464">
      <x:c r="A1464" s="1"/>
      <x:c r="B1464" s="1"/>
      <x:c r="C1464" s="1"/>
      <x:c r="D1464" s="1"/>
      <x:c r="E1464" s="1"/>
      <x:c r="F1464" s="1"/>
      <x:c r="G1464" s="1"/>
      <x:c r="H1464" s="1"/>
      <x:c r="I1464" s="1"/>
      <x:c r="J1464" s="1"/>
      <x:c r="K1464" s="1"/>
      <x:c r="L1464" s="1"/>
      <x:c r="M1464" s="1"/>
      <x:c r="N1464" s="1"/>
      <x:c r="O1464" s="1"/>
      <x:c r="P1464" s="1"/>
      <x:c r="Q1464" s="1"/>
      <x:c r="R1464" s="1"/>
      <x:c r="S1464" s="1"/>
      <x:c r="T1464" s="1"/>
      <x:c r="U1464" s="1"/>
      <x:c r="V1464" s="1"/>
    </x:row>
    <x:row r="1465">
      <x:c r="A1465" s="1"/>
      <x:c r="B1465" s="1"/>
      <x:c r="C1465" s="1"/>
      <x:c r="D1465" s="1"/>
      <x:c r="E1465" s="1"/>
      <x:c r="F1465" s="1"/>
      <x:c r="G1465" s="1"/>
      <x:c r="H1465" s="1"/>
      <x:c r="I1465" s="1"/>
      <x:c r="J1465" s="1"/>
      <x:c r="K1465" s="1"/>
      <x:c r="L1465" s="1"/>
      <x:c r="M1465" s="1"/>
      <x:c r="N1465" s="1"/>
      <x:c r="O1465" s="1"/>
      <x:c r="P1465" s="1"/>
      <x:c r="Q1465" s="1"/>
      <x:c r="R1465" s="1"/>
      <x:c r="S1465" s="1"/>
      <x:c r="T1465" s="1"/>
      <x:c r="U1465" s="1"/>
      <x:c r="V1465" s="1"/>
    </x:row>
    <x:row r="1466">
      <x:c r="A1466" s="1"/>
      <x:c r="B1466" s="1"/>
      <x:c r="C1466" s="1"/>
      <x:c r="D1466" s="1"/>
      <x:c r="E1466" s="1"/>
      <x:c r="F1466" s="1"/>
      <x:c r="G1466" s="1"/>
      <x:c r="H1466" s="1"/>
      <x:c r="I1466" s="1"/>
      <x:c r="J1466" s="1"/>
      <x:c r="K1466" s="1"/>
      <x:c r="L1466" s="1"/>
      <x:c r="M1466" s="1"/>
      <x:c r="N1466" s="1"/>
      <x:c r="O1466" s="1"/>
      <x:c r="P1466" s="1"/>
      <x:c r="Q1466" s="1"/>
      <x:c r="R1466" s="1"/>
      <x:c r="S1466" s="1"/>
      <x:c r="T1466" s="1"/>
      <x:c r="U1466" s="1"/>
      <x:c r="V1466" s="1"/>
    </x:row>
    <x:row r="1467">
      <x:c r="A1467" s="1"/>
      <x:c r="B1467" s="1"/>
      <x:c r="C1467" s="1"/>
      <x:c r="D1467" s="1"/>
      <x:c r="E1467" s="1"/>
      <x:c r="F1467" s="1"/>
      <x:c r="G1467" s="1"/>
      <x:c r="H1467" s="1"/>
      <x:c r="I1467" s="1"/>
      <x:c r="J1467" s="1"/>
      <x:c r="K1467" s="1"/>
      <x:c r="L1467" s="1"/>
      <x:c r="M1467" s="1"/>
      <x:c r="N1467" s="1"/>
      <x:c r="O1467" s="1"/>
      <x:c r="P1467" s="1"/>
      <x:c r="Q1467" s="1"/>
      <x:c r="R1467" s="1"/>
      <x:c r="S1467" s="1"/>
      <x:c r="T1467" s="1"/>
      <x:c r="U1467" s="1"/>
      <x:c r="V1467" s="1"/>
    </x:row>
    <x:row r="1468">
      <x:c r="A1468" s="1"/>
      <x:c r="B1468" s="1"/>
      <x:c r="C1468" s="1"/>
      <x:c r="D1468" s="1"/>
      <x:c r="E1468" s="1"/>
      <x:c r="F1468" s="1"/>
      <x:c r="G1468" s="1"/>
      <x:c r="H1468" s="1"/>
      <x:c r="I1468" s="1"/>
      <x:c r="J1468" s="1"/>
      <x:c r="K1468" s="1"/>
      <x:c r="L1468" s="1"/>
      <x:c r="M1468" s="1"/>
      <x:c r="N1468" s="1"/>
      <x:c r="O1468" s="1"/>
      <x:c r="P1468" s="1"/>
      <x:c r="Q1468" s="1"/>
      <x:c r="R1468" s="1"/>
      <x:c r="S1468" s="1"/>
      <x:c r="T1468" s="1"/>
      <x:c r="U1468" s="1"/>
      <x:c r="V1468" s="1"/>
    </x:row>
    <x:row r="1469">
      <x:c r="A1469" s="1"/>
      <x:c r="B1469" s="1"/>
      <x:c r="C1469" s="1"/>
      <x:c r="D1469" s="1"/>
      <x:c r="E1469" s="1"/>
      <x:c r="F1469" s="1"/>
      <x:c r="G1469" s="1"/>
      <x:c r="H1469" s="1"/>
      <x:c r="I1469" s="1"/>
      <x:c r="J1469" s="1"/>
      <x:c r="K1469" s="1"/>
      <x:c r="L1469" s="1"/>
      <x:c r="M1469" s="1"/>
      <x:c r="N1469" s="1"/>
      <x:c r="O1469" s="1"/>
      <x:c r="P1469" s="1"/>
      <x:c r="Q1469" s="1"/>
      <x:c r="R1469" s="1"/>
      <x:c r="S1469" s="1"/>
      <x:c r="T1469" s="1"/>
      <x:c r="U1469" s="1"/>
      <x:c r="V1469" s="1"/>
    </x:row>
    <x:row r="1470">
      <x:c r="A1470" s="1"/>
      <x:c r="B1470" s="1"/>
      <x:c r="C1470" s="1"/>
      <x:c r="D1470" s="1"/>
      <x:c r="E1470" s="1"/>
      <x:c r="F1470" s="1"/>
      <x:c r="G1470" s="1"/>
      <x:c r="H1470" s="1"/>
      <x:c r="I1470" s="1"/>
      <x:c r="J1470" s="1"/>
      <x:c r="K1470" s="1"/>
      <x:c r="L1470" s="1"/>
      <x:c r="M1470" s="1"/>
      <x:c r="N1470" s="1"/>
      <x:c r="O1470" s="1"/>
      <x:c r="P1470" s="1"/>
      <x:c r="Q1470" s="1"/>
      <x:c r="R1470" s="1"/>
      <x:c r="S1470" s="1"/>
      <x:c r="T1470" s="1"/>
      <x:c r="U1470" s="1"/>
      <x:c r="V1470" s="1"/>
    </x:row>
    <x:row r="1471">
      <x:c r="A1471" s="1"/>
      <x:c r="B1471" s="1"/>
      <x:c r="C1471" s="1"/>
      <x:c r="D1471" s="1"/>
      <x:c r="E1471" s="1"/>
      <x:c r="F1471" s="1"/>
      <x:c r="G1471" s="1"/>
      <x:c r="H1471" s="1"/>
      <x:c r="I1471" s="1"/>
      <x:c r="J1471" s="1"/>
      <x:c r="K1471" s="1"/>
      <x:c r="L1471" s="1"/>
      <x:c r="M1471" s="1"/>
      <x:c r="N1471" s="1"/>
      <x:c r="O1471" s="1"/>
      <x:c r="P1471" s="1"/>
      <x:c r="Q1471" s="1"/>
      <x:c r="R1471" s="1"/>
      <x:c r="S1471" s="1"/>
      <x:c r="T1471" s="1"/>
      <x:c r="U1471" s="1"/>
      <x:c r="V1471" s="1"/>
    </x:row>
    <x:row r="1472">
      <x:c r="A1472" s="1"/>
      <x:c r="B1472" s="1"/>
      <x:c r="C1472" s="1"/>
      <x:c r="D1472" s="1"/>
      <x:c r="E1472" s="1"/>
      <x:c r="F1472" s="1"/>
      <x:c r="G1472" s="1"/>
      <x:c r="H1472" s="1"/>
      <x:c r="I1472" s="1"/>
      <x:c r="J1472" s="1"/>
      <x:c r="K1472" s="1"/>
      <x:c r="L1472" s="1"/>
      <x:c r="M1472" s="1"/>
      <x:c r="N1472" s="1"/>
      <x:c r="O1472" s="1"/>
      <x:c r="P1472" s="1"/>
      <x:c r="Q1472" s="1"/>
      <x:c r="R1472" s="1"/>
      <x:c r="S1472" s="1"/>
      <x:c r="T1472" s="1"/>
      <x:c r="U1472" s="1"/>
      <x:c r="V1472" s="1"/>
    </x:row>
    <x:row r="1473">
      <x:c r="A1473" s="1"/>
      <x:c r="B1473" s="1"/>
      <x:c r="C1473" s="1"/>
      <x:c r="D1473" s="1"/>
      <x:c r="E1473" s="1"/>
      <x:c r="F1473" s="1"/>
      <x:c r="G1473" s="1"/>
      <x:c r="H1473" s="1"/>
      <x:c r="I1473" s="1"/>
      <x:c r="J1473" s="1"/>
      <x:c r="K1473" s="1"/>
      <x:c r="L1473" s="1"/>
      <x:c r="M1473" s="1"/>
      <x:c r="N1473" s="1"/>
      <x:c r="O1473" s="1"/>
      <x:c r="P1473" s="1"/>
      <x:c r="Q1473" s="1"/>
      <x:c r="R1473" s="1"/>
      <x:c r="S1473" s="1"/>
      <x:c r="T1473" s="1"/>
      <x:c r="U1473" s="1"/>
      <x:c r="V1473" s="1"/>
    </x:row>
    <x:row r="1474">
      <x:c r="A1474" s="1"/>
      <x:c r="B1474" s="1"/>
      <x:c r="C1474" s="1"/>
      <x:c r="D1474" s="1"/>
      <x:c r="E1474" s="1"/>
      <x:c r="F1474" s="1"/>
      <x:c r="G1474" s="1"/>
      <x:c r="H1474" s="1"/>
      <x:c r="I1474" s="1"/>
      <x:c r="J1474" s="1"/>
      <x:c r="K1474" s="1"/>
      <x:c r="L1474" s="1"/>
      <x:c r="M1474" s="1"/>
      <x:c r="N1474" s="1"/>
      <x:c r="O1474" s="1"/>
      <x:c r="P1474" s="1"/>
      <x:c r="Q1474" s="1"/>
      <x:c r="R1474" s="1"/>
      <x:c r="S1474" s="1"/>
      <x:c r="T1474" s="1"/>
      <x:c r="U1474" s="1"/>
      <x:c r="V1474" s="1"/>
    </x:row>
    <x:row r="1475">
      <x:c r="A1475" s="1"/>
      <x:c r="B1475" s="1"/>
      <x:c r="C1475" s="1"/>
      <x:c r="D1475" s="1"/>
      <x:c r="E1475" s="1"/>
      <x:c r="F1475" s="1"/>
      <x:c r="G1475" s="1"/>
      <x:c r="H1475" s="1"/>
      <x:c r="I1475" s="1"/>
      <x:c r="J1475" s="1"/>
      <x:c r="K1475" s="1"/>
      <x:c r="L1475" s="1"/>
      <x:c r="M1475" s="1"/>
      <x:c r="N1475" s="1"/>
      <x:c r="O1475" s="1"/>
      <x:c r="P1475" s="1"/>
      <x:c r="Q1475" s="1"/>
      <x:c r="R1475" s="1"/>
      <x:c r="S1475" s="1"/>
      <x:c r="T1475" s="1"/>
      <x:c r="U1475" s="1"/>
      <x:c r="V1475" s="1"/>
    </x:row>
    <x:row r="1476">
      <x:c r="A1476" s="1"/>
      <x:c r="B1476" s="1"/>
      <x:c r="C1476" s="1"/>
      <x:c r="D1476" s="1"/>
      <x:c r="E1476" s="1"/>
      <x:c r="F1476" s="1"/>
      <x:c r="G1476" s="1"/>
      <x:c r="H1476" s="1"/>
      <x:c r="I1476" s="1"/>
      <x:c r="J1476" s="1"/>
      <x:c r="K1476" s="1"/>
      <x:c r="L1476" s="1"/>
      <x:c r="M1476" s="1"/>
      <x:c r="N1476" s="1"/>
      <x:c r="O1476" s="1"/>
      <x:c r="P1476" s="1"/>
      <x:c r="Q1476" s="1"/>
      <x:c r="R1476" s="1"/>
      <x:c r="S1476" s="1"/>
      <x:c r="T1476" s="1"/>
      <x:c r="U1476" s="1"/>
      <x:c r="V1476" s="1"/>
    </x:row>
    <x:row r="1477">
      <x:c r="A1477" s="1"/>
      <x:c r="B1477" s="1"/>
      <x:c r="C1477" s="1"/>
      <x:c r="D1477" s="1"/>
      <x:c r="E1477" s="1"/>
      <x:c r="F1477" s="1"/>
      <x:c r="G1477" s="1"/>
      <x:c r="H1477" s="1"/>
      <x:c r="I1477" s="1"/>
      <x:c r="J1477" s="1"/>
      <x:c r="K1477" s="1"/>
      <x:c r="L1477" s="1"/>
      <x:c r="M1477" s="1"/>
      <x:c r="N1477" s="1"/>
      <x:c r="O1477" s="1"/>
      <x:c r="P1477" s="1"/>
      <x:c r="Q1477" s="1"/>
      <x:c r="R1477" s="1"/>
      <x:c r="S1477" s="1"/>
      <x:c r="T1477" s="1"/>
      <x:c r="U1477" s="1"/>
      <x:c r="V1477" s="1"/>
    </x:row>
    <x:row r="1478">
      <x:c r="A1478" s="1"/>
      <x:c r="B1478" s="1"/>
      <x:c r="C1478" s="1"/>
      <x:c r="D1478" s="1"/>
      <x:c r="E1478" s="1"/>
      <x:c r="F1478" s="1"/>
      <x:c r="G1478" s="1"/>
      <x:c r="H1478" s="1"/>
      <x:c r="I1478" s="1"/>
      <x:c r="J1478" s="1"/>
      <x:c r="K1478" s="1"/>
      <x:c r="L1478" s="1"/>
      <x:c r="M1478" s="1"/>
      <x:c r="N1478" s="1"/>
      <x:c r="O1478" s="1"/>
      <x:c r="P1478" s="1"/>
      <x:c r="Q1478" s="1"/>
      <x:c r="R1478" s="1"/>
      <x:c r="S1478" s="1"/>
      <x:c r="T1478" s="1"/>
      <x:c r="U1478" s="1"/>
      <x:c r="V1478" s="1"/>
    </x:row>
    <x:row r="1479">
      <x:c r="A1479" s="1"/>
      <x:c r="B1479" s="1"/>
      <x:c r="C1479" s="1"/>
      <x:c r="D1479" s="1"/>
      <x:c r="E1479" s="1"/>
      <x:c r="F1479" s="1"/>
      <x:c r="G1479" s="1"/>
      <x:c r="H1479" s="1"/>
      <x:c r="I1479" s="1"/>
      <x:c r="J1479" s="1"/>
      <x:c r="K1479" s="1"/>
      <x:c r="L1479" s="1"/>
      <x:c r="M1479" s="1"/>
      <x:c r="N1479" s="1"/>
      <x:c r="O1479" s="1"/>
      <x:c r="P1479" s="1"/>
      <x:c r="Q1479" s="1"/>
      <x:c r="R1479" s="1"/>
      <x:c r="S1479" s="1"/>
      <x:c r="T1479" s="1"/>
      <x:c r="U1479" s="1"/>
      <x:c r="V1479" s="1"/>
    </x:row>
    <x:row r="1480">
      <x:c r="A1480" s="1"/>
      <x:c r="B1480" s="1"/>
      <x:c r="C1480" s="1"/>
      <x:c r="D1480" s="1"/>
      <x:c r="E1480" s="1"/>
      <x:c r="F1480" s="1"/>
      <x:c r="G1480" s="1"/>
      <x:c r="H1480" s="1"/>
      <x:c r="I1480" s="1"/>
      <x:c r="J1480" s="1"/>
      <x:c r="K1480" s="1"/>
      <x:c r="L1480" s="1"/>
      <x:c r="M1480" s="1"/>
      <x:c r="N1480" s="1"/>
      <x:c r="O1480" s="1"/>
      <x:c r="P1480" s="1"/>
      <x:c r="Q1480" s="1"/>
      <x:c r="R1480" s="1"/>
      <x:c r="S1480" s="1"/>
      <x:c r="T1480" s="1"/>
      <x:c r="U1480" s="1"/>
      <x:c r="V1480" s="1"/>
    </x:row>
    <x:row r="1481">
      <x:c r="A1481" s="1"/>
      <x:c r="B1481" s="1"/>
      <x:c r="C1481" s="1"/>
      <x:c r="D1481" s="1"/>
      <x:c r="E1481" s="1"/>
      <x:c r="F1481" s="1"/>
      <x:c r="G1481" s="1"/>
      <x:c r="H1481" s="1"/>
      <x:c r="I1481" s="1"/>
      <x:c r="J1481" s="1"/>
      <x:c r="K1481" s="1"/>
      <x:c r="L1481" s="1"/>
      <x:c r="M1481" s="1"/>
      <x:c r="N1481" s="1"/>
      <x:c r="O1481" s="1"/>
      <x:c r="P1481" s="1"/>
      <x:c r="Q1481" s="1"/>
      <x:c r="R1481" s="1"/>
      <x:c r="S1481" s="1"/>
      <x:c r="T1481" s="1"/>
      <x:c r="U1481" s="1"/>
      <x:c r="V1481" s="1"/>
    </x:row>
    <x:row r="1482">
      <x:c r="A1482" s="1"/>
      <x:c r="B1482" s="1"/>
      <x:c r="C1482" s="1"/>
      <x:c r="D1482" s="1"/>
      <x:c r="E1482" s="1"/>
      <x:c r="F1482" s="1"/>
      <x:c r="G1482" s="1"/>
      <x:c r="H1482" s="1"/>
      <x:c r="I1482" s="1"/>
      <x:c r="J1482" s="1"/>
      <x:c r="K1482" s="1"/>
      <x:c r="L1482" s="1"/>
      <x:c r="M1482" s="1"/>
      <x:c r="N1482" s="1"/>
      <x:c r="O1482" s="1"/>
      <x:c r="P1482" s="1"/>
      <x:c r="Q1482" s="1"/>
      <x:c r="R1482" s="1"/>
      <x:c r="S1482" s="1"/>
      <x:c r="T1482" s="1"/>
      <x:c r="U1482" s="1"/>
      <x:c r="V1482" s="1"/>
    </x:row>
    <x:row r="1483">
      <x:c r="A1483" s="1"/>
      <x:c r="B1483" s="1"/>
      <x:c r="C1483" s="1"/>
      <x:c r="D1483" s="1"/>
      <x:c r="E1483" s="1"/>
      <x:c r="F1483" s="1"/>
      <x:c r="G1483" s="1"/>
      <x:c r="H1483" s="1"/>
      <x:c r="I1483" s="1"/>
      <x:c r="J1483" s="1"/>
      <x:c r="K1483" s="1"/>
      <x:c r="L1483" s="1"/>
      <x:c r="M1483" s="1"/>
      <x:c r="N1483" s="1"/>
      <x:c r="O1483" s="1"/>
      <x:c r="P1483" s="1"/>
      <x:c r="Q1483" s="1"/>
      <x:c r="R1483" s="1"/>
      <x:c r="S1483" s="1"/>
      <x:c r="T1483" s="1"/>
      <x:c r="U1483" s="1"/>
      <x:c r="V1483" s="1"/>
    </x:row>
    <x:row r="1484">
      <x:c r="A1484" s="1"/>
      <x:c r="B1484" s="1"/>
      <x:c r="C1484" s="1"/>
      <x:c r="D1484" s="1"/>
      <x:c r="E1484" s="1"/>
      <x:c r="F1484" s="1"/>
      <x:c r="G1484" s="1"/>
      <x:c r="H1484" s="1"/>
      <x:c r="I1484" s="1"/>
      <x:c r="J1484" s="1"/>
      <x:c r="K1484" s="1"/>
      <x:c r="L1484" s="1"/>
      <x:c r="M1484" s="1"/>
      <x:c r="N1484" s="1"/>
      <x:c r="O1484" s="1"/>
      <x:c r="P1484" s="1"/>
      <x:c r="Q1484" s="1"/>
      <x:c r="R1484" s="1"/>
      <x:c r="S1484" s="1"/>
      <x:c r="T1484" s="1"/>
      <x:c r="U1484" s="1"/>
      <x:c r="V1484" s="1"/>
    </x:row>
    <x:row r="1485">
      <x:c r="A1485" s="1"/>
      <x:c r="B1485" s="1"/>
      <x:c r="C1485" s="1"/>
      <x:c r="D1485" s="1"/>
      <x:c r="E1485" s="1"/>
      <x:c r="F1485" s="1"/>
      <x:c r="G1485" s="1"/>
      <x:c r="H1485" s="1"/>
      <x:c r="I1485" s="1"/>
      <x:c r="J1485" s="1"/>
      <x:c r="K1485" s="1"/>
      <x:c r="L1485" s="1"/>
      <x:c r="M1485" s="1"/>
      <x:c r="N1485" s="1"/>
      <x:c r="O1485" s="1"/>
      <x:c r="P1485" s="1"/>
      <x:c r="Q1485" s="1"/>
      <x:c r="R1485" s="1"/>
      <x:c r="S1485" s="1"/>
      <x:c r="T1485" s="1"/>
      <x:c r="U1485" s="1"/>
      <x:c r="V1485" s="1"/>
    </x:row>
    <x:row r="1486">
      <x:c r="A1486" s="1"/>
      <x:c r="B1486" s="1"/>
      <x:c r="C1486" s="1"/>
      <x:c r="D1486" s="1"/>
      <x:c r="E1486" s="1"/>
      <x:c r="F1486" s="1"/>
      <x:c r="G1486" s="1"/>
      <x:c r="H1486" s="1"/>
      <x:c r="I1486" s="1"/>
      <x:c r="J1486" s="1"/>
      <x:c r="K1486" s="1"/>
      <x:c r="L1486" s="1"/>
      <x:c r="M1486" s="1"/>
      <x:c r="N1486" s="1"/>
      <x:c r="O1486" s="1"/>
      <x:c r="P1486" s="1"/>
      <x:c r="Q1486" s="1"/>
      <x:c r="R1486" s="1"/>
      <x:c r="S1486" s="1"/>
      <x:c r="T1486" s="1"/>
      <x:c r="U1486" s="1"/>
      <x:c r="V1486" s="1"/>
    </x:row>
    <x:row r="1487">
      <x:c r="A1487" s="1"/>
      <x:c r="B1487" s="1"/>
      <x:c r="C1487" s="1"/>
      <x:c r="D1487" s="1"/>
      <x:c r="E1487" s="1"/>
      <x:c r="F1487" s="1"/>
      <x:c r="G1487" s="1"/>
      <x:c r="H1487" s="1"/>
      <x:c r="I1487" s="1"/>
      <x:c r="J1487" s="1"/>
      <x:c r="K1487" s="1"/>
      <x:c r="L1487" s="1"/>
      <x:c r="M1487" s="1"/>
      <x:c r="N1487" s="1"/>
      <x:c r="O1487" s="1"/>
      <x:c r="P1487" s="1"/>
      <x:c r="Q1487" s="1"/>
      <x:c r="R1487" s="1"/>
      <x:c r="S1487" s="1"/>
      <x:c r="T1487" s="1"/>
      <x:c r="U1487" s="1"/>
      <x:c r="V1487" s="1"/>
    </x:row>
    <x:row r="1488">
      <x:c r="A1488" s="1"/>
      <x:c r="B1488" s="1"/>
      <x:c r="C1488" s="1"/>
      <x:c r="D1488" s="1"/>
      <x:c r="E1488" s="1"/>
      <x:c r="F1488" s="1"/>
      <x:c r="G1488" s="1"/>
      <x:c r="H1488" s="1"/>
      <x:c r="I1488" s="1"/>
      <x:c r="J1488" s="1"/>
      <x:c r="K1488" s="1"/>
      <x:c r="L1488" s="1"/>
      <x:c r="M1488" s="1"/>
      <x:c r="N1488" s="1"/>
      <x:c r="O1488" s="1"/>
      <x:c r="P1488" s="1"/>
      <x:c r="Q1488" s="1"/>
      <x:c r="R1488" s="1"/>
      <x:c r="S1488" s="1"/>
      <x:c r="T1488" s="1"/>
      <x:c r="U1488" s="1"/>
      <x:c r="V1488" s="1"/>
    </x:row>
    <x:row r="1489">
      <x:c r="A1489" s="1"/>
      <x:c r="B1489" s="1"/>
      <x:c r="C1489" s="1"/>
      <x:c r="D1489" s="1"/>
      <x:c r="E1489" s="1"/>
      <x:c r="F1489" s="1"/>
      <x:c r="G1489" s="1"/>
      <x:c r="H1489" s="1"/>
      <x:c r="I1489" s="1"/>
      <x:c r="J1489" s="1"/>
      <x:c r="K1489" s="1"/>
      <x:c r="L1489" s="1"/>
      <x:c r="M1489" s="1"/>
      <x:c r="N1489" s="1"/>
      <x:c r="O1489" s="1"/>
      <x:c r="P1489" s="1"/>
      <x:c r="Q1489" s="1"/>
      <x:c r="R1489" s="1"/>
      <x:c r="S1489" s="1"/>
      <x:c r="T1489" s="1"/>
      <x:c r="U1489" s="1"/>
      <x:c r="V1489" s="1"/>
    </x:row>
    <x:row r="1490">
      <x:c r="A1490" s="1"/>
      <x:c r="B1490" s="1"/>
      <x:c r="C1490" s="1"/>
      <x:c r="D1490" s="1"/>
      <x:c r="E1490" s="1"/>
      <x:c r="F1490" s="1"/>
      <x:c r="G1490" s="1"/>
      <x:c r="H1490" s="1"/>
      <x:c r="I1490" s="1"/>
      <x:c r="J1490" s="1"/>
      <x:c r="K1490" s="1"/>
      <x:c r="L1490" s="1"/>
      <x:c r="M1490" s="1"/>
      <x:c r="N1490" s="1"/>
      <x:c r="O1490" s="1"/>
      <x:c r="P1490" s="1"/>
      <x:c r="Q1490" s="1"/>
      <x:c r="R1490" s="1"/>
      <x:c r="S1490" s="1"/>
      <x:c r="T1490" s="1"/>
      <x:c r="U1490" s="1"/>
      <x:c r="V1490" s="1"/>
    </x:row>
    <x:row r="1491">
      <x:c r="A1491" s="1"/>
      <x:c r="B1491" s="1"/>
      <x:c r="C1491" s="1"/>
      <x:c r="D1491" s="1"/>
      <x:c r="E1491" s="1"/>
      <x:c r="F1491" s="1"/>
      <x:c r="G1491" s="1"/>
      <x:c r="H1491" s="1"/>
      <x:c r="I1491" s="1"/>
      <x:c r="J1491" s="1"/>
      <x:c r="K1491" s="1"/>
      <x:c r="L1491" s="1"/>
      <x:c r="M1491" s="1"/>
      <x:c r="N1491" s="1"/>
      <x:c r="O1491" s="1"/>
      <x:c r="P1491" s="1"/>
      <x:c r="Q1491" s="1"/>
      <x:c r="R1491" s="1"/>
      <x:c r="S1491" s="1"/>
      <x:c r="T1491" s="1"/>
      <x:c r="U1491" s="1"/>
      <x:c r="V1491" s="1"/>
    </x:row>
    <x:row r="1492">
      <x:c r="A1492" s="1"/>
      <x:c r="B1492" s="1"/>
      <x:c r="C1492" s="1"/>
      <x:c r="D1492" s="1"/>
      <x:c r="E1492" s="1"/>
      <x:c r="F1492" s="1"/>
      <x:c r="G1492" s="1"/>
      <x:c r="H1492" s="1"/>
      <x:c r="I1492" s="1"/>
      <x:c r="J1492" s="1"/>
      <x:c r="K1492" s="1"/>
      <x:c r="L1492" s="1"/>
      <x:c r="M1492" s="1"/>
      <x:c r="N1492" s="1"/>
      <x:c r="O1492" s="1"/>
      <x:c r="P1492" s="1"/>
      <x:c r="Q1492" s="1"/>
      <x:c r="R1492" s="1"/>
      <x:c r="S1492" s="1"/>
      <x:c r="T1492" s="1"/>
      <x:c r="U1492" s="1"/>
      <x:c r="V1492" s="1"/>
    </x:row>
    <x:row r="1493">
      <x:c r="A1493" s="1"/>
      <x:c r="B1493" s="1"/>
      <x:c r="C1493" s="1"/>
      <x:c r="D1493" s="1"/>
      <x:c r="E1493" s="1"/>
      <x:c r="F1493" s="1"/>
      <x:c r="G1493" s="1"/>
      <x:c r="H1493" s="1"/>
      <x:c r="I1493" s="1"/>
      <x:c r="J1493" s="1"/>
      <x:c r="K1493" s="1"/>
      <x:c r="L1493" s="1"/>
      <x:c r="M1493" s="1"/>
      <x:c r="N1493" s="1"/>
      <x:c r="O1493" s="1"/>
      <x:c r="P1493" s="1"/>
      <x:c r="Q1493" s="1"/>
      <x:c r="R1493" s="1"/>
      <x:c r="S1493" s="1"/>
      <x:c r="T1493" s="1"/>
      <x:c r="U1493" s="1"/>
      <x:c r="V1493" s="1"/>
    </x:row>
    <x:row r="1494">
      <x:c r="A1494" s="1"/>
      <x:c r="B1494" s="1"/>
      <x:c r="C1494" s="1"/>
      <x:c r="D1494" s="1"/>
      <x:c r="E1494" s="1"/>
      <x:c r="F1494" s="1"/>
      <x:c r="G1494" s="1"/>
      <x:c r="H1494" s="1"/>
      <x:c r="I1494" s="1"/>
      <x:c r="J1494" s="1"/>
      <x:c r="K1494" s="1"/>
      <x:c r="L1494" s="1"/>
      <x:c r="M1494" s="1"/>
      <x:c r="N1494" s="1"/>
      <x:c r="O1494" s="1"/>
      <x:c r="P1494" s="1"/>
      <x:c r="Q1494" s="1"/>
      <x:c r="R1494" s="1"/>
      <x:c r="S1494" s="1"/>
      <x:c r="T1494" s="1"/>
      <x:c r="U1494" s="1"/>
      <x:c r="V1494" s="1"/>
    </x:row>
    <x:row r="1495">
      <x:c r="A1495" s="1"/>
      <x:c r="B1495" s="1"/>
      <x:c r="C1495" s="1"/>
      <x:c r="D1495" s="1"/>
      <x:c r="E1495" s="1"/>
      <x:c r="F1495" s="1"/>
      <x:c r="G1495" s="1"/>
      <x:c r="H1495" s="1"/>
      <x:c r="I1495" s="1"/>
      <x:c r="J1495" s="1"/>
      <x:c r="K1495" s="1"/>
      <x:c r="L1495" s="1"/>
      <x:c r="M1495" s="1"/>
      <x:c r="N1495" s="1"/>
      <x:c r="O1495" s="1"/>
      <x:c r="P1495" s="1"/>
      <x:c r="Q1495" s="1"/>
      <x:c r="R1495" s="1"/>
      <x:c r="S1495" s="1"/>
      <x:c r="T1495" s="1"/>
      <x:c r="U1495" s="1"/>
      <x:c r="V1495" s="1"/>
    </x:row>
    <x:row r="1496">
      <x:c r="A1496" s="1"/>
      <x:c r="B1496" s="1"/>
      <x:c r="C1496" s="1"/>
      <x:c r="D1496" s="1"/>
      <x:c r="E1496" s="1"/>
      <x:c r="F1496" s="1"/>
      <x:c r="G1496" s="1"/>
      <x:c r="H1496" s="1"/>
      <x:c r="I1496" s="1"/>
      <x:c r="J1496" s="1"/>
      <x:c r="K1496" s="1"/>
      <x:c r="L1496" s="1"/>
      <x:c r="M1496" s="1"/>
      <x:c r="N1496" s="1"/>
      <x:c r="O1496" s="1"/>
      <x:c r="P1496" s="1"/>
      <x:c r="Q1496" s="1"/>
      <x:c r="R1496" s="1"/>
      <x:c r="S1496" s="1"/>
      <x:c r="T1496" s="1"/>
      <x:c r="U1496" s="1"/>
      <x:c r="V1496" s="1"/>
    </x:row>
    <x:row r="1497">
      <x:c r="A1497" s="1"/>
      <x:c r="B1497" s="1"/>
      <x:c r="C1497" s="1"/>
      <x:c r="D1497" s="1"/>
      <x:c r="E1497" s="1"/>
      <x:c r="F1497" s="1"/>
      <x:c r="G1497" s="1"/>
      <x:c r="H1497" s="1"/>
      <x:c r="I1497" s="1"/>
      <x:c r="J1497" s="1"/>
      <x:c r="K1497" s="1"/>
      <x:c r="L1497" s="1"/>
      <x:c r="M1497" s="1"/>
      <x:c r="N1497" s="1"/>
      <x:c r="O1497" s="1"/>
      <x:c r="P1497" s="1"/>
      <x:c r="Q1497" s="1"/>
      <x:c r="R1497" s="1"/>
      <x:c r="S1497" s="1"/>
      <x:c r="T1497" s="1"/>
      <x:c r="U1497" s="1"/>
      <x:c r="V1497" s="1"/>
    </x:row>
    <x:row r="1498">
      <x:c r="A1498" s="1"/>
      <x:c r="B1498" s="1"/>
      <x:c r="C1498" s="1"/>
      <x:c r="D1498" s="1"/>
      <x:c r="E1498" s="1"/>
      <x:c r="F1498" s="1"/>
      <x:c r="G1498" s="1"/>
      <x:c r="H1498" s="1"/>
      <x:c r="I1498" s="1"/>
      <x:c r="J1498" s="1"/>
      <x:c r="K1498" s="1"/>
      <x:c r="L1498" s="1"/>
      <x:c r="M1498" s="1"/>
      <x:c r="N1498" s="1"/>
      <x:c r="O1498" s="1"/>
      <x:c r="P1498" s="1"/>
      <x:c r="Q1498" s="1"/>
      <x:c r="R1498" s="1"/>
      <x:c r="S1498" s="1"/>
      <x:c r="T1498" s="1"/>
      <x:c r="U1498" s="1"/>
      <x:c r="V1498" s="1"/>
    </x:row>
    <x:row r="1499">
      <x:c r="A1499" s="1"/>
      <x:c r="B1499" s="1"/>
      <x:c r="C1499" s="1"/>
      <x:c r="D1499" s="1"/>
      <x:c r="E1499" s="1"/>
      <x:c r="F1499" s="1"/>
      <x:c r="G1499" s="1"/>
      <x:c r="H1499" s="1"/>
      <x:c r="I1499" s="1"/>
      <x:c r="J1499" s="1"/>
      <x:c r="K1499" s="1"/>
      <x:c r="L1499" s="1"/>
      <x:c r="M1499" s="1"/>
      <x:c r="N1499" s="1"/>
      <x:c r="O1499" s="1"/>
      <x:c r="P1499" s="1"/>
      <x:c r="Q1499" s="1"/>
      <x:c r="R1499" s="1"/>
      <x:c r="S1499" s="1"/>
      <x:c r="T1499" s="1"/>
      <x:c r="U1499" s="1"/>
      <x:c r="V1499" s="1"/>
    </x:row>
    <x:row r="1500">
      <x:c r="A1500" s="1"/>
      <x:c r="B1500" s="1"/>
      <x:c r="C1500" s="1"/>
      <x:c r="D1500" s="1"/>
      <x:c r="E1500" s="1"/>
      <x:c r="F1500" s="1"/>
      <x:c r="G1500" s="1"/>
      <x:c r="H1500" s="1"/>
      <x:c r="I1500" s="1"/>
      <x:c r="J1500" s="1"/>
      <x:c r="K1500" s="1"/>
      <x:c r="L1500" s="1"/>
      <x:c r="M1500" s="1"/>
      <x:c r="N1500" s="1"/>
      <x:c r="O1500" s="1"/>
      <x:c r="P1500" s="1"/>
      <x:c r="Q1500" s="1"/>
      <x:c r="R1500" s="1"/>
      <x:c r="S1500" s="1"/>
      <x:c r="T1500" s="1"/>
      <x:c r="U1500" s="1"/>
      <x:c r="V1500" s="1"/>
    </x:row>
    <x:row r="1501">
      <x:c r="A1501" s="1"/>
      <x:c r="B1501" s="1"/>
      <x:c r="C1501" s="1"/>
      <x:c r="D1501" s="1"/>
      <x:c r="E1501" s="1"/>
      <x:c r="F1501" s="1"/>
      <x:c r="G1501" s="1"/>
      <x:c r="H1501" s="1"/>
      <x:c r="I1501" s="1"/>
      <x:c r="J1501" s="1"/>
      <x:c r="K1501" s="1"/>
      <x:c r="L1501" s="1"/>
      <x:c r="M1501" s="1"/>
      <x:c r="N1501" s="1"/>
      <x:c r="O1501" s="1"/>
      <x:c r="P1501" s="1"/>
      <x:c r="Q1501" s="1"/>
      <x:c r="R1501" s="1"/>
      <x:c r="S1501" s="1"/>
      <x:c r="T1501" s="1"/>
      <x:c r="U1501" s="1"/>
      <x:c r="V1501" s="1"/>
    </x:row>
    <x:row r="1502">
      <x:c r="A1502" s="1"/>
      <x:c r="B1502" s="1"/>
      <x:c r="C1502" s="1"/>
      <x:c r="D1502" s="1"/>
      <x:c r="E1502" s="1"/>
      <x:c r="F1502" s="1"/>
      <x:c r="G1502" s="1"/>
      <x:c r="H1502" s="1"/>
      <x:c r="I1502" s="1"/>
      <x:c r="J1502" s="1"/>
      <x:c r="K1502" s="1"/>
      <x:c r="L1502" s="1"/>
      <x:c r="M1502" s="1"/>
      <x:c r="N1502" s="1"/>
      <x:c r="O1502" s="1"/>
      <x:c r="P1502" s="1"/>
      <x:c r="Q1502" s="1"/>
      <x:c r="R1502" s="1"/>
      <x:c r="S1502" s="1"/>
      <x:c r="T1502" s="1"/>
      <x:c r="U1502" s="1"/>
      <x:c r="V1502" s="1"/>
    </x:row>
    <x:row r="1503">
      <x:c r="A1503" s="1"/>
      <x:c r="B1503" s="1"/>
      <x:c r="C1503" s="1"/>
      <x:c r="D1503" s="1"/>
      <x:c r="E1503" s="1"/>
      <x:c r="F1503" s="1"/>
      <x:c r="G1503" s="1"/>
      <x:c r="H1503" s="1"/>
      <x:c r="I1503" s="1"/>
      <x:c r="J1503" s="1"/>
      <x:c r="K1503" s="1"/>
      <x:c r="L1503" s="1"/>
      <x:c r="M1503" s="1"/>
      <x:c r="N1503" s="1"/>
      <x:c r="O1503" s="1"/>
      <x:c r="P1503" s="1"/>
      <x:c r="Q1503" s="1"/>
      <x:c r="R1503" s="1"/>
      <x:c r="S1503" s="1"/>
      <x:c r="T1503" s="1"/>
      <x:c r="U1503" s="1"/>
      <x:c r="V1503" s="1"/>
    </x:row>
    <x:row r="1504">
      <x:c r="A1504" s="1"/>
      <x:c r="B1504" s="1"/>
      <x:c r="C1504" s="1"/>
      <x:c r="D1504" s="1"/>
      <x:c r="E1504" s="1"/>
      <x:c r="F1504" s="1"/>
      <x:c r="G1504" s="1"/>
      <x:c r="H1504" s="1"/>
      <x:c r="I1504" s="1"/>
      <x:c r="J1504" s="1"/>
      <x:c r="K1504" s="1"/>
      <x:c r="L1504" s="1"/>
      <x:c r="M1504" s="1"/>
      <x:c r="N1504" s="1"/>
      <x:c r="O1504" s="1"/>
      <x:c r="P1504" s="1"/>
      <x:c r="Q1504" s="1"/>
      <x:c r="R1504" s="1"/>
      <x:c r="S1504" s="1"/>
      <x:c r="T1504" s="1"/>
      <x:c r="U1504" s="1"/>
      <x:c r="V1504" s="1"/>
    </x:row>
    <x:row r="1505">
      <x:c r="A1505" s="1"/>
      <x:c r="B1505" s="1"/>
      <x:c r="C1505" s="1"/>
      <x:c r="D1505" s="1"/>
      <x:c r="E1505" s="1"/>
      <x:c r="F1505" s="1"/>
      <x:c r="G1505" s="1"/>
      <x:c r="H1505" s="1"/>
      <x:c r="I1505" s="1"/>
      <x:c r="J1505" s="1"/>
      <x:c r="K1505" s="1"/>
      <x:c r="L1505" s="1"/>
      <x:c r="M1505" s="1"/>
      <x:c r="N1505" s="1"/>
      <x:c r="O1505" s="1"/>
      <x:c r="P1505" s="1"/>
      <x:c r="Q1505" s="1"/>
      <x:c r="R1505" s="1"/>
      <x:c r="S1505" s="1"/>
      <x:c r="T1505" s="1"/>
      <x:c r="U1505" s="1"/>
      <x:c r="V1505" s="1"/>
    </x:row>
    <x:row r="1506">
      <x:c r="A1506" s="1"/>
      <x:c r="B1506" s="1"/>
      <x:c r="C1506" s="1"/>
      <x:c r="D1506" s="1"/>
      <x:c r="E1506" s="1"/>
      <x:c r="F1506" s="1"/>
      <x:c r="G1506" s="1"/>
      <x:c r="H1506" s="1"/>
      <x:c r="I1506" s="1"/>
      <x:c r="J1506" s="1"/>
      <x:c r="K1506" s="1"/>
      <x:c r="L1506" s="1"/>
      <x:c r="M1506" s="1"/>
      <x:c r="N1506" s="1"/>
      <x:c r="O1506" s="1"/>
      <x:c r="P1506" s="1"/>
      <x:c r="Q1506" s="1"/>
      <x:c r="R1506" s="1"/>
      <x:c r="S1506" s="1"/>
      <x:c r="T1506" s="1"/>
      <x:c r="U1506" s="1"/>
      <x:c r="V1506" s="1"/>
    </x:row>
    <x:row r="1507">
      <x:c r="A1507" s="1"/>
      <x:c r="B1507" s="1"/>
      <x:c r="C1507" s="1"/>
      <x:c r="D1507" s="1"/>
      <x:c r="E1507" s="1"/>
      <x:c r="F1507" s="1"/>
      <x:c r="G1507" s="1"/>
      <x:c r="H1507" s="1"/>
      <x:c r="I1507" s="1"/>
      <x:c r="J1507" s="1"/>
      <x:c r="K1507" s="1"/>
      <x:c r="L1507" s="1"/>
      <x:c r="M1507" s="1"/>
      <x:c r="N1507" s="1"/>
      <x:c r="O1507" s="1"/>
      <x:c r="P1507" s="1"/>
      <x:c r="Q1507" s="1"/>
      <x:c r="R1507" s="1"/>
      <x:c r="S1507" s="1"/>
      <x:c r="T1507" s="1"/>
      <x:c r="U1507" s="1"/>
      <x:c r="V1507" s="1"/>
    </x:row>
    <x:row r="1508">
      <x:c r="A1508" s="1"/>
      <x:c r="B1508" s="1"/>
      <x:c r="C1508" s="1"/>
      <x:c r="D1508" s="1"/>
      <x:c r="E1508" s="1"/>
      <x:c r="F1508" s="1"/>
      <x:c r="G1508" s="1"/>
      <x:c r="H1508" s="1"/>
      <x:c r="I1508" s="1"/>
      <x:c r="J1508" s="1"/>
      <x:c r="K1508" s="1"/>
      <x:c r="L1508" s="1"/>
      <x:c r="M1508" s="1"/>
      <x:c r="N1508" s="1"/>
      <x:c r="O1508" s="1"/>
      <x:c r="P1508" s="1"/>
      <x:c r="Q1508" s="1"/>
      <x:c r="R1508" s="1"/>
      <x:c r="S1508" s="1"/>
      <x:c r="T1508" s="1"/>
      <x:c r="U1508" s="1"/>
      <x:c r="V1508" s="1"/>
    </x:row>
    <x:row r="1509">
      <x:c r="A1509" s="1"/>
      <x:c r="B1509" s="1"/>
      <x:c r="C1509" s="1"/>
      <x:c r="D1509" s="1"/>
      <x:c r="E1509" s="1"/>
      <x:c r="F1509" s="1"/>
      <x:c r="G1509" s="1"/>
      <x:c r="H1509" s="1"/>
      <x:c r="I1509" s="1"/>
      <x:c r="J1509" s="1"/>
      <x:c r="K1509" s="1"/>
      <x:c r="L1509" s="1"/>
      <x:c r="M1509" s="1"/>
      <x:c r="N1509" s="1"/>
      <x:c r="O1509" s="1"/>
      <x:c r="P1509" s="1"/>
      <x:c r="Q1509" s="1"/>
      <x:c r="R1509" s="1"/>
      <x:c r="S1509" s="1"/>
      <x:c r="T1509" s="1"/>
      <x:c r="U1509" s="1"/>
      <x:c r="V1509" s="1"/>
    </x:row>
    <x:row r="1510">
      <x:c r="A1510" s="1"/>
      <x:c r="B1510" s="1"/>
      <x:c r="C1510" s="1"/>
      <x:c r="D1510" s="1"/>
      <x:c r="E1510" s="1"/>
      <x:c r="F1510" s="1"/>
      <x:c r="G1510" s="1"/>
      <x:c r="H1510" s="1"/>
      <x:c r="I1510" s="1"/>
      <x:c r="J1510" s="1"/>
      <x:c r="K1510" s="1"/>
      <x:c r="L1510" s="1"/>
      <x:c r="M1510" s="1"/>
      <x:c r="N1510" s="1"/>
      <x:c r="O1510" s="1"/>
      <x:c r="P1510" s="1"/>
      <x:c r="Q1510" s="1"/>
      <x:c r="R1510" s="1"/>
      <x:c r="S1510" s="1"/>
      <x:c r="T1510" s="1"/>
      <x:c r="U1510" s="1"/>
      <x:c r="V1510" s="1"/>
    </x:row>
    <x:row r="1511">
      <x:c r="A1511" s="1"/>
      <x:c r="B1511" s="1"/>
      <x:c r="C1511" s="1"/>
      <x:c r="D1511" s="1"/>
      <x:c r="E1511" s="1"/>
      <x:c r="F1511" s="1"/>
      <x:c r="G1511" s="1"/>
      <x:c r="H1511" s="1"/>
      <x:c r="I1511" s="1"/>
      <x:c r="J1511" s="1"/>
      <x:c r="K1511" s="1"/>
      <x:c r="L1511" s="1"/>
      <x:c r="M1511" s="1"/>
      <x:c r="N1511" s="1"/>
      <x:c r="O1511" s="1"/>
      <x:c r="P1511" s="1"/>
      <x:c r="Q1511" s="1"/>
      <x:c r="R1511" s="1"/>
      <x:c r="S1511" s="1"/>
      <x:c r="T1511" s="1"/>
      <x:c r="U1511" s="1"/>
      <x:c r="V1511" s="1"/>
    </x:row>
    <x:row r="1512">
      <x:c r="A1512" s="1"/>
      <x:c r="B1512" s="1"/>
      <x:c r="C1512" s="1"/>
      <x:c r="D1512" s="1"/>
      <x:c r="E1512" s="1"/>
      <x:c r="F1512" s="1"/>
      <x:c r="G1512" s="1"/>
      <x:c r="H1512" s="1"/>
      <x:c r="I1512" s="1"/>
      <x:c r="J1512" s="1"/>
      <x:c r="K1512" s="1"/>
      <x:c r="L1512" s="1"/>
      <x:c r="M1512" s="1"/>
      <x:c r="N1512" s="1"/>
      <x:c r="O1512" s="1"/>
      <x:c r="P1512" s="1"/>
      <x:c r="Q1512" s="1"/>
      <x:c r="R1512" s="1"/>
      <x:c r="S1512" s="1"/>
      <x:c r="T1512" s="1"/>
      <x:c r="U1512" s="1"/>
      <x:c r="V1512" s="1"/>
    </x:row>
    <x:row r="1513">
      <x:c r="A1513" s="1"/>
      <x:c r="B1513" s="1"/>
      <x:c r="C1513" s="1"/>
      <x:c r="D1513" s="1"/>
      <x:c r="E1513" s="1"/>
      <x:c r="F1513" s="1"/>
      <x:c r="G1513" s="1"/>
      <x:c r="H1513" s="1"/>
      <x:c r="I1513" s="1"/>
      <x:c r="J1513" s="1"/>
      <x:c r="K1513" s="1"/>
      <x:c r="L1513" s="1"/>
      <x:c r="M1513" s="1"/>
      <x:c r="N1513" s="1"/>
      <x:c r="O1513" s="1"/>
      <x:c r="P1513" s="1"/>
      <x:c r="Q1513" s="1"/>
      <x:c r="R1513" s="1"/>
      <x:c r="S1513" s="1"/>
      <x:c r="T1513" s="1"/>
      <x:c r="U1513" s="1"/>
      <x:c r="V1513" s="1"/>
    </x:row>
    <x:row r="1514">
      <x:c r="A1514" s="1"/>
      <x:c r="B1514" s="1"/>
      <x:c r="C1514" s="1"/>
      <x:c r="D1514" s="1"/>
      <x:c r="E1514" s="1"/>
      <x:c r="F1514" s="1"/>
      <x:c r="G1514" s="1"/>
      <x:c r="H1514" s="1"/>
      <x:c r="I1514" s="1"/>
      <x:c r="J1514" s="1"/>
      <x:c r="K1514" s="1"/>
      <x:c r="L1514" s="1"/>
      <x:c r="M1514" s="1"/>
      <x:c r="N1514" s="1"/>
      <x:c r="O1514" s="1"/>
      <x:c r="P1514" s="1"/>
      <x:c r="Q1514" s="1"/>
      <x:c r="R1514" s="1"/>
      <x:c r="S1514" s="1"/>
      <x:c r="T1514" s="1"/>
      <x:c r="U1514" s="1"/>
      <x:c r="V1514" s="1"/>
    </x:row>
    <x:row r="1515">
      <x:c r="A1515" s="1"/>
      <x:c r="B1515" s="1"/>
      <x:c r="C1515" s="1"/>
      <x:c r="D1515" s="1"/>
      <x:c r="E1515" s="1"/>
      <x:c r="F1515" s="1"/>
      <x:c r="G1515" s="1"/>
      <x:c r="H1515" s="1"/>
      <x:c r="I1515" s="1"/>
      <x:c r="J1515" s="1"/>
      <x:c r="K1515" s="1"/>
      <x:c r="L1515" s="1"/>
      <x:c r="M1515" s="1"/>
      <x:c r="N1515" s="1"/>
      <x:c r="O1515" s="1"/>
      <x:c r="P1515" s="1"/>
      <x:c r="Q1515" s="1"/>
      <x:c r="R1515" s="1"/>
      <x:c r="S1515" s="1"/>
      <x:c r="T1515" s="1"/>
      <x:c r="U1515" s="1"/>
      <x:c r="V1515" s="1"/>
    </x:row>
    <x:row r="1516">
      <x:c r="A1516" s="1"/>
      <x:c r="B1516" s="1"/>
      <x:c r="C1516" s="1"/>
      <x:c r="D1516" s="1"/>
      <x:c r="E1516" s="1"/>
      <x:c r="F1516" s="1"/>
      <x:c r="G1516" s="1"/>
      <x:c r="H1516" s="1"/>
      <x:c r="I1516" s="1"/>
      <x:c r="J1516" s="1"/>
      <x:c r="K1516" s="1"/>
      <x:c r="L1516" s="1"/>
      <x:c r="M1516" s="1"/>
      <x:c r="N1516" s="1"/>
      <x:c r="O1516" s="1"/>
      <x:c r="P1516" s="1"/>
      <x:c r="Q1516" s="1"/>
      <x:c r="R1516" s="1"/>
      <x:c r="S1516" s="1"/>
      <x:c r="T1516" s="1"/>
      <x:c r="U1516" s="1"/>
      <x:c r="V1516" s="1"/>
    </x:row>
    <x:row r="1517">
      <x:c r="A1517" s="1"/>
      <x:c r="B1517" s="1"/>
      <x:c r="C1517" s="1"/>
      <x:c r="D1517" s="1"/>
      <x:c r="E1517" s="1"/>
      <x:c r="F1517" s="1"/>
      <x:c r="G1517" s="1"/>
      <x:c r="H1517" s="1"/>
      <x:c r="I1517" s="1"/>
      <x:c r="J1517" s="1"/>
      <x:c r="K1517" s="1"/>
      <x:c r="L1517" s="1"/>
      <x:c r="M1517" s="1"/>
      <x:c r="N1517" s="1"/>
      <x:c r="O1517" s="1"/>
      <x:c r="P1517" s="1"/>
      <x:c r="Q1517" s="1"/>
      <x:c r="R1517" s="1"/>
      <x:c r="S1517" s="1"/>
      <x:c r="T1517" s="1"/>
      <x:c r="U1517" s="1"/>
      <x:c r="V1517" s="1"/>
    </x:row>
    <x:row r="1518">
      <x:c r="A1518" s="1"/>
      <x:c r="B1518" s="1"/>
      <x:c r="C1518" s="1"/>
      <x:c r="D1518" s="1"/>
      <x:c r="E1518" s="1"/>
      <x:c r="F1518" s="1"/>
      <x:c r="G1518" s="1"/>
      <x:c r="H1518" s="1"/>
      <x:c r="I1518" s="1"/>
      <x:c r="J1518" s="1"/>
      <x:c r="K1518" s="1"/>
      <x:c r="L1518" s="1"/>
      <x:c r="M1518" s="1"/>
      <x:c r="N1518" s="1"/>
      <x:c r="O1518" s="1"/>
      <x:c r="P1518" s="1"/>
      <x:c r="Q1518" s="1"/>
      <x:c r="R1518" s="1"/>
      <x:c r="S1518" s="1"/>
      <x:c r="T1518" s="1"/>
      <x:c r="U1518" s="1"/>
      <x:c r="V1518" s="1"/>
    </x:row>
    <x:row r="1519">
      <x:c r="A1519" s="1"/>
      <x:c r="B1519" s="1"/>
      <x:c r="C1519" s="1"/>
      <x:c r="D1519" s="1"/>
      <x:c r="E1519" s="1"/>
      <x:c r="F1519" s="1"/>
      <x:c r="G1519" s="1"/>
      <x:c r="H1519" s="1"/>
      <x:c r="I1519" s="1"/>
      <x:c r="J1519" s="1"/>
      <x:c r="K1519" s="1"/>
      <x:c r="L1519" s="1"/>
      <x:c r="M1519" s="1"/>
      <x:c r="N1519" s="1"/>
      <x:c r="O1519" s="1"/>
      <x:c r="P1519" s="1"/>
      <x:c r="Q1519" s="1"/>
      <x:c r="R1519" s="1"/>
      <x:c r="S1519" s="1"/>
      <x:c r="T1519" s="1"/>
      <x:c r="U1519" s="1"/>
      <x:c r="V1519" s="1"/>
    </x:row>
    <x:row r="1520">
      <x:c r="A1520" s="1"/>
      <x:c r="B1520" s="1"/>
      <x:c r="C1520" s="1"/>
      <x:c r="D1520" s="1"/>
      <x:c r="E1520" s="1"/>
      <x:c r="F1520" s="1"/>
      <x:c r="G1520" s="1"/>
      <x:c r="H1520" s="1"/>
      <x:c r="I1520" s="1"/>
      <x:c r="J1520" s="1"/>
      <x:c r="K1520" s="1"/>
      <x:c r="L1520" s="1"/>
      <x:c r="M1520" s="1"/>
      <x:c r="N1520" s="1"/>
      <x:c r="O1520" s="1"/>
      <x:c r="P1520" s="1"/>
      <x:c r="Q1520" s="1"/>
      <x:c r="R1520" s="1"/>
      <x:c r="S1520" s="1"/>
      <x:c r="T1520" s="1"/>
      <x:c r="U1520" s="1"/>
      <x:c r="V1520" s="1"/>
    </x:row>
    <x:row r="1521">
      <x:c r="A1521" s="1"/>
      <x:c r="B1521" s="1"/>
      <x:c r="C1521" s="1"/>
      <x:c r="D1521" s="1"/>
      <x:c r="E1521" s="1"/>
      <x:c r="F1521" s="1"/>
      <x:c r="G1521" s="1"/>
      <x:c r="H1521" s="1"/>
      <x:c r="I1521" s="1"/>
      <x:c r="J1521" s="1"/>
      <x:c r="K1521" s="1"/>
      <x:c r="L1521" s="1"/>
      <x:c r="M1521" s="1"/>
      <x:c r="N1521" s="1"/>
      <x:c r="O1521" s="1"/>
      <x:c r="P1521" s="1"/>
      <x:c r="Q1521" s="1"/>
      <x:c r="R1521" s="1"/>
      <x:c r="S1521" s="1"/>
      <x:c r="T1521" s="1"/>
      <x:c r="U1521" s="1"/>
      <x:c r="V1521" s="1"/>
    </x:row>
    <x:row r="1522">
      <x:c r="A1522" s="1"/>
      <x:c r="B1522" s="1"/>
      <x:c r="C1522" s="1"/>
      <x:c r="D1522" s="1"/>
      <x:c r="E1522" s="1"/>
      <x:c r="F1522" s="1"/>
      <x:c r="G1522" s="1"/>
      <x:c r="H1522" s="1"/>
      <x:c r="I1522" s="1"/>
      <x:c r="J1522" s="1"/>
      <x:c r="K1522" s="1"/>
      <x:c r="L1522" s="1"/>
      <x:c r="M1522" s="1"/>
      <x:c r="N1522" s="1"/>
      <x:c r="O1522" s="1"/>
      <x:c r="P1522" s="1"/>
      <x:c r="Q1522" s="1"/>
      <x:c r="R1522" s="1"/>
      <x:c r="S1522" s="1"/>
      <x:c r="T1522" s="1"/>
      <x:c r="U1522" s="1"/>
      <x:c r="V1522" s="1"/>
    </x:row>
    <x:row r="1523">
      <x:c r="A1523" s="1"/>
      <x:c r="B1523" s="1"/>
      <x:c r="C1523" s="1"/>
      <x:c r="D1523" s="1"/>
      <x:c r="E1523" s="1"/>
      <x:c r="F1523" s="1"/>
      <x:c r="G1523" s="1"/>
      <x:c r="H1523" s="1"/>
      <x:c r="I1523" s="1"/>
      <x:c r="J1523" s="1"/>
      <x:c r="K1523" s="1"/>
      <x:c r="L1523" s="1"/>
      <x:c r="M1523" s="1"/>
      <x:c r="N1523" s="1"/>
      <x:c r="O1523" s="1"/>
      <x:c r="P1523" s="1"/>
      <x:c r="Q1523" s="1"/>
      <x:c r="R1523" s="1"/>
      <x:c r="S1523" s="1"/>
      <x:c r="T1523" s="1"/>
      <x:c r="U1523" s="1"/>
      <x:c r="V1523" s="1"/>
    </x:row>
    <x:row r="1524">
      <x:c r="A1524" s="1"/>
      <x:c r="B1524" s="1"/>
      <x:c r="C1524" s="1"/>
      <x:c r="D1524" s="1"/>
      <x:c r="E1524" s="1"/>
      <x:c r="F1524" s="1"/>
      <x:c r="G1524" s="1"/>
      <x:c r="H1524" s="1"/>
      <x:c r="I1524" s="1"/>
      <x:c r="J1524" s="1"/>
      <x:c r="K1524" s="1"/>
      <x:c r="L1524" s="1"/>
      <x:c r="M1524" s="1"/>
      <x:c r="N1524" s="1"/>
      <x:c r="O1524" s="1"/>
      <x:c r="P1524" s="1"/>
      <x:c r="Q1524" s="1"/>
      <x:c r="R1524" s="1"/>
      <x:c r="S1524" s="1"/>
      <x:c r="T1524" s="1"/>
      <x:c r="U1524" s="1"/>
      <x:c r="V1524" s="1"/>
    </x:row>
    <x:row r="1525">
      <x:c r="A1525" s="1"/>
      <x:c r="B1525" s="1"/>
      <x:c r="C1525" s="1"/>
      <x:c r="D1525" s="1"/>
      <x:c r="E1525" s="1"/>
      <x:c r="F1525" s="1"/>
      <x:c r="G1525" s="1"/>
      <x:c r="H1525" s="1"/>
      <x:c r="I1525" s="1"/>
      <x:c r="J1525" s="1"/>
      <x:c r="K1525" s="1"/>
      <x:c r="L1525" s="1"/>
      <x:c r="M1525" s="1"/>
      <x:c r="N1525" s="1"/>
      <x:c r="O1525" s="1"/>
      <x:c r="P1525" s="1"/>
      <x:c r="Q1525" s="1"/>
      <x:c r="R1525" s="1"/>
      <x:c r="S1525" s="1"/>
      <x:c r="T1525" s="1"/>
      <x:c r="U1525" s="1"/>
      <x:c r="V1525" s="1"/>
    </x:row>
    <x:row r="1526">
      <x:c r="A1526" s="1"/>
      <x:c r="B1526" s="1"/>
      <x:c r="C1526" s="1"/>
      <x:c r="D1526" s="1"/>
      <x:c r="E1526" s="1"/>
      <x:c r="F1526" s="1"/>
      <x:c r="G1526" s="1"/>
      <x:c r="H1526" s="1"/>
      <x:c r="I1526" s="1"/>
      <x:c r="J1526" s="1"/>
      <x:c r="K1526" s="1"/>
      <x:c r="L1526" s="1"/>
      <x:c r="M1526" s="1"/>
      <x:c r="N1526" s="1"/>
      <x:c r="O1526" s="1"/>
      <x:c r="P1526" s="1"/>
      <x:c r="Q1526" s="1"/>
      <x:c r="R1526" s="1"/>
      <x:c r="S1526" s="1"/>
      <x:c r="T1526" s="1"/>
      <x:c r="U1526" s="1"/>
      <x:c r="V1526" s="1"/>
    </x:row>
    <x:row r="1527">
      <x:c r="A1527" s="1"/>
      <x:c r="B1527" s="1"/>
      <x:c r="C1527" s="1"/>
      <x:c r="D1527" s="1"/>
      <x:c r="E1527" s="1"/>
      <x:c r="F1527" s="1"/>
      <x:c r="G1527" s="1"/>
      <x:c r="H1527" s="1"/>
      <x:c r="I1527" s="1"/>
      <x:c r="J1527" s="1"/>
      <x:c r="K1527" s="1"/>
      <x:c r="L1527" s="1"/>
      <x:c r="M1527" s="1"/>
      <x:c r="N1527" s="1"/>
      <x:c r="O1527" s="1"/>
      <x:c r="P1527" s="1"/>
      <x:c r="Q1527" s="1"/>
      <x:c r="R1527" s="1"/>
      <x:c r="S1527" s="1"/>
      <x:c r="T1527" s="1"/>
      <x:c r="U1527" s="1"/>
      <x:c r="V1527" s="1"/>
    </x:row>
    <x:row r="1528">
      <x:c r="A1528" s="1"/>
      <x:c r="B1528" s="1"/>
      <x:c r="C1528" s="1"/>
      <x:c r="D1528" s="1"/>
      <x:c r="E1528" s="1"/>
      <x:c r="F1528" s="1"/>
      <x:c r="G1528" s="1"/>
      <x:c r="H1528" s="1"/>
      <x:c r="I1528" s="1"/>
      <x:c r="J1528" s="1"/>
      <x:c r="K1528" s="1"/>
      <x:c r="L1528" s="1"/>
      <x:c r="M1528" s="1"/>
      <x:c r="N1528" s="1"/>
      <x:c r="O1528" s="1"/>
      <x:c r="P1528" s="1"/>
      <x:c r="Q1528" s="1"/>
      <x:c r="R1528" s="1"/>
      <x:c r="S1528" s="1"/>
      <x:c r="T1528" s="1"/>
      <x:c r="U1528" s="1"/>
      <x:c r="V1528" s="1"/>
    </x:row>
    <x:row r="1529">
      <x:c r="A1529" s="1"/>
      <x:c r="B1529" s="1"/>
      <x:c r="C1529" s="1"/>
      <x:c r="D1529" s="1"/>
      <x:c r="E1529" s="1"/>
      <x:c r="F1529" s="1"/>
      <x:c r="G1529" s="1"/>
      <x:c r="H1529" s="1"/>
      <x:c r="I1529" s="1"/>
      <x:c r="J1529" s="1"/>
      <x:c r="K1529" s="1"/>
      <x:c r="L1529" s="1"/>
      <x:c r="M1529" s="1"/>
      <x:c r="N1529" s="1"/>
      <x:c r="O1529" s="1"/>
      <x:c r="P1529" s="1"/>
      <x:c r="Q1529" s="1"/>
      <x:c r="R1529" s="1"/>
      <x:c r="S1529" s="1"/>
      <x:c r="T1529" s="1"/>
      <x:c r="U1529" s="1"/>
      <x:c r="V1529" s="1"/>
    </x:row>
    <x:row r="1530">
      <x:c r="A1530" s="1"/>
      <x:c r="B1530" s="1"/>
      <x:c r="C1530" s="1"/>
      <x:c r="D1530" s="1"/>
      <x:c r="E1530" s="1"/>
      <x:c r="F1530" s="1"/>
      <x:c r="G1530" s="1"/>
      <x:c r="H1530" s="1"/>
      <x:c r="I1530" s="1"/>
      <x:c r="J1530" s="1"/>
      <x:c r="K1530" s="1"/>
      <x:c r="L1530" s="1"/>
      <x:c r="M1530" s="1"/>
      <x:c r="N1530" s="1"/>
      <x:c r="O1530" s="1"/>
      <x:c r="P1530" s="1"/>
      <x:c r="Q1530" s="1"/>
      <x:c r="R1530" s="1"/>
      <x:c r="S1530" s="1"/>
      <x:c r="T1530" s="1"/>
      <x:c r="U1530" s="1"/>
      <x:c r="V1530" s="1"/>
    </x:row>
    <x:row r="1531">
      <x:c r="A1531" s="1"/>
      <x:c r="B1531" s="1"/>
      <x:c r="C1531" s="1"/>
      <x:c r="D1531" s="1"/>
      <x:c r="E1531" s="1"/>
      <x:c r="F1531" s="1"/>
      <x:c r="G1531" s="1"/>
      <x:c r="H1531" s="1"/>
      <x:c r="I1531" s="1"/>
      <x:c r="J1531" s="1"/>
      <x:c r="K1531" s="1"/>
      <x:c r="L1531" s="1"/>
      <x:c r="M1531" s="1"/>
      <x:c r="N1531" s="1"/>
      <x:c r="O1531" s="1"/>
      <x:c r="P1531" s="1"/>
      <x:c r="Q1531" s="1"/>
      <x:c r="R1531" s="1"/>
      <x:c r="S1531" s="1"/>
      <x:c r="T1531" s="1"/>
      <x:c r="U1531" s="1"/>
      <x:c r="V1531" s="1"/>
    </x:row>
    <x:row r="1532">
      <x:c r="A1532" s="1"/>
      <x:c r="B1532" s="1"/>
      <x:c r="C1532" s="1"/>
      <x:c r="D1532" s="1"/>
      <x:c r="E1532" s="1"/>
      <x:c r="F1532" s="1"/>
      <x:c r="G1532" s="1"/>
      <x:c r="H1532" s="1"/>
      <x:c r="I1532" s="1"/>
      <x:c r="J1532" s="1"/>
      <x:c r="K1532" s="1"/>
      <x:c r="L1532" s="1"/>
      <x:c r="M1532" s="1"/>
      <x:c r="N1532" s="1"/>
      <x:c r="O1532" s="1"/>
      <x:c r="P1532" s="1"/>
      <x:c r="Q1532" s="1"/>
      <x:c r="R1532" s="1"/>
      <x:c r="S1532" s="1"/>
      <x:c r="T1532" s="1"/>
      <x:c r="U1532" s="1"/>
      <x:c r="V1532" s="1"/>
    </x:row>
    <x:row r="1533">
      <x:c r="A1533" s="1"/>
      <x:c r="B1533" s="1"/>
      <x:c r="C1533" s="1"/>
      <x:c r="D1533" s="1"/>
      <x:c r="E1533" s="1"/>
      <x:c r="F1533" s="1"/>
      <x:c r="G1533" s="1"/>
      <x:c r="H1533" s="1"/>
      <x:c r="I1533" s="1"/>
      <x:c r="J1533" s="1"/>
      <x:c r="K1533" s="1"/>
      <x:c r="L1533" s="1"/>
      <x:c r="M1533" s="1"/>
      <x:c r="N1533" s="1"/>
      <x:c r="O1533" s="1"/>
      <x:c r="P1533" s="1"/>
      <x:c r="Q1533" s="1"/>
      <x:c r="R1533" s="1"/>
      <x:c r="S1533" s="1"/>
      <x:c r="T1533" s="1"/>
      <x:c r="U1533" s="1"/>
      <x:c r="V1533" s="1"/>
    </x:row>
    <x:row r="1534">
      <x:c r="A1534" s="1"/>
      <x:c r="B1534" s="1"/>
      <x:c r="C1534" s="1"/>
      <x:c r="D1534" s="1"/>
      <x:c r="E1534" s="1"/>
      <x:c r="F1534" s="1"/>
      <x:c r="G1534" s="1"/>
      <x:c r="H1534" s="1"/>
      <x:c r="I1534" s="1"/>
      <x:c r="J1534" s="1"/>
      <x:c r="K1534" s="1"/>
      <x:c r="L1534" s="1"/>
      <x:c r="M1534" s="1"/>
      <x:c r="N1534" s="1"/>
      <x:c r="O1534" s="1"/>
      <x:c r="P1534" s="1"/>
      <x:c r="Q1534" s="1"/>
      <x:c r="R1534" s="1"/>
      <x:c r="S1534" s="1"/>
      <x:c r="T1534" s="1"/>
      <x:c r="U1534" s="1"/>
      <x:c r="V1534" s="1"/>
    </x:row>
    <x:row r="1535">
      <x:c r="A1535" s="1"/>
      <x:c r="B1535" s="1"/>
      <x:c r="C1535" s="1"/>
      <x:c r="D1535" s="1"/>
      <x:c r="E1535" s="1"/>
      <x:c r="F1535" s="1"/>
      <x:c r="G1535" s="1"/>
      <x:c r="H1535" s="1"/>
      <x:c r="I1535" s="1"/>
      <x:c r="J1535" s="1"/>
      <x:c r="K1535" s="1"/>
      <x:c r="L1535" s="1"/>
      <x:c r="M1535" s="1"/>
      <x:c r="N1535" s="1"/>
      <x:c r="O1535" s="1"/>
      <x:c r="P1535" s="1"/>
      <x:c r="Q1535" s="1"/>
      <x:c r="R1535" s="1"/>
      <x:c r="S1535" s="1"/>
      <x:c r="T1535" s="1"/>
      <x:c r="U1535" s="1"/>
      <x:c r="V1535" s="1"/>
    </x:row>
    <x:row r="1536">
      <x:c r="A1536" s="1"/>
      <x:c r="B1536" s="1"/>
      <x:c r="C1536" s="1"/>
      <x:c r="D1536" s="1"/>
      <x:c r="E1536" s="1"/>
      <x:c r="F1536" s="1"/>
      <x:c r="G1536" s="1"/>
      <x:c r="H1536" s="1"/>
      <x:c r="I1536" s="1"/>
      <x:c r="J1536" s="1"/>
      <x:c r="K1536" s="1"/>
      <x:c r="L1536" s="1"/>
      <x:c r="M1536" s="1"/>
      <x:c r="N1536" s="1"/>
      <x:c r="O1536" s="1"/>
      <x:c r="P1536" s="1"/>
      <x:c r="Q1536" s="1"/>
      <x:c r="R1536" s="1"/>
      <x:c r="S1536" s="1"/>
      <x:c r="T1536" s="1"/>
      <x:c r="U1536" s="1"/>
      <x:c r="V1536" s="1"/>
    </x:row>
    <x:row r="1537">
      <x:c r="A1537" s="1"/>
      <x:c r="B1537" s="1"/>
      <x:c r="C1537" s="1"/>
      <x:c r="D1537" s="1"/>
      <x:c r="E1537" s="1"/>
      <x:c r="F1537" s="1"/>
      <x:c r="G1537" s="1"/>
      <x:c r="H1537" s="1"/>
      <x:c r="I1537" s="1"/>
      <x:c r="J1537" s="1"/>
      <x:c r="K1537" s="1"/>
      <x:c r="L1537" s="1"/>
      <x:c r="M1537" s="1"/>
      <x:c r="N1537" s="1"/>
      <x:c r="O1537" s="1"/>
      <x:c r="P1537" s="1"/>
      <x:c r="Q1537" s="1"/>
      <x:c r="R1537" s="1"/>
      <x:c r="S1537" s="1"/>
      <x:c r="T1537" s="1"/>
      <x:c r="U1537" s="1"/>
      <x:c r="V1537" s="1"/>
    </x:row>
    <x:row r="1538">
      <x:c r="A1538" s="1"/>
      <x:c r="B1538" s="1"/>
      <x:c r="C1538" s="1"/>
      <x:c r="D1538" s="1"/>
      <x:c r="E1538" s="1"/>
      <x:c r="F1538" s="1"/>
      <x:c r="G1538" s="1"/>
      <x:c r="H1538" s="1"/>
      <x:c r="I1538" s="1"/>
      <x:c r="J1538" s="1"/>
      <x:c r="K1538" s="1"/>
      <x:c r="L1538" s="1"/>
      <x:c r="M1538" s="1"/>
      <x:c r="N1538" s="1"/>
      <x:c r="O1538" s="1"/>
      <x:c r="P1538" s="1"/>
      <x:c r="Q1538" s="1"/>
      <x:c r="R1538" s="1"/>
      <x:c r="S1538" s="1"/>
      <x:c r="T1538" s="1"/>
      <x:c r="U1538" s="1"/>
      <x:c r="V1538" s="1"/>
    </x:row>
    <x:row r="1539">
      <x:c r="A1539" s="1"/>
      <x:c r="B1539" s="1"/>
      <x:c r="C1539" s="1"/>
      <x:c r="D1539" s="1"/>
      <x:c r="E1539" s="1"/>
      <x:c r="F1539" s="1"/>
      <x:c r="G1539" s="1"/>
      <x:c r="H1539" s="1"/>
      <x:c r="I1539" s="1"/>
      <x:c r="J1539" s="1"/>
      <x:c r="K1539" s="1"/>
      <x:c r="L1539" s="1"/>
      <x:c r="M1539" s="1"/>
      <x:c r="N1539" s="1"/>
      <x:c r="O1539" s="1"/>
      <x:c r="P1539" s="1"/>
      <x:c r="Q1539" s="1"/>
      <x:c r="R1539" s="1"/>
      <x:c r="S1539" s="1"/>
      <x:c r="T1539" s="1"/>
      <x:c r="U1539" s="1"/>
      <x:c r="V1539" s="1"/>
    </x:row>
    <x:row r="1540">
      <x:c r="A1540" s="1"/>
      <x:c r="B1540" s="1"/>
      <x:c r="C1540" s="1"/>
      <x:c r="D1540" s="1"/>
      <x:c r="E1540" s="1"/>
      <x:c r="F1540" s="1"/>
      <x:c r="G1540" s="1"/>
      <x:c r="H1540" s="1"/>
      <x:c r="I1540" s="1"/>
      <x:c r="J1540" s="1"/>
      <x:c r="K1540" s="1"/>
      <x:c r="L1540" s="1"/>
      <x:c r="M1540" s="1"/>
      <x:c r="N1540" s="1"/>
      <x:c r="O1540" s="1"/>
      <x:c r="P1540" s="1"/>
      <x:c r="Q1540" s="1"/>
      <x:c r="R1540" s="1"/>
      <x:c r="S1540" s="1"/>
      <x:c r="T1540" s="1"/>
      <x:c r="U1540" s="1"/>
      <x:c r="V1540" s="1"/>
    </x:row>
    <x:row r="1541">
      <x:c r="A1541" s="1"/>
      <x:c r="B1541" s="1"/>
      <x:c r="C1541" s="1"/>
      <x:c r="D1541" s="1"/>
      <x:c r="E1541" s="1"/>
      <x:c r="F1541" s="1"/>
      <x:c r="G1541" s="1"/>
      <x:c r="H1541" s="1"/>
      <x:c r="I1541" s="1"/>
      <x:c r="J1541" s="1"/>
      <x:c r="K1541" s="1"/>
      <x:c r="L1541" s="1"/>
      <x:c r="M1541" s="1"/>
      <x:c r="N1541" s="1"/>
      <x:c r="O1541" s="1"/>
      <x:c r="P1541" s="1"/>
      <x:c r="Q1541" s="1"/>
      <x:c r="R1541" s="1"/>
      <x:c r="S1541" s="1"/>
      <x:c r="T1541" s="1"/>
      <x:c r="U1541" s="1"/>
      <x:c r="V1541" s="1"/>
    </x:row>
    <x:row r="1542">
      <x:c r="A1542" s="1"/>
      <x:c r="B1542" s="1"/>
      <x:c r="C1542" s="1"/>
      <x:c r="D1542" s="1"/>
      <x:c r="E1542" s="1"/>
      <x:c r="F1542" s="1"/>
      <x:c r="G1542" s="1"/>
      <x:c r="H1542" s="1"/>
      <x:c r="I1542" s="1"/>
      <x:c r="J1542" s="1"/>
      <x:c r="K1542" s="1"/>
      <x:c r="L1542" s="1"/>
      <x:c r="M1542" s="1"/>
      <x:c r="N1542" s="1"/>
      <x:c r="O1542" s="1"/>
      <x:c r="P1542" s="1"/>
      <x:c r="Q1542" s="1"/>
      <x:c r="R1542" s="1"/>
      <x:c r="S1542" s="1"/>
      <x:c r="T1542" s="1"/>
      <x:c r="U1542" s="1"/>
      <x:c r="V1542" s="1"/>
    </x:row>
    <x:row r="1543">
      <x:c r="A1543" s="1"/>
      <x:c r="B1543" s="1"/>
      <x:c r="C1543" s="1"/>
      <x:c r="D1543" s="1"/>
      <x:c r="E1543" s="1"/>
      <x:c r="F1543" s="1"/>
      <x:c r="G1543" s="1"/>
      <x:c r="H1543" s="1"/>
      <x:c r="I1543" s="1"/>
      <x:c r="J1543" s="1"/>
      <x:c r="K1543" s="1"/>
      <x:c r="L1543" s="1"/>
      <x:c r="M1543" s="1"/>
      <x:c r="N1543" s="1"/>
      <x:c r="O1543" s="1"/>
      <x:c r="P1543" s="1"/>
      <x:c r="Q1543" s="1"/>
      <x:c r="R1543" s="1"/>
      <x:c r="S1543" s="1"/>
      <x:c r="T1543" s="1"/>
      <x:c r="U1543" s="1"/>
      <x:c r="V1543" s="1"/>
    </x:row>
    <x:row r="1544">
      <x:c r="A1544" s="1"/>
      <x:c r="B1544" s="1"/>
      <x:c r="C1544" s="1"/>
      <x:c r="D1544" s="1"/>
      <x:c r="E1544" s="1"/>
      <x:c r="F1544" s="1"/>
      <x:c r="G1544" s="1"/>
      <x:c r="H1544" s="1"/>
      <x:c r="I1544" s="1"/>
      <x:c r="J1544" s="1"/>
      <x:c r="K1544" s="1"/>
      <x:c r="L1544" s="1"/>
      <x:c r="M1544" s="1"/>
      <x:c r="N1544" s="1"/>
      <x:c r="O1544" s="1"/>
      <x:c r="P1544" s="1"/>
      <x:c r="Q1544" s="1"/>
      <x:c r="R1544" s="1"/>
      <x:c r="S1544" s="1"/>
      <x:c r="T1544" s="1"/>
      <x:c r="U1544" s="1"/>
      <x:c r="V1544" s="1"/>
    </x:row>
    <x:row r="1545">
      <x:c r="A1545" s="1"/>
      <x:c r="B1545" s="1"/>
      <x:c r="C1545" s="1"/>
      <x:c r="D1545" s="1"/>
      <x:c r="E1545" s="1"/>
      <x:c r="F1545" s="1"/>
      <x:c r="G1545" s="1"/>
      <x:c r="H1545" s="1"/>
      <x:c r="I1545" s="1"/>
      <x:c r="J1545" s="1"/>
      <x:c r="K1545" s="1"/>
      <x:c r="L1545" s="1"/>
      <x:c r="M1545" s="1"/>
      <x:c r="N1545" s="1"/>
      <x:c r="O1545" s="1"/>
      <x:c r="P1545" s="1"/>
      <x:c r="Q1545" s="1"/>
      <x:c r="R1545" s="1"/>
      <x:c r="S1545" s="1"/>
      <x:c r="T1545" s="1"/>
      <x:c r="U1545" s="1"/>
      <x:c r="V1545" s="1"/>
    </x:row>
    <x:row r="1546">
      <x:c r="A1546" s="1"/>
      <x:c r="B1546" s="1"/>
      <x:c r="C1546" s="1"/>
      <x:c r="D1546" s="1"/>
      <x:c r="E1546" s="1"/>
      <x:c r="F1546" s="1"/>
      <x:c r="G1546" s="1"/>
      <x:c r="H1546" s="1"/>
      <x:c r="I1546" s="1"/>
      <x:c r="J1546" s="1"/>
      <x:c r="K1546" s="1"/>
      <x:c r="L1546" s="1"/>
      <x:c r="M1546" s="1"/>
      <x:c r="N1546" s="1"/>
      <x:c r="O1546" s="1"/>
      <x:c r="P1546" s="1"/>
      <x:c r="Q1546" s="1"/>
      <x:c r="R1546" s="1"/>
      <x:c r="S1546" s="1"/>
      <x:c r="T1546" s="1"/>
      <x:c r="U1546" s="1"/>
      <x:c r="V1546" s="1"/>
    </x:row>
    <x:row r="1547">
      <x:c r="A1547" s="1"/>
      <x:c r="B1547" s="1"/>
      <x:c r="C1547" s="1"/>
      <x:c r="D1547" s="1"/>
      <x:c r="E1547" s="1"/>
      <x:c r="F1547" s="1"/>
      <x:c r="G1547" s="1"/>
      <x:c r="H1547" s="1"/>
      <x:c r="I1547" s="1"/>
      <x:c r="J1547" s="1"/>
      <x:c r="K1547" s="1"/>
      <x:c r="L1547" s="1"/>
      <x:c r="M1547" s="1"/>
      <x:c r="N1547" s="1"/>
      <x:c r="O1547" s="1"/>
      <x:c r="P1547" s="1"/>
      <x:c r="Q1547" s="1"/>
      <x:c r="R1547" s="1"/>
      <x:c r="S1547" s="1"/>
      <x:c r="T1547" s="1"/>
      <x:c r="U1547" s="1"/>
      <x:c r="V1547" s="1"/>
    </x:row>
    <x:row r="1548">
      <x:c r="A1548" s="1"/>
      <x:c r="B1548" s="1"/>
      <x:c r="C1548" s="1"/>
      <x:c r="D1548" s="1"/>
      <x:c r="E1548" s="1"/>
      <x:c r="F1548" s="1"/>
      <x:c r="G1548" s="1"/>
      <x:c r="H1548" s="1"/>
      <x:c r="I1548" s="1"/>
      <x:c r="J1548" s="1"/>
      <x:c r="K1548" s="1"/>
      <x:c r="L1548" s="1"/>
      <x:c r="M1548" s="1"/>
      <x:c r="N1548" s="1"/>
      <x:c r="O1548" s="1"/>
      <x:c r="P1548" s="1"/>
      <x:c r="Q1548" s="1"/>
      <x:c r="R1548" s="1"/>
      <x:c r="S1548" s="1"/>
      <x:c r="T1548" s="1"/>
      <x:c r="U1548" s="1"/>
      <x:c r="V1548" s="1"/>
    </x:row>
    <x:row r="1549">
      <x:c r="A1549" s="1"/>
      <x:c r="B1549" s="1"/>
      <x:c r="C1549" s="1"/>
      <x:c r="D1549" s="1"/>
      <x:c r="E1549" s="1"/>
      <x:c r="F1549" s="1"/>
      <x:c r="G1549" s="1"/>
      <x:c r="H1549" s="1"/>
      <x:c r="I1549" s="1"/>
      <x:c r="J1549" s="1"/>
      <x:c r="K1549" s="1"/>
      <x:c r="L1549" s="1"/>
      <x:c r="M1549" s="1"/>
      <x:c r="N1549" s="1"/>
      <x:c r="O1549" s="1"/>
      <x:c r="P1549" s="1"/>
      <x:c r="Q1549" s="1"/>
      <x:c r="R1549" s="1"/>
      <x:c r="S1549" s="1"/>
      <x:c r="T1549" s="1"/>
      <x:c r="U1549" s="1"/>
      <x:c r="V1549" s="1"/>
    </x:row>
    <x:row r="1550">
      <x:c r="A1550" s="1"/>
      <x:c r="B1550" s="1"/>
      <x:c r="C1550" s="1"/>
      <x:c r="D1550" s="1"/>
      <x:c r="E1550" s="1"/>
      <x:c r="F1550" s="1"/>
      <x:c r="G1550" s="1"/>
      <x:c r="H1550" s="1"/>
      <x:c r="I1550" s="1"/>
      <x:c r="J1550" s="1"/>
      <x:c r="K1550" s="1"/>
      <x:c r="L1550" s="1"/>
      <x:c r="M1550" s="1"/>
      <x:c r="N1550" s="1"/>
      <x:c r="O1550" s="1"/>
      <x:c r="P1550" s="1"/>
      <x:c r="Q1550" s="1"/>
      <x:c r="R1550" s="1"/>
      <x:c r="S1550" s="1"/>
      <x:c r="T1550" s="1"/>
      <x:c r="U1550" s="1"/>
      <x:c r="V1550" s="1"/>
    </x:row>
    <x:row r="1551">
      <x:c r="A1551" s="1"/>
      <x:c r="B1551" s="1"/>
      <x:c r="C1551" s="1"/>
      <x:c r="D1551" s="1"/>
      <x:c r="E1551" s="1"/>
      <x:c r="F1551" s="1"/>
      <x:c r="G1551" s="1"/>
      <x:c r="H1551" s="1"/>
      <x:c r="I1551" s="1"/>
      <x:c r="J1551" s="1"/>
      <x:c r="K1551" s="1"/>
      <x:c r="L1551" s="1"/>
      <x:c r="M1551" s="1"/>
      <x:c r="N1551" s="1"/>
      <x:c r="O1551" s="1"/>
      <x:c r="P1551" s="1"/>
      <x:c r="Q1551" s="1"/>
      <x:c r="R1551" s="1"/>
      <x:c r="S1551" s="1"/>
      <x:c r="T1551" s="1"/>
      <x:c r="U1551" s="1"/>
      <x:c r="V1551" s="1"/>
    </x:row>
    <x:row r="1552">
      <x:c r="A1552" s="1"/>
      <x:c r="B1552" s="1"/>
      <x:c r="C1552" s="1"/>
      <x:c r="D1552" s="1"/>
      <x:c r="E1552" s="1"/>
      <x:c r="F1552" s="1"/>
      <x:c r="G1552" s="1"/>
      <x:c r="H1552" s="1"/>
      <x:c r="I1552" s="1"/>
      <x:c r="J1552" s="1"/>
      <x:c r="K1552" s="1"/>
      <x:c r="L1552" s="1"/>
      <x:c r="M1552" s="1"/>
      <x:c r="N1552" s="1"/>
      <x:c r="O1552" s="1"/>
      <x:c r="P1552" s="1"/>
      <x:c r="Q1552" s="1"/>
      <x:c r="R1552" s="1"/>
      <x:c r="S1552" s="1"/>
      <x:c r="T1552" s="1"/>
      <x:c r="U1552" s="1"/>
      <x:c r="V1552" s="1"/>
    </x:row>
    <x:row r="1553">
      <x:c r="A1553" s="1"/>
      <x:c r="B1553" s="1"/>
      <x:c r="C1553" s="1"/>
      <x:c r="D1553" s="1"/>
      <x:c r="E1553" s="1"/>
      <x:c r="F1553" s="1"/>
      <x:c r="G1553" s="1"/>
      <x:c r="H1553" s="1"/>
      <x:c r="I1553" s="1"/>
      <x:c r="J1553" s="1"/>
      <x:c r="K1553" s="1"/>
      <x:c r="L1553" s="1"/>
      <x:c r="M1553" s="1"/>
      <x:c r="N1553" s="1"/>
      <x:c r="O1553" s="1"/>
      <x:c r="P1553" s="1"/>
      <x:c r="Q1553" s="1"/>
      <x:c r="R1553" s="1"/>
      <x:c r="S1553" s="1"/>
      <x:c r="T1553" s="1"/>
      <x:c r="U1553" s="1"/>
      <x:c r="V1553" s="1"/>
    </x:row>
    <x:row r="1554">
      <x:c r="A1554" s="1"/>
      <x:c r="B1554" s="1"/>
      <x:c r="C1554" s="1"/>
      <x:c r="D1554" s="1"/>
      <x:c r="E1554" s="1"/>
      <x:c r="F1554" s="1"/>
      <x:c r="G1554" s="1"/>
      <x:c r="H1554" s="1"/>
      <x:c r="I1554" s="1"/>
      <x:c r="J1554" s="1"/>
      <x:c r="K1554" s="1"/>
      <x:c r="L1554" s="1"/>
      <x:c r="M1554" s="1"/>
      <x:c r="N1554" s="1"/>
      <x:c r="O1554" s="1"/>
      <x:c r="P1554" s="1"/>
      <x:c r="Q1554" s="1"/>
      <x:c r="R1554" s="1"/>
      <x:c r="S1554" s="1"/>
      <x:c r="T1554" s="1"/>
      <x:c r="U1554" s="1"/>
      <x:c r="V1554" s="1"/>
    </x:row>
    <x:row r="1555">
      <x:c r="A1555" s="1"/>
      <x:c r="B1555" s="1"/>
      <x:c r="C1555" s="1"/>
      <x:c r="D1555" s="1"/>
      <x:c r="E1555" s="1"/>
      <x:c r="F1555" s="1"/>
      <x:c r="G1555" s="1"/>
      <x:c r="H1555" s="1"/>
      <x:c r="I1555" s="1"/>
      <x:c r="J1555" s="1"/>
      <x:c r="K1555" s="1"/>
      <x:c r="L1555" s="1"/>
      <x:c r="M1555" s="1"/>
      <x:c r="N1555" s="1"/>
      <x:c r="O1555" s="1"/>
      <x:c r="P1555" s="1"/>
      <x:c r="Q1555" s="1"/>
      <x:c r="R1555" s="1"/>
      <x:c r="S1555" s="1"/>
      <x:c r="T1555" s="1"/>
      <x:c r="U1555" s="1"/>
      <x:c r="V1555" s="1"/>
    </x:row>
    <x:row r="1556">
      <x:c r="A1556" s="1"/>
      <x:c r="B1556" s="1"/>
      <x:c r="C1556" s="1"/>
      <x:c r="D1556" s="1"/>
      <x:c r="E1556" s="1"/>
      <x:c r="F1556" s="1"/>
      <x:c r="G1556" s="1"/>
      <x:c r="H1556" s="1"/>
      <x:c r="I1556" s="1"/>
      <x:c r="J1556" s="1"/>
      <x:c r="K1556" s="1"/>
      <x:c r="L1556" s="1"/>
      <x:c r="M1556" s="1"/>
      <x:c r="N1556" s="1"/>
      <x:c r="O1556" s="1"/>
      <x:c r="P1556" s="1"/>
      <x:c r="Q1556" s="1"/>
      <x:c r="R1556" s="1"/>
      <x:c r="S1556" s="1"/>
      <x:c r="T1556" s="1"/>
      <x:c r="U1556" s="1"/>
      <x:c r="V1556" s="1"/>
    </x:row>
    <x:row r="1557">
      <x:c r="A1557" s="1"/>
      <x:c r="B1557" s="1"/>
      <x:c r="C1557" s="1"/>
      <x:c r="D1557" s="1"/>
      <x:c r="E1557" s="1"/>
      <x:c r="F1557" s="1"/>
      <x:c r="G1557" s="1"/>
      <x:c r="H1557" s="1"/>
      <x:c r="I1557" s="1"/>
      <x:c r="J1557" s="1"/>
      <x:c r="K1557" s="1"/>
      <x:c r="L1557" s="1"/>
      <x:c r="M1557" s="1"/>
      <x:c r="N1557" s="1"/>
      <x:c r="O1557" s="1"/>
      <x:c r="P1557" s="1"/>
      <x:c r="Q1557" s="1"/>
      <x:c r="R1557" s="1"/>
      <x:c r="S1557" s="1"/>
      <x:c r="T1557" s="1"/>
      <x:c r="U1557" s="1"/>
      <x:c r="V1557" s="1"/>
    </x:row>
    <x:row r="1558">
      <x:c r="A1558" s="1"/>
      <x:c r="B1558" s="1"/>
      <x:c r="C1558" s="1"/>
      <x:c r="D1558" s="1"/>
      <x:c r="E1558" s="1"/>
      <x:c r="F1558" s="1"/>
      <x:c r="G1558" s="1"/>
      <x:c r="H1558" s="1"/>
      <x:c r="I1558" s="1"/>
      <x:c r="J1558" s="1"/>
      <x:c r="K1558" s="1"/>
      <x:c r="L1558" s="1"/>
      <x:c r="M1558" s="1"/>
      <x:c r="N1558" s="1"/>
      <x:c r="O1558" s="1"/>
      <x:c r="P1558" s="1"/>
      <x:c r="Q1558" s="1"/>
      <x:c r="R1558" s="1"/>
      <x:c r="S1558" s="1"/>
      <x:c r="T1558" s="1"/>
      <x:c r="U1558" s="1"/>
      <x:c r="V1558" s="1"/>
    </x:row>
    <x:row r="1559">
      <x:c r="A1559" s="1"/>
      <x:c r="B1559" s="1"/>
      <x:c r="C1559" s="1"/>
      <x:c r="D1559" s="1"/>
      <x:c r="E1559" s="1"/>
      <x:c r="F1559" s="1"/>
      <x:c r="G1559" s="1"/>
      <x:c r="H1559" s="1"/>
      <x:c r="I1559" s="1"/>
      <x:c r="J1559" s="1"/>
      <x:c r="K1559" s="1"/>
      <x:c r="L1559" s="1"/>
      <x:c r="M1559" s="1"/>
      <x:c r="N1559" s="1"/>
      <x:c r="O1559" s="1"/>
      <x:c r="P1559" s="1"/>
      <x:c r="Q1559" s="1"/>
      <x:c r="R1559" s="1"/>
      <x:c r="S1559" s="1"/>
      <x:c r="T1559" s="1"/>
      <x:c r="U1559" s="1"/>
      <x:c r="V1559" s="1"/>
    </x:row>
    <x:row r="1560">
      <x:c r="A1560" s="1"/>
      <x:c r="B1560" s="1"/>
      <x:c r="C1560" s="1"/>
      <x:c r="D1560" s="1"/>
      <x:c r="E1560" s="1"/>
      <x:c r="F1560" s="1"/>
      <x:c r="G1560" s="1"/>
      <x:c r="H1560" s="1"/>
      <x:c r="I1560" s="1"/>
      <x:c r="J1560" s="1"/>
      <x:c r="K1560" s="1"/>
      <x:c r="L1560" s="1"/>
      <x:c r="M1560" s="1"/>
      <x:c r="N1560" s="1"/>
      <x:c r="O1560" s="1"/>
      <x:c r="P1560" s="1"/>
      <x:c r="Q1560" s="1"/>
      <x:c r="R1560" s="1"/>
      <x:c r="S1560" s="1"/>
      <x:c r="T1560" s="1"/>
      <x:c r="U1560" s="1"/>
      <x:c r="V1560" s="1"/>
    </x:row>
    <x:row r="1561">
      <x:c r="A1561" s="1"/>
      <x:c r="B1561" s="1"/>
      <x:c r="C1561" s="1"/>
      <x:c r="D1561" s="1"/>
      <x:c r="E1561" s="1"/>
      <x:c r="F1561" s="1"/>
      <x:c r="G1561" s="1"/>
      <x:c r="H1561" s="1"/>
      <x:c r="I1561" s="1"/>
      <x:c r="J1561" s="1"/>
      <x:c r="K1561" s="1"/>
      <x:c r="L1561" s="1"/>
      <x:c r="M1561" s="1"/>
      <x:c r="N1561" s="1"/>
      <x:c r="O1561" s="1"/>
      <x:c r="P1561" s="1"/>
      <x:c r="Q1561" s="1"/>
      <x:c r="R1561" s="1"/>
      <x:c r="S1561" s="1"/>
      <x:c r="T1561" s="1"/>
      <x:c r="U1561" s="1"/>
      <x:c r="V1561" s="1"/>
    </x:row>
    <x:row r="1562">
      <x:c r="A1562" s="1"/>
      <x:c r="B1562" s="1"/>
      <x:c r="C1562" s="1"/>
      <x:c r="D1562" s="1"/>
      <x:c r="E1562" s="1"/>
      <x:c r="F1562" s="1"/>
      <x:c r="G1562" s="1"/>
      <x:c r="H1562" s="1"/>
      <x:c r="I1562" s="1"/>
      <x:c r="J1562" s="1"/>
      <x:c r="K1562" s="1"/>
      <x:c r="L1562" s="1"/>
      <x:c r="M1562" s="1"/>
      <x:c r="N1562" s="1"/>
      <x:c r="O1562" s="1"/>
      <x:c r="P1562" s="1"/>
      <x:c r="Q1562" s="1"/>
      <x:c r="R1562" s="1"/>
      <x:c r="S1562" s="1"/>
      <x:c r="T1562" s="1"/>
      <x:c r="U1562" s="1"/>
      <x:c r="V1562" s="1"/>
    </x:row>
    <x:row r="1563">
      <x:c r="A1563" s="1"/>
      <x:c r="B1563" s="1"/>
      <x:c r="C1563" s="1"/>
      <x:c r="D1563" s="1"/>
      <x:c r="E1563" s="1"/>
      <x:c r="F1563" s="1"/>
      <x:c r="G1563" s="1"/>
      <x:c r="H1563" s="1"/>
      <x:c r="I1563" s="1"/>
      <x:c r="J1563" s="1"/>
      <x:c r="K1563" s="1"/>
      <x:c r="L1563" s="1"/>
      <x:c r="M1563" s="1"/>
      <x:c r="N1563" s="1"/>
      <x:c r="O1563" s="1"/>
      <x:c r="P1563" s="1"/>
      <x:c r="Q1563" s="1"/>
      <x:c r="R1563" s="1"/>
      <x:c r="S1563" s="1"/>
      <x:c r="T1563" s="1"/>
      <x:c r="U1563" s="1"/>
      <x:c r="V1563" s="1"/>
    </x:row>
    <x:row r="1564">
      <x:c r="A1564" s="1"/>
      <x:c r="B1564" s="1"/>
      <x:c r="C1564" s="1"/>
      <x:c r="D1564" s="1"/>
      <x:c r="E1564" s="1"/>
      <x:c r="F1564" s="1"/>
      <x:c r="G1564" s="1"/>
      <x:c r="H1564" s="1"/>
      <x:c r="I1564" s="1"/>
      <x:c r="J1564" s="1"/>
      <x:c r="K1564" s="1"/>
      <x:c r="L1564" s="1"/>
      <x:c r="M1564" s="1"/>
      <x:c r="N1564" s="1"/>
      <x:c r="O1564" s="1"/>
      <x:c r="P1564" s="1"/>
      <x:c r="Q1564" s="1"/>
      <x:c r="R1564" s="1"/>
      <x:c r="S1564" s="1"/>
      <x:c r="T1564" s="1"/>
      <x:c r="U1564" s="1"/>
      <x:c r="V1564" s="1"/>
    </x:row>
    <x:row r="1565">
      <x:c r="A1565" s="1"/>
      <x:c r="B1565" s="1"/>
      <x:c r="C1565" s="1"/>
      <x:c r="D1565" s="1"/>
      <x:c r="E1565" s="1"/>
      <x:c r="F1565" s="1"/>
      <x:c r="G1565" s="1"/>
      <x:c r="H1565" s="1"/>
      <x:c r="I1565" s="1"/>
      <x:c r="J1565" s="1"/>
      <x:c r="K1565" s="1"/>
      <x:c r="L1565" s="1"/>
      <x:c r="M1565" s="1"/>
      <x:c r="N1565" s="1"/>
      <x:c r="O1565" s="1"/>
      <x:c r="P1565" s="1"/>
      <x:c r="Q1565" s="1"/>
      <x:c r="R1565" s="1"/>
      <x:c r="S1565" s="1"/>
      <x:c r="T1565" s="1"/>
      <x:c r="U1565" s="1"/>
      <x:c r="V1565" s="1"/>
    </x:row>
    <x:row r="1566">
      <x:c r="A1566" s="1"/>
      <x:c r="B1566" s="1"/>
      <x:c r="C1566" s="1"/>
      <x:c r="D1566" s="1"/>
      <x:c r="E1566" s="1"/>
      <x:c r="F1566" s="1"/>
      <x:c r="G1566" s="1"/>
      <x:c r="H1566" s="1"/>
      <x:c r="I1566" s="1"/>
      <x:c r="J1566" s="1"/>
      <x:c r="K1566" s="1"/>
      <x:c r="L1566" s="1"/>
      <x:c r="M1566" s="1"/>
      <x:c r="N1566" s="1"/>
      <x:c r="O1566" s="1"/>
      <x:c r="P1566" s="1"/>
      <x:c r="Q1566" s="1"/>
      <x:c r="R1566" s="1"/>
      <x:c r="S1566" s="1"/>
      <x:c r="T1566" s="1"/>
      <x:c r="U1566" s="1"/>
      <x:c r="V1566" s="1"/>
    </x:row>
    <x:row r="1567">
      <x:c r="A1567" s="1"/>
      <x:c r="B1567" s="1"/>
      <x:c r="C1567" s="1"/>
      <x:c r="D1567" s="1"/>
      <x:c r="E1567" s="1"/>
      <x:c r="F1567" s="1"/>
      <x:c r="G1567" s="1"/>
      <x:c r="H1567" s="1"/>
      <x:c r="I1567" s="1"/>
      <x:c r="J1567" s="1"/>
      <x:c r="K1567" s="1"/>
      <x:c r="L1567" s="1"/>
      <x:c r="M1567" s="1"/>
      <x:c r="N1567" s="1"/>
      <x:c r="O1567" s="1"/>
      <x:c r="P1567" s="1"/>
      <x:c r="Q1567" s="1"/>
      <x:c r="R1567" s="1"/>
      <x:c r="S1567" s="1"/>
      <x:c r="T1567" s="1"/>
      <x:c r="U1567" s="1"/>
      <x:c r="V1567" s="1"/>
    </x:row>
    <x:row r="1568">
      <x:c r="A1568" s="1"/>
      <x:c r="B1568" s="1"/>
      <x:c r="C1568" s="1"/>
      <x:c r="D1568" s="1"/>
      <x:c r="E1568" s="1"/>
      <x:c r="F1568" s="1"/>
      <x:c r="G1568" s="1"/>
      <x:c r="H1568" s="1"/>
      <x:c r="I1568" s="1"/>
      <x:c r="J1568" s="1"/>
      <x:c r="K1568" s="1"/>
      <x:c r="L1568" s="1"/>
      <x:c r="M1568" s="1"/>
      <x:c r="N1568" s="1"/>
      <x:c r="O1568" s="1"/>
      <x:c r="P1568" s="1"/>
      <x:c r="Q1568" s="1"/>
      <x:c r="R1568" s="1"/>
      <x:c r="S1568" s="1"/>
      <x:c r="T1568" s="1"/>
      <x:c r="U1568" s="1"/>
      <x:c r="V1568" s="1"/>
    </x:row>
    <x:row r="1569">
      <x:c r="A1569" s="1"/>
      <x:c r="B1569" s="1"/>
      <x:c r="C1569" s="1"/>
      <x:c r="D1569" s="1"/>
      <x:c r="E1569" s="1"/>
      <x:c r="F1569" s="1"/>
      <x:c r="G1569" s="1"/>
      <x:c r="H1569" s="1"/>
      <x:c r="I1569" s="1"/>
      <x:c r="J1569" s="1"/>
      <x:c r="K1569" s="1"/>
      <x:c r="L1569" s="1"/>
      <x:c r="M1569" s="1"/>
      <x:c r="N1569" s="1"/>
      <x:c r="O1569" s="1"/>
      <x:c r="P1569" s="1"/>
      <x:c r="Q1569" s="1"/>
      <x:c r="R1569" s="1"/>
      <x:c r="S1569" s="1"/>
      <x:c r="T1569" s="1"/>
      <x:c r="U1569" s="1"/>
      <x:c r="V1569" s="1"/>
    </x:row>
    <x:row r="1570">
      <x:c r="A1570" s="1"/>
      <x:c r="B1570" s="1"/>
      <x:c r="C1570" s="1"/>
      <x:c r="D1570" s="1"/>
      <x:c r="E1570" s="1"/>
      <x:c r="F1570" s="1"/>
      <x:c r="G1570" s="1"/>
      <x:c r="H1570" s="1"/>
      <x:c r="I1570" s="1"/>
      <x:c r="J1570" s="1"/>
      <x:c r="K1570" s="1"/>
      <x:c r="L1570" s="1"/>
      <x:c r="M1570" s="1"/>
      <x:c r="N1570" s="1"/>
      <x:c r="O1570" s="1"/>
      <x:c r="P1570" s="1"/>
      <x:c r="Q1570" s="1"/>
      <x:c r="R1570" s="1"/>
      <x:c r="S1570" s="1"/>
      <x:c r="T1570" s="1"/>
      <x:c r="U1570" s="1"/>
      <x:c r="V1570" s="1"/>
    </x:row>
    <x:row r="1571">
      <x:c r="A1571" s="1"/>
      <x:c r="B1571" s="1"/>
      <x:c r="C1571" s="1"/>
      <x:c r="D1571" s="1"/>
      <x:c r="E1571" s="1"/>
      <x:c r="F1571" s="1"/>
      <x:c r="G1571" s="1"/>
      <x:c r="H1571" s="1"/>
      <x:c r="I1571" s="1"/>
      <x:c r="J1571" s="1"/>
      <x:c r="K1571" s="1"/>
      <x:c r="L1571" s="1"/>
      <x:c r="M1571" s="1"/>
      <x:c r="N1571" s="1"/>
      <x:c r="O1571" s="1"/>
      <x:c r="P1571" s="1"/>
      <x:c r="Q1571" s="1"/>
      <x:c r="R1571" s="1"/>
      <x:c r="S1571" s="1"/>
      <x:c r="T1571" s="1"/>
      <x:c r="U1571" s="1"/>
      <x:c r="V1571" s="1"/>
    </x:row>
    <x:row r="1572">
      <x:c r="A1572" s="1"/>
      <x:c r="B1572" s="1"/>
      <x:c r="C1572" s="1"/>
      <x:c r="D1572" s="1"/>
      <x:c r="E1572" s="1"/>
      <x:c r="F1572" s="1"/>
      <x:c r="G1572" s="1"/>
      <x:c r="H1572" s="1"/>
      <x:c r="I1572" s="1"/>
      <x:c r="J1572" s="1"/>
      <x:c r="K1572" s="1"/>
      <x:c r="L1572" s="1"/>
      <x:c r="M1572" s="1"/>
      <x:c r="N1572" s="1"/>
      <x:c r="O1572" s="1"/>
      <x:c r="P1572" s="1"/>
      <x:c r="Q1572" s="1"/>
      <x:c r="R1572" s="1"/>
      <x:c r="S1572" s="1"/>
      <x:c r="T1572" s="1"/>
      <x:c r="U1572" s="1"/>
      <x:c r="V1572" s="1"/>
    </x:row>
    <x:row r="1573">
      <x:c r="A1573" s="1"/>
      <x:c r="B1573" s="1"/>
      <x:c r="C1573" s="1"/>
      <x:c r="D1573" s="1"/>
      <x:c r="E1573" s="1"/>
      <x:c r="F1573" s="1"/>
      <x:c r="G1573" s="1"/>
      <x:c r="H1573" s="1"/>
      <x:c r="I1573" s="1"/>
      <x:c r="J1573" s="1"/>
      <x:c r="K1573" s="1"/>
      <x:c r="L1573" s="1"/>
      <x:c r="M1573" s="1"/>
      <x:c r="N1573" s="1"/>
      <x:c r="O1573" s="1"/>
      <x:c r="P1573" s="1"/>
      <x:c r="Q1573" s="1"/>
      <x:c r="R1573" s="1"/>
      <x:c r="S1573" s="1"/>
      <x:c r="T1573" s="1"/>
      <x:c r="U1573" s="1"/>
      <x:c r="V1573" s="1"/>
    </x:row>
    <x:row r="1574">
      <x:c r="A1574" s="1"/>
      <x:c r="B1574" s="1"/>
      <x:c r="C1574" s="1"/>
      <x:c r="D1574" s="1"/>
      <x:c r="E1574" s="1"/>
      <x:c r="F1574" s="1"/>
      <x:c r="G1574" s="1"/>
      <x:c r="H1574" s="1"/>
      <x:c r="I1574" s="1"/>
      <x:c r="J1574" s="1"/>
      <x:c r="K1574" s="1"/>
      <x:c r="L1574" s="1"/>
      <x:c r="M1574" s="1"/>
      <x:c r="N1574" s="1"/>
      <x:c r="O1574" s="1"/>
      <x:c r="P1574" s="1"/>
      <x:c r="Q1574" s="1"/>
      <x:c r="R1574" s="1"/>
      <x:c r="S1574" s="1"/>
      <x:c r="T1574" s="1"/>
      <x:c r="U1574" s="1"/>
      <x:c r="V1574" s="1"/>
    </x:row>
    <x:row r="1575">
      <x:c r="A1575" s="1"/>
      <x:c r="B1575" s="1"/>
      <x:c r="C1575" s="1"/>
      <x:c r="D1575" s="1"/>
      <x:c r="E1575" s="1"/>
      <x:c r="F1575" s="1"/>
      <x:c r="G1575" s="1"/>
      <x:c r="H1575" s="1"/>
      <x:c r="I1575" s="1"/>
      <x:c r="J1575" s="1"/>
      <x:c r="K1575" s="1"/>
      <x:c r="L1575" s="1"/>
      <x:c r="M1575" s="1"/>
      <x:c r="N1575" s="1"/>
      <x:c r="O1575" s="1"/>
      <x:c r="P1575" s="1"/>
      <x:c r="Q1575" s="1"/>
      <x:c r="R1575" s="1"/>
      <x:c r="S1575" s="1"/>
      <x:c r="T1575" s="1"/>
      <x:c r="U1575" s="1"/>
      <x:c r="V1575" s="1"/>
    </x:row>
    <x:row r="1576">
      <x:c r="A1576" s="1"/>
      <x:c r="B1576" s="1"/>
      <x:c r="C1576" s="1"/>
      <x:c r="D1576" s="1"/>
      <x:c r="E1576" s="1"/>
      <x:c r="F1576" s="1"/>
      <x:c r="G1576" s="1"/>
      <x:c r="H1576" s="1"/>
      <x:c r="I1576" s="1"/>
      <x:c r="J1576" s="1"/>
      <x:c r="K1576" s="1"/>
      <x:c r="L1576" s="1"/>
      <x:c r="M1576" s="1"/>
      <x:c r="N1576" s="1"/>
      <x:c r="O1576" s="1"/>
      <x:c r="P1576" s="1"/>
      <x:c r="Q1576" s="1"/>
      <x:c r="R1576" s="1"/>
      <x:c r="S1576" s="1"/>
      <x:c r="T1576" s="1"/>
      <x:c r="U1576" s="1"/>
      <x:c r="V1576" s="1"/>
    </x:row>
    <x:row r="1577">
      <x:c r="A1577" s="1"/>
      <x:c r="B1577" s="1"/>
      <x:c r="C1577" s="1"/>
      <x:c r="D1577" s="1"/>
      <x:c r="E1577" s="1"/>
      <x:c r="F1577" s="1"/>
      <x:c r="G1577" s="1"/>
      <x:c r="H1577" s="1"/>
      <x:c r="I1577" s="1"/>
      <x:c r="J1577" s="1"/>
      <x:c r="K1577" s="1"/>
      <x:c r="L1577" s="1"/>
      <x:c r="M1577" s="1"/>
      <x:c r="N1577" s="1"/>
      <x:c r="O1577" s="1"/>
      <x:c r="P1577" s="1"/>
      <x:c r="Q1577" s="1"/>
      <x:c r="R1577" s="1"/>
      <x:c r="S1577" s="1"/>
      <x:c r="T1577" s="1"/>
      <x:c r="U1577" s="1"/>
      <x:c r="V1577" s="1"/>
    </x:row>
    <x:row r="1578">
      <x:c r="A1578" s="1"/>
      <x:c r="B1578" s="1"/>
      <x:c r="C1578" s="1"/>
      <x:c r="D1578" s="1"/>
      <x:c r="E1578" s="1"/>
      <x:c r="F1578" s="1"/>
      <x:c r="G1578" s="1"/>
      <x:c r="H1578" s="1"/>
      <x:c r="I1578" s="1"/>
      <x:c r="J1578" s="1"/>
      <x:c r="K1578" s="1"/>
      <x:c r="L1578" s="1"/>
      <x:c r="M1578" s="1"/>
      <x:c r="N1578" s="1"/>
      <x:c r="O1578" s="1"/>
      <x:c r="P1578" s="1"/>
      <x:c r="Q1578" s="1"/>
      <x:c r="R1578" s="1"/>
      <x:c r="S1578" s="1"/>
      <x:c r="T1578" s="1"/>
      <x:c r="U1578" s="1"/>
      <x:c r="V1578" s="1"/>
    </x:row>
    <x:row r="1579">
      <x:c r="A1579" s="1"/>
      <x:c r="B1579" s="1"/>
      <x:c r="C1579" s="1"/>
      <x:c r="D1579" s="1"/>
      <x:c r="E1579" s="1"/>
      <x:c r="F1579" s="1"/>
      <x:c r="G1579" s="1"/>
      <x:c r="H1579" s="1"/>
      <x:c r="I1579" s="1"/>
      <x:c r="J1579" s="1"/>
      <x:c r="K1579" s="1"/>
      <x:c r="L1579" s="1"/>
      <x:c r="M1579" s="1"/>
      <x:c r="N1579" s="1"/>
      <x:c r="O1579" s="1"/>
      <x:c r="P1579" s="1"/>
      <x:c r="Q1579" s="1"/>
      <x:c r="R1579" s="1"/>
      <x:c r="S1579" s="1"/>
      <x:c r="T1579" s="1"/>
      <x:c r="U1579" s="1"/>
      <x:c r="V1579" s="1"/>
    </x:row>
    <x:row r="1580">
      <x:c r="A1580" s="1"/>
      <x:c r="B1580" s="1"/>
      <x:c r="C1580" s="1"/>
      <x:c r="D1580" s="1"/>
      <x:c r="E1580" s="1"/>
      <x:c r="F1580" s="1"/>
      <x:c r="G1580" s="1"/>
      <x:c r="H1580" s="1"/>
      <x:c r="I1580" s="1"/>
      <x:c r="J1580" s="1"/>
      <x:c r="K1580" s="1"/>
      <x:c r="L1580" s="1"/>
      <x:c r="M1580" s="1"/>
      <x:c r="N1580" s="1"/>
      <x:c r="O1580" s="1"/>
      <x:c r="P1580" s="1"/>
      <x:c r="Q1580" s="1"/>
      <x:c r="R1580" s="1"/>
      <x:c r="S1580" s="1"/>
      <x:c r="T1580" s="1"/>
      <x:c r="U1580" s="1"/>
      <x:c r="V1580" s="1"/>
    </x:row>
    <x:row r="1581">
      <x:c r="A1581" s="1"/>
      <x:c r="B1581" s="1"/>
      <x:c r="C1581" s="1"/>
      <x:c r="D1581" s="1"/>
      <x:c r="E1581" s="1"/>
      <x:c r="F1581" s="1"/>
      <x:c r="G1581" s="1"/>
      <x:c r="H1581" s="1"/>
      <x:c r="I1581" s="1"/>
      <x:c r="J1581" s="1"/>
      <x:c r="K1581" s="1"/>
      <x:c r="L1581" s="1"/>
      <x:c r="M1581" s="1"/>
      <x:c r="N1581" s="1"/>
      <x:c r="O1581" s="1"/>
      <x:c r="P1581" s="1"/>
      <x:c r="Q1581" s="1"/>
      <x:c r="R1581" s="1"/>
      <x:c r="S1581" s="1"/>
      <x:c r="T1581" s="1"/>
      <x:c r="U1581" s="1"/>
      <x:c r="V1581" s="1"/>
    </x:row>
    <x:row r="1582">
      <x:c r="A1582" s="1"/>
      <x:c r="B1582" s="1"/>
      <x:c r="C1582" s="1"/>
      <x:c r="D1582" s="1"/>
      <x:c r="E1582" s="1"/>
      <x:c r="F1582" s="1"/>
      <x:c r="G1582" s="1"/>
      <x:c r="H1582" s="1"/>
      <x:c r="I1582" s="1"/>
      <x:c r="J1582" s="1"/>
      <x:c r="K1582" s="1"/>
      <x:c r="L1582" s="1"/>
      <x:c r="M1582" s="1"/>
      <x:c r="N1582" s="1"/>
      <x:c r="O1582" s="1"/>
      <x:c r="P1582" s="1"/>
      <x:c r="Q1582" s="1"/>
      <x:c r="R1582" s="1"/>
      <x:c r="S1582" s="1"/>
      <x:c r="T1582" s="1"/>
      <x:c r="U1582" s="1"/>
      <x:c r="V1582" s="1"/>
    </x:row>
    <x:row r="1583">
      <x:c r="A1583" s="1"/>
      <x:c r="B1583" s="1"/>
      <x:c r="C1583" s="1"/>
      <x:c r="D1583" s="1"/>
      <x:c r="E1583" s="1"/>
      <x:c r="F1583" s="1"/>
      <x:c r="G1583" s="1"/>
      <x:c r="H1583" s="1"/>
      <x:c r="I1583" s="1"/>
      <x:c r="J1583" s="1"/>
      <x:c r="K1583" s="1"/>
      <x:c r="L1583" s="1"/>
      <x:c r="M1583" s="1"/>
      <x:c r="N1583" s="1"/>
      <x:c r="O1583" s="1"/>
      <x:c r="P1583" s="1"/>
      <x:c r="Q1583" s="1"/>
      <x:c r="R1583" s="1"/>
      <x:c r="S1583" s="1"/>
      <x:c r="T1583" s="1"/>
      <x:c r="U1583" s="1"/>
      <x:c r="V1583" s="1"/>
    </x:row>
    <x:row r="1584">
      <x:c r="A1584" s="1"/>
      <x:c r="B1584" s="1"/>
      <x:c r="C1584" s="1"/>
      <x:c r="D1584" s="1"/>
      <x:c r="E1584" s="1"/>
      <x:c r="F1584" s="1"/>
      <x:c r="G1584" s="1"/>
      <x:c r="H1584" s="1"/>
      <x:c r="I1584" s="1"/>
      <x:c r="J1584" s="1"/>
      <x:c r="K1584" s="1"/>
      <x:c r="L1584" s="1"/>
      <x:c r="M1584" s="1"/>
      <x:c r="N1584" s="1"/>
      <x:c r="O1584" s="1"/>
      <x:c r="P1584" s="1"/>
      <x:c r="Q1584" s="1"/>
      <x:c r="R1584" s="1"/>
      <x:c r="S1584" s="1"/>
      <x:c r="T1584" s="1"/>
      <x:c r="U1584" s="1"/>
      <x:c r="V1584" s="1"/>
    </x:row>
    <x:row r="1585">
      <x:c r="A1585" s="1"/>
      <x:c r="B1585" s="1"/>
      <x:c r="C1585" s="1"/>
      <x:c r="D1585" s="1"/>
      <x:c r="E1585" s="1"/>
      <x:c r="F1585" s="1"/>
      <x:c r="G1585" s="1"/>
      <x:c r="H1585" s="1"/>
      <x:c r="I1585" s="1"/>
      <x:c r="J1585" s="1"/>
      <x:c r="K1585" s="1"/>
      <x:c r="L1585" s="1"/>
      <x:c r="M1585" s="1"/>
      <x:c r="N1585" s="1"/>
      <x:c r="O1585" s="1"/>
      <x:c r="P1585" s="1"/>
      <x:c r="Q1585" s="1"/>
      <x:c r="R1585" s="1"/>
      <x:c r="S1585" s="1"/>
      <x:c r="T1585" s="1"/>
      <x:c r="U1585" s="1"/>
      <x:c r="V1585" s="1"/>
    </x:row>
    <x:row r="1586">
      <x:c r="A1586" s="1"/>
      <x:c r="B1586" s="1"/>
      <x:c r="C1586" s="1"/>
      <x:c r="D1586" s="1"/>
      <x:c r="E1586" s="1"/>
      <x:c r="F1586" s="1"/>
      <x:c r="G1586" s="1"/>
      <x:c r="H1586" s="1"/>
      <x:c r="I1586" s="1"/>
      <x:c r="J1586" s="1"/>
      <x:c r="K1586" s="1"/>
      <x:c r="L1586" s="1"/>
      <x:c r="M1586" s="1"/>
      <x:c r="N1586" s="1"/>
      <x:c r="O1586" s="1"/>
      <x:c r="P1586" s="1"/>
      <x:c r="Q1586" s="1"/>
      <x:c r="R1586" s="1"/>
      <x:c r="S1586" s="1"/>
      <x:c r="T1586" s="1"/>
      <x:c r="U1586" s="1"/>
      <x:c r="V1586" s="1"/>
    </x:row>
    <x:row r="1587">
      <x:c r="A1587" s="1"/>
      <x:c r="B1587" s="1"/>
      <x:c r="C1587" s="1"/>
      <x:c r="D1587" s="1"/>
      <x:c r="E1587" s="1"/>
      <x:c r="F1587" s="1"/>
      <x:c r="G1587" s="1"/>
      <x:c r="H1587" s="1"/>
      <x:c r="I1587" s="1"/>
      <x:c r="J1587" s="1"/>
      <x:c r="K1587" s="1"/>
      <x:c r="L1587" s="1"/>
      <x:c r="M1587" s="1"/>
      <x:c r="N1587" s="1"/>
      <x:c r="O1587" s="1"/>
      <x:c r="P1587" s="1"/>
      <x:c r="Q1587" s="1"/>
      <x:c r="R1587" s="1"/>
      <x:c r="S1587" s="1"/>
      <x:c r="T1587" s="1"/>
      <x:c r="U1587" s="1"/>
      <x:c r="V1587" s="1"/>
    </x:row>
    <x:row r="1588">
      <x:c r="A1588" s="1"/>
      <x:c r="B1588" s="1"/>
      <x:c r="C1588" s="1"/>
      <x:c r="D1588" s="1"/>
      <x:c r="E1588" s="1"/>
      <x:c r="F1588" s="1"/>
      <x:c r="G1588" s="1"/>
      <x:c r="H1588" s="1"/>
      <x:c r="I1588" s="1"/>
      <x:c r="J1588" s="1"/>
      <x:c r="K1588" s="1"/>
      <x:c r="L1588" s="1"/>
      <x:c r="M1588" s="1"/>
      <x:c r="N1588" s="1"/>
      <x:c r="O1588" s="1"/>
      <x:c r="P1588" s="1"/>
      <x:c r="Q1588" s="1"/>
      <x:c r="R1588" s="1"/>
      <x:c r="S1588" s="1"/>
      <x:c r="T1588" s="1"/>
      <x:c r="U1588" s="1"/>
      <x:c r="V1588" s="1"/>
    </x:row>
    <x:row r="1589">
      <x:c r="A1589" s="1"/>
      <x:c r="B1589" s="1"/>
      <x:c r="C1589" s="1"/>
      <x:c r="D1589" s="1"/>
      <x:c r="E1589" s="1"/>
      <x:c r="F1589" s="1"/>
      <x:c r="G1589" s="1"/>
      <x:c r="H1589" s="1"/>
      <x:c r="I1589" s="1"/>
      <x:c r="J1589" s="1"/>
      <x:c r="K1589" s="1"/>
      <x:c r="L1589" s="1"/>
      <x:c r="M1589" s="1"/>
      <x:c r="N1589" s="1"/>
      <x:c r="O1589" s="1"/>
      <x:c r="P1589" s="1"/>
      <x:c r="Q1589" s="1"/>
      <x:c r="R1589" s="1"/>
      <x:c r="S1589" s="1"/>
      <x:c r="T1589" s="1"/>
      <x:c r="U1589" s="1"/>
      <x:c r="V1589" s="1"/>
    </x:row>
    <x:row r="1590">
      <x:c r="A1590" s="1"/>
      <x:c r="B1590" s="1"/>
      <x:c r="C1590" s="1"/>
      <x:c r="D1590" s="1"/>
      <x:c r="E1590" s="1"/>
      <x:c r="F1590" s="1"/>
      <x:c r="G1590" s="1"/>
      <x:c r="H1590" s="1"/>
      <x:c r="I1590" s="1"/>
      <x:c r="J1590" s="1"/>
      <x:c r="K1590" s="1"/>
      <x:c r="L1590" s="1"/>
      <x:c r="M1590" s="1"/>
      <x:c r="N1590" s="1"/>
      <x:c r="O1590" s="1"/>
      <x:c r="P1590" s="1"/>
      <x:c r="Q1590" s="1"/>
      <x:c r="R1590" s="1"/>
      <x:c r="S1590" s="1"/>
      <x:c r="T1590" s="1"/>
      <x:c r="U1590" s="1"/>
      <x:c r="V1590" s="1"/>
    </x:row>
    <x:row r="1591">
      <x:c r="A1591" s="1"/>
      <x:c r="B1591" s="1"/>
      <x:c r="C1591" s="1"/>
      <x:c r="D1591" s="1"/>
      <x:c r="E1591" s="1"/>
      <x:c r="F1591" s="1"/>
      <x:c r="G1591" s="1"/>
      <x:c r="H1591" s="1"/>
      <x:c r="I1591" s="1"/>
      <x:c r="J1591" s="1"/>
      <x:c r="K1591" s="1"/>
      <x:c r="L1591" s="1"/>
      <x:c r="M1591" s="1"/>
      <x:c r="N1591" s="1"/>
      <x:c r="O1591" s="1"/>
      <x:c r="P1591" s="1"/>
      <x:c r="Q1591" s="1"/>
      <x:c r="R1591" s="1"/>
      <x:c r="S1591" s="1"/>
      <x:c r="T1591" s="1"/>
      <x:c r="U1591" s="1"/>
      <x:c r="V1591" s="1"/>
    </x:row>
    <x:row r="1592">
      <x:c r="A1592" s="1"/>
      <x:c r="B1592" s="1"/>
      <x:c r="C1592" s="1"/>
      <x:c r="D1592" s="1"/>
      <x:c r="E1592" s="1"/>
      <x:c r="F1592" s="1"/>
      <x:c r="G1592" s="1"/>
      <x:c r="H1592" s="1"/>
      <x:c r="I1592" s="1"/>
      <x:c r="J1592" s="1"/>
      <x:c r="K1592" s="1"/>
      <x:c r="L1592" s="1"/>
      <x:c r="M1592" s="1"/>
      <x:c r="N1592" s="1"/>
      <x:c r="O1592" s="1"/>
      <x:c r="P1592" s="1"/>
      <x:c r="Q1592" s="1"/>
      <x:c r="R1592" s="1"/>
      <x:c r="S1592" s="1"/>
      <x:c r="T1592" s="1"/>
      <x:c r="U1592" s="1"/>
      <x:c r="V1592" s="1"/>
    </x:row>
    <x:row r="1593">
      <x:c r="A1593" s="1"/>
      <x:c r="B1593" s="1"/>
      <x:c r="C1593" s="1"/>
      <x:c r="D1593" s="1"/>
      <x:c r="E1593" s="1"/>
      <x:c r="F1593" s="1"/>
      <x:c r="G1593" s="1"/>
      <x:c r="H1593" s="1"/>
      <x:c r="I1593" s="1"/>
      <x:c r="J1593" s="1"/>
      <x:c r="K1593" s="1"/>
      <x:c r="L1593" s="1"/>
      <x:c r="M1593" s="1"/>
      <x:c r="N1593" s="1"/>
      <x:c r="O1593" s="1"/>
      <x:c r="P1593" s="1"/>
      <x:c r="Q1593" s="1"/>
      <x:c r="R1593" s="1"/>
      <x:c r="S1593" s="1"/>
      <x:c r="T1593" s="1"/>
      <x:c r="U1593" s="1"/>
      <x:c r="V1593" s="1"/>
    </x:row>
    <x:row r="1594">
      <x:c r="A1594" s="1"/>
      <x:c r="B1594" s="1"/>
      <x:c r="C1594" s="1"/>
      <x:c r="D1594" s="1"/>
      <x:c r="E1594" s="1"/>
      <x:c r="F1594" s="1"/>
      <x:c r="G1594" s="1"/>
      <x:c r="H1594" s="1"/>
      <x:c r="I1594" s="1"/>
      <x:c r="J1594" s="1"/>
      <x:c r="K1594" s="1"/>
      <x:c r="L1594" s="1"/>
      <x:c r="M1594" s="1"/>
      <x:c r="N1594" s="1"/>
      <x:c r="O1594" s="1"/>
      <x:c r="P1594" s="1"/>
      <x:c r="Q1594" s="1"/>
      <x:c r="R1594" s="1"/>
      <x:c r="S1594" s="1"/>
      <x:c r="T1594" s="1"/>
      <x:c r="U1594" s="1"/>
      <x:c r="V1594" s="1"/>
    </x:row>
    <x:row r="1595">
      <x:c r="A1595" s="1"/>
      <x:c r="B1595" s="1"/>
      <x:c r="C1595" s="1"/>
      <x:c r="D1595" s="1"/>
      <x:c r="E1595" s="1"/>
      <x:c r="F1595" s="1"/>
      <x:c r="G1595" s="1"/>
      <x:c r="H1595" s="1"/>
      <x:c r="I1595" s="1"/>
      <x:c r="J1595" s="1"/>
      <x:c r="K1595" s="1"/>
      <x:c r="L1595" s="1"/>
      <x:c r="M1595" s="1"/>
      <x:c r="N1595" s="1"/>
      <x:c r="O1595" s="1"/>
      <x:c r="P1595" s="1"/>
      <x:c r="Q1595" s="1"/>
      <x:c r="R1595" s="1"/>
      <x:c r="S1595" s="1"/>
      <x:c r="T1595" s="1"/>
      <x:c r="U1595" s="1"/>
      <x:c r="V1595" s="1"/>
    </x:row>
    <x:row r="1596">
      <x:c r="A1596" s="1"/>
      <x:c r="B1596" s="1"/>
      <x:c r="C1596" s="1"/>
      <x:c r="D1596" s="1"/>
      <x:c r="E1596" s="1"/>
      <x:c r="F1596" s="1"/>
      <x:c r="G1596" s="1"/>
      <x:c r="H1596" s="1"/>
      <x:c r="I1596" s="1"/>
      <x:c r="J1596" s="1"/>
      <x:c r="K1596" s="1"/>
      <x:c r="L1596" s="1"/>
      <x:c r="M1596" s="1"/>
      <x:c r="N1596" s="1"/>
      <x:c r="O1596" s="1"/>
      <x:c r="P1596" s="1"/>
      <x:c r="Q1596" s="1"/>
      <x:c r="R1596" s="1"/>
      <x:c r="S1596" s="1"/>
      <x:c r="T1596" s="1"/>
      <x:c r="U1596" s="1"/>
      <x:c r="V1596" s="1"/>
    </x:row>
    <x:row r="1597">
      <x:c r="A1597" s="1"/>
      <x:c r="B1597" s="1"/>
      <x:c r="C1597" s="1"/>
      <x:c r="D1597" s="1"/>
      <x:c r="E1597" s="1"/>
      <x:c r="F1597" s="1"/>
      <x:c r="G1597" s="1"/>
      <x:c r="H1597" s="1"/>
      <x:c r="I1597" s="1"/>
      <x:c r="J1597" s="1"/>
      <x:c r="K1597" s="1"/>
      <x:c r="L1597" s="1"/>
      <x:c r="M1597" s="1"/>
      <x:c r="N1597" s="1"/>
      <x:c r="O1597" s="1"/>
      <x:c r="P1597" s="1"/>
      <x:c r="Q1597" s="1"/>
      <x:c r="R1597" s="1"/>
      <x:c r="S1597" s="1"/>
      <x:c r="T1597" s="1"/>
      <x:c r="U1597" s="1"/>
      <x:c r="V1597" s="1"/>
    </x:row>
    <x:row r="1598">
      <x:c r="A1598" s="1"/>
      <x:c r="B1598" s="1"/>
      <x:c r="C1598" s="1"/>
      <x:c r="D1598" s="1"/>
      <x:c r="E1598" s="1"/>
      <x:c r="F1598" s="1"/>
      <x:c r="G1598" s="1"/>
      <x:c r="H1598" s="1"/>
      <x:c r="I1598" s="1"/>
      <x:c r="J1598" s="1"/>
      <x:c r="K1598" s="1"/>
      <x:c r="L1598" s="1"/>
      <x:c r="M1598" s="1"/>
      <x:c r="N1598" s="1"/>
      <x:c r="O1598" s="1"/>
      <x:c r="P1598" s="1"/>
      <x:c r="Q1598" s="1"/>
      <x:c r="R1598" s="1"/>
      <x:c r="S1598" s="1"/>
      <x:c r="T1598" s="1"/>
      <x:c r="U1598" s="1"/>
      <x:c r="V1598" s="1"/>
    </x:row>
    <x:row r="1599">
      <x:c r="A1599" s="1"/>
      <x:c r="B1599" s="1"/>
      <x:c r="C1599" s="1"/>
      <x:c r="D1599" s="1"/>
      <x:c r="E1599" s="1"/>
      <x:c r="F1599" s="1"/>
      <x:c r="G1599" s="1"/>
      <x:c r="H1599" s="1"/>
      <x:c r="I1599" s="1"/>
      <x:c r="J1599" s="1"/>
      <x:c r="K1599" s="1"/>
      <x:c r="L1599" s="1"/>
      <x:c r="M1599" s="1"/>
      <x:c r="N1599" s="1"/>
      <x:c r="O1599" s="1"/>
      <x:c r="P1599" s="1"/>
      <x:c r="Q1599" s="1"/>
      <x:c r="R1599" s="1"/>
      <x:c r="S1599" s="1"/>
      <x:c r="T1599" s="1"/>
      <x:c r="U1599" s="1"/>
      <x:c r="V1599" s="1"/>
    </x:row>
    <x:row r="1600">
      <x:c r="A1600" s="1"/>
      <x:c r="B1600" s="1"/>
      <x:c r="C1600" s="1"/>
      <x:c r="D1600" s="1"/>
      <x:c r="E1600" s="1"/>
      <x:c r="F1600" s="1"/>
      <x:c r="G1600" s="1"/>
      <x:c r="H1600" s="1"/>
      <x:c r="I1600" s="1"/>
      <x:c r="J1600" s="1"/>
      <x:c r="K1600" s="1"/>
      <x:c r="L1600" s="1"/>
      <x:c r="M1600" s="1"/>
      <x:c r="N1600" s="1"/>
      <x:c r="O1600" s="1"/>
      <x:c r="P1600" s="1"/>
      <x:c r="Q1600" s="1"/>
      <x:c r="R1600" s="1"/>
      <x:c r="S1600" s="1"/>
      <x:c r="T1600" s="1"/>
      <x:c r="U1600" s="1"/>
      <x:c r="V1600" s="1"/>
    </x:row>
    <x:row r="1601">
      <x:c r="A1601" s="1"/>
      <x:c r="B1601" s="1"/>
      <x:c r="C1601" s="1"/>
      <x:c r="D1601" s="1"/>
      <x:c r="E1601" s="1"/>
      <x:c r="F1601" s="1"/>
      <x:c r="G1601" s="1"/>
      <x:c r="H1601" s="1"/>
      <x:c r="I1601" s="1"/>
      <x:c r="J1601" s="1"/>
      <x:c r="K1601" s="1"/>
      <x:c r="L1601" s="1"/>
      <x:c r="M1601" s="1"/>
      <x:c r="N1601" s="1"/>
      <x:c r="O1601" s="1"/>
      <x:c r="P1601" s="1"/>
      <x:c r="Q1601" s="1"/>
      <x:c r="R1601" s="1"/>
      <x:c r="S1601" s="1"/>
      <x:c r="T1601" s="1"/>
      <x:c r="U1601" s="1"/>
      <x:c r="V1601" s="1"/>
    </x:row>
    <x:row r="1602">
      <x:c r="A1602" s="1"/>
      <x:c r="B1602" s="1"/>
      <x:c r="C1602" s="1"/>
      <x:c r="D1602" s="1"/>
      <x:c r="E1602" s="1"/>
      <x:c r="F1602" s="1"/>
      <x:c r="G1602" s="1"/>
      <x:c r="H1602" s="1"/>
      <x:c r="I1602" s="1"/>
      <x:c r="J1602" s="1"/>
      <x:c r="K1602" s="1"/>
      <x:c r="L1602" s="1"/>
      <x:c r="M1602" s="1"/>
      <x:c r="N1602" s="1"/>
      <x:c r="O1602" s="1"/>
      <x:c r="P1602" s="1"/>
      <x:c r="Q1602" s="1"/>
      <x:c r="R1602" s="1"/>
      <x:c r="S1602" s="1"/>
      <x:c r="T1602" s="1"/>
      <x:c r="U1602" s="1"/>
      <x:c r="V1602" s="1"/>
    </x:row>
    <x:row r="1603">
      <x:c r="A1603" s="1"/>
      <x:c r="B1603" s="1"/>
      <x:c r="C1603" s="1"/>
      <x:c r="D1603" s="1"/>
      <x:c r="E1603" s="1"/>
      <x:c r="F1603" s="1"/>
      <x:c r="G1603" s="1"/>
      <x:c r="H1603" s="1"/>
      <x:c r="I1603" s="1"/>
      <x:c r="J1603" s="1"/>
      <x:c r="K1603" s="1"/>
      <x:c r="L1603" s="1"/>
      <x:c r="M1603" s="1"/>
      <x:c r="N1603" s="1"/>
      <x:c r="O1603" s="1"/>
      <x:c r="P1603" s="1"/>
      <x:c r="Q1603" s="1"/>
      <x:c r="R1603" s="1"/>
      <x:c r="S1603" s="1"/>
      <x:c r="T1603" s="1"/>
      <x:c r="U1603" s="1"/>
      <x:c r="V1603" s="1"/>
    </x:row>
    <x:row r="1604">
      <x:c r="A1604" s="1"/>
      <x:c r="B1604" s="1"/>
      <x:c r="C1604" s="1"/>
      <x:c r="D1604" s="1"/>
      <x:c r="E1604" s="1"/>
      <x:c r="F1604" s="1"/>
      <x:c r="G1604" s="1"/>
      <x:c r="H1604" s="1"/>
      <x:c r="I1604" s="1"/>
      <x:c r="J1604" s="1"/>
      <x:c r="K1604" s="1"/>
      <x:c r="L1604" s="1"/>
      <x:c r="M1604" s="1"/>
      <x:c r="N1604" s="1"/>
      <x:c r="O1604" s="1"/>
      <x:c r="P1604" s="1"/>
      <x:c r="Q1604" s="1"/>
      <x:c r="R1604" s="1"/>
      <x:c r="S1604" s="1"/>
      <x:c r="T1604" s="1"/>
      <x:c r="U1604" s="1"/>
      <x:c r="V1604" s="1"/>
    </x:row>
    <x:row r="1605">
      <x:c r="A1605" s="1"/>
      <x:c r="B1605" s="1"/>
      <x:c r="C1605" s="1"/>
      <x:c r="D1605" s="1"/>
      <x:c r="E1605" s="1"/>
      <x:c r="F1605" s="1"/>
      <x:c r="G1605" s="1"/>
      <x:c r="H1605" s="1"/>
      <x:c r="I1605" s="1"/>
      <x:c r="J1605" s="1"/>
      <x:c r="K1605" s="1"/>
      <x:c r="L1605" s="1"/>
      <x:c r="M1605" s="1"/>
      <x:c r="N1605" s="1"/>
      <x:c r="O1605" s="1"/>
      <x:c r="P1605" s="1"/>
      <x:c r="Q1605" s="1"/>
      <x:c r="R1605" s="1"/>
      <x:c r="S1605" s="1"/>
      <x:c r="T1605" s="1"/>
      <x:c r="U1605" s="1"/>
      <x:c r="V1605" s="1"/>
    </x:row>
    <x:row r="1606">
      <x:c r="A1606" s="1"/>
      <x:c r="B1606" s="1"/>
      <x:c r="C1606" s="1"/>
      <x:c r="D1606" s="1"/>
      <x:c r="E1606" s="1"/>
      <x:c r="F1606" s="1"/>
      <x:c r="G1606" s="1"/>
      <x:c r="H1606" s="1"/>
      <x:c r="I1606" s="1"/>
      <x:c r="J1606" s="1"/>
      <x:c r="K1606" s="1"/>
      <x:c r="L1606" s="1"/>
      <x:c r="M1606" s="1"/>
      <x:c r="N1606" s="1"/>
      <x:c r="O1606" s="1"/>
      <x:c r="P1606" s="1"/>
      <x:c r="Q1606" s="1"/>
      <x:c r="R1606" s="1"/>
      <x:c r="S1606" s="1"/>
      <x:c r="T1606" s="1"/>
      <x:c r="U1606" s="1"/>
      <x:c r="V1606" s="1"/>
    </x:row>
    <x:row r="1607">
      <x:c r="A1607" s="1"/>
      <x:c r="B1607" s="1"/>
      <x:c r="C1607" s="1"/>
      <x:c r="D1607" s="1"/>
      <x:c r="E1607" s="1"/>
      <x:c r="F1607" s="1"/>
      <x:c r="G1607" s="1"/>
      <x:c r="H1607" s="1"/>
      <x:c r="I1607" s="1"/>
      <x:c r="J1607" s="1"/>
      <x:c r="K1607" s="1"/>
      <x:c r="L1607" s="1"/>
      <x:c r="M1607" s="1"/>
      <x:c r="N1607" s="1"/>
      <x:c r="O1607" s="1"/>
      <x:c r="P1607" s="1"/>
      <x:c r="Q1607" s="1"/>
      <x:c r="R1607" s="1"/>
      <x:c r="S1607" s="1"/>
      <x:c r="T1607" s="1"/>
      <x:c r="U1607" s="1"/>
      <x:c r="V1607" s="1"/>
    </x:row>
    <x:row r="1608">
      <x:c r="A1608" s="1"/>
      <x:c r="B1608" s="1"/>
      <x:c r="C1608" s="1"/>
      <x:c r="D1608" s="1"/>
      <x:c r="E1608" s="1"/>
      <x:c r="F1608" s="1"/>
      <x:c r="G1608" s="1"/>
      <x:c r="H1608" s="1"/>
      <x:c r="I1608" s="1"/>
      <x:c r="J1608" s="1"/>
      <x:c r="K1608" s="1"/>
      <x:c r="L1608" s="1"/>
      <x:c r="M1608" s="1"/>
      <x:c r="N1608" s="1"/>
      <x:c r="O1608" s="1"/>
      <x:c r="P1608" s="1"/>
      <x:c r="Q1608" s="1"/>
      <x:c r="R1608" s="1"/>
      <x:c r="S1608" s="1"/>
      <x:c r="T1608" s="1"/>
      <x:c r="U1608" s="1"/>
      <x:c r="V1608" s="1"/>
    </x:row>
    <x:row r="1609">
      <x:c r="A1609" s="1"/>
      <x:c r="B1609" s="1"/>
      <x:c r="C1609" s="1"/>
      <x:c r="D1609" s="1"/>
      <x:c r="E1609" s="1"/>
      <x:c r="F1609" s="1"/>
      <x:c r="G1609" s="1"/>
      <x:c r="H1609" s="1"/>
      <x:c r="I1609" s="1"/>
      <x:c r="J1609" s="1"/>
      <x:c r="K1609" s="1"/>
      <x:c r="L1609" s="1"/>
      <x:c r="M1609" s="1"/>
      <x:c r="N1609" s="1"/>
      <x:c r="O1609" s="1"/>
      <x:c r="P1609" s="1"/>
      <x:c r="Q1609" s="1"/>
      <x:c r="R1609" s="1"/>
      <x:c r="S1609" s="1"/>
      <x:c r="T1609" s="1"/>
      <x:c r="U1609" s="1"/>
      <x:c r="V1609" s="1"/>
    </x:row>
    <x:row r="1610">
      <x:c r="A1610" s="1"/>
      <x:c r="B1610" s="1"/>
      <x:c r="C1610" s="1"/>
      <x:c r="D1610" s="1"/>
      <x:c r="E1610" s="1"/>
      <x:c r="F1610" s="1"/>
      <x:c r="G1610" s="1"/>
      <x:c r="H1610" s="1"/>
      <x:c r="I1610" s="1"/>
      <x:c r="J1610" s="1"/>
      <x:c r="K1610" s="1"/>
      <x:c r="L1610" s="1"/>
      <x:c r="M1610" s="1"/>
      <x:c r="N1610" s="1"/>
      <x:c r="O1610" s="1"/>
      <x:c r="P1610" s="1"/>
      <x:c r="Q1610" s="1"/>
      <x:c r="R1610" s="1"/>
      <x:c r="S1610" s="1"/>
      <x:c r="T1610" s="1"/>
      <x:c r="U1610" s="1"/>
      <x:c r="V1610" s="1"/>
    </x:row>
    <x:row r="1611">
      <x:c r="A1611" s="1"/>
      <x:c r="B1611" s="1"/>
      <x:c r="C1611" s="1"/>
      <x:c r="D1611" s="1"/>
      <x:c r="E1611" s="1"/>
      <x:c r="F1611" s="1"/>
      <x:c r="G1611" s="1"/>
      <x:c r="H1611" s="1"/>
      <x:c r="I1611" s="1"/>
      <x:c r="J1611" s="1"/>
      <x:c r="K1611" s="1"/>
      <x:c r="L1611" s="1"/>
      <x:c r="M1611" s="1"/>
      <x:c r="N1611" s="1"/>
      <x:c r="O1611" s="1"/>
      <x:c r="P1611" s="1"/>
      <x:c r="Q1611" s="1"/>
      <x:c r="R1611" s="1"/>
      <x:c r="S1611" s="1"/>
      <x:c r="T1611" s="1"/>
      <x:c r="U1611" s="1"/>
      <x:c r="V1611" s="1"/>
    </x:row>
    <x:row r="1612">
      <x:c r="A1612" s="1"/>
      <x:c r="B1612" s="1"/>
      <x:c r="C1612" s="1"/>
      <x:c r="D1612" s="1"/>
      <x:c r="E1612" s="1"/>
      <x:c r="F1612" s="1"/>
      <x:c r="G1612" s="1"/>
      <x:c r="H1612" s="1"/>
      <x:c r="I1612" s="1"/>
      <x:c r="J1612" s="1"/>
      <x:c r="K1612" s="1"/>
      <x:c r="L1612" s="1"/>
      <x:c r="M1612" s="1"/>
      <x:c r="N1612" s="1"/>
      <x:c r="O1612" s="1"/>
      <x:c r="P1612" s="1"/>
      <x:c r="Q1612" s="1"/>
      <x:c r="R1612" s="1"/>
      <x:c r="S1612" s="1"/>
      <x:c r="T1612" s="1"/>
      <x:c r="U1612" s="1"/>
      <x:c r="V1612" s="1"/>
    </x:row>
    <x:row r="1613">
      <x:c r="A1613" s="1"/>
      <x:c r="B1613" s="1"/>
      <x:c r="C1613" s="1"/>
      <x:c r="D1613" s="1"/>
      <x:c r="E1613" s="1"/>
      <x:c r="F1613" s="1"/>
      <x:c r="G1613" s="1"/>
      <x:c r="H1613" s="1"/>
      <x:c r="I1613" s="1"/>
      <x:c r="J1613" s="1"/>
      <x:c r="K1613" s="1"/>
      <x:c r="L1613" s="1"/>
      <x:c r="M1613" s="1"/>
      <x:c r="N1613" s="1"/>
      <x:c r="O1613" s="1"/>
      <x:c r="P1613" s="1"/>
      <x:c r="Q1613" s="1"/>
      <x:c r="R1613" s="1"/>
      <x:c r="S1613" s="1"/>
      <x:c r="T1613" s="1"/>
      <x:c r="U1613" s="1"/>
      <x:c r="V1613" s="1"/>
    </x:row>
    <x:row r="1614">
      <x:c r="A1614" s="1"/>
      <x:c r="B1614" s="1"/>
      <x:c r="C1614" s="1"/>
      <x:c r="D1614" s="1"/>
      <x:c r="E1614" s="1"/>
      <x:c r="F1614" s="1"/>
      <x:c r="G1614" s="1"/>
      <x:c r="H1614" s="1"/>
      <x:c r="I1614" s="1"/>
      <x:c r="J1614" s="1"/>
      <x:c r="K1614" s="1"/>
      <x:c r="L1614" s="1"/>
      <x:c r="M1614" s="1"/>
      <x:c r="N1614" s="1"/>
      <x:c r="O1614" s="1"/>
      <x:c r="P1614" s="1"/>
      <x:c r="Q1614" s="1"/>
      <x:c r="R1614" s="1"/>
      <x:c r="S1614" s="1"/>
      <x:c r="T1614" s="1"/>
      <x:c r="U1614" s="1"/>
      <x:c r="V1614" s="1"/>
    </x:row>
    <x:row r="1615">
      <x:c r="A1615" s="1"/>
      <x:c r="B1615" s="1"/>
      <x:c r="C1615" s="1"/>
      <x:c r="D1615" s="1"/>
      <x:c r="E1615" s="1"/>
      <x:c r="F1615" s="1"/>
      <x:c r="G1615" s="1"/>
      <x:c r="H1615" s="1"/>
      <x:c r="I1615" s="1"/>
      <x:c r="J1615" s="1"/>
      <x:c r="K1615" s="1"/>
      <x:c r="L1615" s="1"/>
      <x:c r="M1615" s="1"/>
      <x:c r="N1615" s="1"/>
      <x:c r="O1615" s="1"/>
      <x:c r="P1615" s="1"/>
      <x:c r="Q1615" s="1"/>
      <x:c r="R1615" s="1"/>
      <x:c r="S1615" s="1"/>
      <x:c r="T1615" s="1"/>
      <x:c r="U1615" s="1"/>
      <x:c r="V1615" s="1"/>
    </x:row>
    <x:row r="1616">
      <x:c r="A1616" s="1"/>
      <x:c r="B1616" s="1"/>
      <x:c r="C1616" s="1"/>
      <x:c r="D1616" s="1"/>
      <x:c r="E1616" s="1"/>
      <x:c r="F1616" s="1"/>
      <x:c r="G1616" s="1"/>
      <x:c r="H1616" s="1"/>
      <x:c r="I1616" s="1"/>
      <x:c r="J1616" s="1"/>
      <x:c r="K1616" s="1"/>
      <x:c r="L1616" s="1"/>
      <x:c r="M1616" s="1"/>
      <x:c r="N1616" s="1"/>
      <x:c r="O1616" s="1"/>
      <x:c r="P1616" s="1"/>
      <x:c r="Q1616" s="1"/>
      <x:c r="R1616" s="1"/>
      <x:c r="S1616" s="1"/>
      <x:c r="T1616" s="1"/>
      <x:c r="U1616" s="1"/>
      <x:c r="V1616" s="1"/>
    </x:row>
    <x:row r="1617">
      <x:c r="A1617" s="1"/>
      <x:c r="B1617" s="1"/>
      <x:c r="C1617" s="1"/>
      <x:c r="D1617" s="1"/>
      <x:c r="E1617" s="1"/>
      <x:c r="F1617" s="1"/>
      <x:c r="G1617" s="1"/>
      <x:c r="H1617" s="1"/>
      <x:c r="I1617" s="1"/>
      <x:c r="J1617" s="1"/>
      <x:c r="K1617" s="1"/>
      <x:c r="L1617" s="1"/>
      <x:c r="M1617" s="1"/>
      <x:c r="N1617" s="1"/>
      <x:c r="O1617" s="1"/>
      <x:c r="P1617" s="1"/>
      <x:c r="Q1617" s="1"/>
      <x:c r="R1617" s="1"/>
      <x:c r="S1617" s="1"/>
      <x:c r="T1617" s="1"/>
      <x:c r="U1617" s="1"/>
      <x:c r="V1617" s="1"/>
    </x:row>
    <x:row r="1618">
      <x:c r="A1618" s="1"/>
      <x:c r="B1618" s="1"/>
      <x:c r="C1618" s="1"/>
      <x:c r="D1618" s="1"/>
      <x:c r="E1618" s="1"/>
      <x:c r="F1618" s="1"/>
      <x:c r="G1618" s="1"/>
      <x:c r="H1618" s="1"/>
      <x:c r="I1618" s="1"/>
      <x:c r="J1618" s="1"/>
      <x:c r="K1618" s="1"/>
      <x:c r="L1618" s="1"/>
      <x:c r="M1618" s="1"/>
      <x:c r="N1618" s="1"/>
      <x:c r="O1618" s="1"/>
      <x:c r="P1618" s="1"/>
      <x:c r="Q1618" s="1"/>
      <x:c r="R1618" s="1"/>
      <x:c r="S1618" s="1"/>
      <x:c r="T1618" s="1"/>
      <x:c r="U1618" s="1"/>
      <x:c r="V1618" s="1"/>
    </x:row>
    <x:row r="1619">
      <x:c r="A1619" s="1"/>
      <x:c r="B1619" s="1"/>
      <x:c r="C1619" s="1"/>
      <x:c r="D1619" s="1"/>
      <x:c r="E1619" s="1"/>
      <x:c r="F1619" s="1"/>
      <x:c r="G1619" s="1"/>
      <x:c r="H1619" s="1"/>
      <x:c r="I1619" s="1"/>
      <x:c r="J1619" s="1"/>
      <x:c r="K1619" s="1"/>
      <x:c r="L1619" s="1"/>
      <x:c r="M1619" s="1"/>
      <x:c r="N1619" s="1"/>
      <x:c r="O1619" s="1"/>
      <x:c r="P1619" s="1"/>
      <x:c r="Q1619" s="1"/>
      <x:c r="R1619" s="1"/>
      <x:c r="S1619" s="1"/>
      <x:c r="T1619" s="1"/>
      <x:c r="U1619" s="1"/>
      <x:c r="V1619" s="1"/>
    </x:row>
    <x:row r="1620">
      <x:c r="A1620" s="1"/>
      <x:c r="B1620" s="1"/>
      <x:c r="C1620" s="1"/>
      <x:c r="D1620" s="1"/>
      <x:c r="E1620" s="1"/>
      <x:c r="F1620" s="1"/>
      <x:c r="G1620" s="1"/>
      <x:c r="H1620" s="1"/>
      <x:c r="I1620" s="1"/>
      <x:c r="J1620" s="1"/>
      <x:c r="K1620" s="1"/>
      <x:c r="L1620" s="1"/>
      <x:c r="M1620" s="1"/>
      <x:c r="N1620" s="1"/>
      <x:c r="O1620" s="1"/>
      <x:c r="P1620" s="1"/>
      <x:c r="Q1620" s="1"/>
      <x:c r="R1620" s="1"/>
      <x:c r="S1620" s="1"/>
      <x:c r="T1620" s="1"/>
      <x:c r="U1620" s="1"/>
      <x:c r="V1620" s="1"/>
    </x:row>
    <x:row r="1621">
      <x:c r="A1621" s="1"/>
      <x:c r="B1621" s="1"/>
      <x:c r="C1621" s="1"/>
      <x:c r="D1621" s="1"/>
      <x:c r="E1621" s="1"/>
      <x:c r="F1621" s="1"/>
      <x:c r="G1621" s="1"/>
      <x:c r="H1621" s="1"/>
      <x:c r="I1621" s="1"/>
      <x:c r="J1621" s="1"/>
      <x:c r="K1621" s="1"/>
      <x:c r="L1621" s="1"/>
      <x:c r="M1621" s="1"/>
      <x:c r="N1621" s="1"/>
      <x:c r="O1621" s="1"/>
      <x:c r="P1621" s="1"/>
      <x:c r="Q1621" s="1"/>
      <x:c r="R1621" s="1"/>
      <x:c r="S1621" s="1"/>
      <x:c r="T1621" s="1"/>
      <x:c r="U1621" s="1"/>
      <x:c r="V1621" s="1"/>
    </x:row>
    <x:row r="1622">
      <x:c r="A1622" s="1"/>
      <x:c r="B1622" s="1"/>
      <x:c r="C1622" s="1"/>
      <x:c r="D1622" s="1"/>
      <x:c r="E1622" s="1"/>
      <x:c r="F1622" s="1"/>
      <x:c r="G1622" s="1"/>
      <x:c r="H1622" s="1"/>
      <x:c r="I1622" s="1"/>
      <x:c r="J1622" s="1"/>
      <x:c r="K1622" s="1"/>
      <x:c r="L1622" s="1"/>
      <x:c r="M1622" s="1"/>
      <x:c r="N1622" s="1"/>
      <x:c r="O1622" s="1"/>
      <x:c r="P1622" s="1"/>
      <x:c r="Q1622" s="1"/>
      <x:c r="R1622" s="1"/>
      <x:c r="S1622" s="1"/>
      <x:c r="T1622" s="1"/>
      <x:c r="U1622" s="1"/>
      <x:c r="V1622" s="1"/>
    </x:row>
    <x:row r="1623">
      <x:c r="A1623" s="1"/>
      <x:c r="B1623" s="1"/>
      <x:c r="C1623" s="1"/>
      <x:c r="D1623" s="1"/>
      <x:c r="E1623" s="1"/>
      <x:c r="F1623" s="1"/>
      <x:c r="G1623" s="1"/>
      <x:c r="H1623" s="1"/>
      <x:c r="I1623" s="1"/>
      <x:c r="J1623" s="1"/>
      <x:c r="K1623" s="1"/>
      <x:c r="L1623" s="1"/>
      <x:c r="M1623" s="1"/>
      <x:c r="N1623" s="1"/>
      <x:c r="O1623" s="1"/>
      <x:c r="P1623" s="1"/>
      <x:c r="Q1623" s="1"/>
      <x:c r="R1623" s="1"/>
      <x:c r="S1623" s="1"/>
      <x:c r="T1623" s="1"/>
      <x:c r="U1623" s="1"/>
      <x:c r="V1623" s="1"/>
    </x:row>
    <x:row r="1624">
      <x:c r="A1624" s="1"/>
      <x:c r="B1624" s="1"/>
      <x:c r="C1624" s="1"/>
      <x:c r="D1624" s="1"/>
      <x:c r="E1624" s="1"/>
      <x:c r="F1624" s="1"/>
      <x:c r="G1624" s="1"/>
      <x:c r="H1624" s="1"/>
      <x:c r="I1624" s="1"/>
      <x:c r="J1624" s="1"/>
      <x:c r="K1624" s="1"/>
      <x:c r="L1624" s="1"/>
      <x:c r="M1624" s="1"/>
      <x:c r="N1624" s="1"/>
      <x:c r="O1624" s="1"/>
      <x:c r="P1624" s="1"/>
      <x:c r="Q1624" s="1"/>
      <x:c r="R1624" s="1"/>
      <x:c r="S1624" s="1"/>
      <x:c r="T1624" s="1"/>
      <x:c r="U1624" s="1"/>
      <x:c r="V1624" s="1"/>
    </x:row>
    <x:row r="1625">
      <x:c r="A1625" s="1"/>
      <x:c r="B1625" s="1"/>
      <x:c r="C1625" s="1"/>
      <x:c r="D1625" s="1"/>
      <x:c r="E1625" s="1"/>
      <x:c r="F1625" s="1"/>
      <x:c r="G1625" s="1"/>
      <x:c r="H1625" s="1"/>
      <x:c r="I1625" s="1"/>
      <x:c r="J1625" s="1"/>
      <x:c r="K1625" s="1"/>
      <x:c r="L1625" s="1"/>
      <x:c r="M1625" s="1"/>
      <x:c r="N1625" s="1"/>
      <x:c r="O1625" s="1"/>
      <x:c r="P1625" s="1"/>
      <x:c r="Q1625" s="1"/>
      <x:c r="R1625" s="1"/>
      <x:c r="S1625" s="1"/>
      <x:c r="T1625" s="1"/>
      <x:c r="U1625" s="1"/>
      <x:c r="V1625" s="1"/>
    </x:row>
    <x:row r="1626">
      <x:c r="A1626" s="1"/>
      <x:c r="B1626" s="1"/>
      <x:c r="C1626" s="1"/>
      <x:c r="D1626" s="1"/>
      <x:c r="E1626" s="1"/>
      <x:c r="F1626" s="1"/>
      <x:c r="G1626" s="1"/>
      <x:c r="H1626" s="1"/>
      <x:c r="I1626" s="1"/>
      <x:c r="J1626" s="1"/>
      <x:c r="K1626" s="1"/>
      <x:c r="L1626" s="1"/>
      <x:c r="M1626" s="1"/>
      <x:c r="N1626" s="1"/>
      <x:c r="O1626" s="1"/>
      <x:c r="P1626" s="1"/>
      <x:c r="Q1626" s="1"/>
      <x:c r="R1626" s="1"/>
      <x:c r="S1626" s="1"/>
      <x:c r="T1626" s="1"/>
      <x:c r="U1626" s="1"/>
      <x:c r="V1626" s="1"/>
    </x:row>
    <x:row r="1627">
      <x:c r="A1627" s="1"/>
      <x:c r="B1627" s="1"/>
      <x:c r="C1627" s="1"/>
      <x:c r="D1627" s="1"/>
      <x:c r="E1627" s="1"/>
      <x:c r="F1627" s="1"/>
      <x:c r="G1627" s="1"/>
      <x:c r="H1627" s="1"/>
      <x:c r="I1627" s="1"/>
      <x:c r="J1627" s="1"/>
      <x:c r="K1627" s="1"/>
      <x:c r="L1627" s="1"/>
      <x:c r="M1627" s="1"/>
      <x:c r="N1627" s="1"/>
      <x:c r="O1627" s="1"/>
      <x:c r="P1627" s="1"/>
      <x:c r="Q1627" s="1"/>
      <x:c r="R1627" s="1"/>
      <x:c r="S1627" s="1"/>
      <x:c r="T1627" s="1"/>
      <x:c r="U1627" s="1"/>
      <x:c r="V1627" s="1"/>
    </x:row>
    <x:row r="1628">
      <x:c r="A1628" s="1"/>
      <x:c r="B1628" s="1"/>
      <x:c r="C1628" s="1"/>
      <x:c r="D1628" s="1"/>
      <x:c r="E1628" s="1"/>
      <x:c r="F1628" s="1"/>
      <x:c r="G1628" s="1"/>
      <x:c r="H1628" s="1"/>
      <x:c r="I1628" s="1"/>
      <x:c r="J1628" s="1"/>
      <x:c r="K1628" s="1"/>
      <x:c r="L1628" s="1"/>
      <x:c r="M1628" s="1"/>
      <x:c r="N1628" s="1"/>
      <x:c r="O1628" s="1"/>
      <x:c r="P1628" s="1"/>
      <x:c r="Q1628" s="1"/>
      <x:c r="R1628" s="1"/>
      <x:c r="S1628" s="1"/>
      <x:c r="T1628" s="1"/>
      <x:c r="U1628" s="1"/>
      <x:c r="V1628" s="1"/>
    </x:row>
    <x:row r="1629">
      <x:c r="A1629" s="1"/>
      <x:c r="B1629" s="1"/>
      <x:c r="C1629" s="1"/>
      <x:c r="D1629" s="1"/>
      <x:c r="E1629" s="1"/>
      <x:c r="F1629" s="1"/>
      <x:c r="G1629" s="1"/>
      <x:c r="H1629" s="1"/>
      <x:c r="I1629" s="1"/>
      <x:c r="J1629" s="1"/>
      <x:c r="K1629" s="1"/>
      <x:c r="L1629" s="1"/>
      <x:c r="M1629" s="1"/>
      <x:c r="N1629" s="1"/>
      <x:c r="O1629" s="1"/>
      <x:c r="P1629" s="1"/>
      <x:c r="Q1629" s="1"/>
      <x:c r="R1629" s="1"/>
      <x:c r="S1629" s="1"/>
      <x:c r="T1629" s="1"/>
      <x:c r="U1629" s="1"/>
      <x:c r="V1629" s="1"/>
    </x:row>
    <x:row r="1630">
      <x:c r="A1630" s="1"/>
      <x:c r="B1630" s="1"/>
      <x:c r="C1630" s="1"/>
      <x:c r="D1630" s="1"/>
      <x:c r="E1630" s="1"/>
      <x:c r="F1630" s="1"/>
      <x:c r="G1630" s="1"/>
      <x:c r="H1630" s="1"/>
      <x:c r="I1630" s="1"/>
      <x:c r="J1630" s="1"/>
      <x:c r="K1630" s="1"/>
      <x:c r="L1630" s="1"/>
      <x:c r="M1630" s="1"/>
      <x:c r="N1630" s="1"/>
      <x:c r="O1630" s="1"/>
      <x:c r="P1630" s="1"/>
      <x:c r="Q1630" s="1"/>
      <x:c r="R1630" s="1"/>
      <x:c r="S1630" s="1"/>
      <x:c r="T1630" s="1"/>
      <x:c r="U1630" s="1"/>
      <x:c r="V1630" s="1"/>
    </x:row>
    <x:row r="1631">
      <x:c r="A1631" s="1"/>
      <x:c r="B1631" s="1"/>
      <x:c r="C1631" s="1"/>
      <x:c r="D1631" s="1"/>
      <x:c r="E1631" s="1"/>
      <x:c r="F1631" s="1"/>
      <x:c r="G1631" s="1"/>
      <x:c r="H1631" s="1"/>
      <x:c r="I1631" s="1"/>
      <x:c r="J1631" s="1"/>
      <x:c r="K1631" s="1"/>
      <x:c r="L1631" s="1"/>
      <x:c r="M1631" s="1"/>
      <x:c r="N1631" s="1"/>
      <x:c r="O1631" s="1"/>
      <x:c r="P1631" s="1"/>
      <x:c r="Q1631" s="1"/>
      <x:c r="R1631" s="1"/>
      <x:c r="S1631" s="1"/>
      <x:c r="T1631" s="1"/>
      <x:c r="U1631" s="1"/>
      <x:c r="V1631" s="1"/>
    </x:row>
    <x:row r="1632">
      <x:c r="A1632" s="1"/>
      <x:c r="B1632" s="1"/>
      <x:c r="C1632" s="1"/>
      <x:c r="D1632" s="1"/>
      <x:c r="E1632" s="1"/>
      <x:c r="F1632" s="1"/>
      <x:c r="G1632" s="1"/>
      <x:c r="H1632" s="1"/>
      <x:c r="I1632" s="1"/>
      <x:c r="J1632" s="1"/>
      <x:c r="K1632" s="1"/>
      <x:c r="L1632" s="1"/>
      <x:c r="M1632" s="1"/>
      <x:c r="N1632" s="1"/>
      <x:c r="O1632" s="1"/>
      <x:c r="P1632" s="1"/>
      <x:c r="Q1632" s="1"/>
      <x:c r="R1632" s="1"/>
      <x:c r="S1632" s="1"/>
      <x:c r="T1632" s="1"/>
      <x:c r="U1632" s="1"/>
      <x:c r="V1632" s="1"/>
    </x:row>
    <x:row r="1633">
      <x:c r="A1633" s="1"/>
      <x:c r="B1633" s="1"/>
      <x:c r="C1633" s="1"/>
      <x:c r="D1633" s="1"/>
      <x:c r="E1633" s="1"/>
      <x:c r="F1633" s="1"/>
      <x:c r="G1633" s="1"/>
      <x:c r="H1633" s="1"/>
      <x:c r="I1633" s="1"/>
      <x:c r="J1633" s="1"/>
      <x:c r="K1633" s="1"/>
      <x:c r="L1633" s="1"/>
      <x:c r="M1633" s="1"/>
      <x:c r="N1633" s="1"/>
      <x:c r="O1633" s="1"/>
      <x:c r="P1633" s="1"/>
      <x:c r="Q1633" s="1"/>
      <x:c r="R1633" s="1"/>
      <x:c r="S1633" s="1"/>
      <x:c r="T1633" s="1"/>
      <x:c r="U1633" s="1"/>
      <x:c r="V1633" s="1"/>
    </x:row>
    <x:row r="1634">
      <x:c r="A1634" s="1"/>
      <x:c r="B1634" s="1"/>
      <x:c r="C1634" s="1"/>
      <x:c r="D1634" s="1"/>
      <x:c r="E1634" s="1"/>
      <x:c r="F1634" s="1"/>
      <x:c r="G1634" s="1"/>
      <x:c r="H1634" s="1"/>
      <x:c r="I1634" s="1"/>
      <x:c r="J1634" s="1"/>
      <x:c r="K1634" s="1"/>
      <x:c r="L1634" s="1"/>
      <x:c r="M1634" s="1"/>
      <x:c r="N1634" s="1"/>
      <x:c r="O1634" s="1"/>
      <x:c r="P1634" s="1"/>
      <x:c r="Q1634" s="1"/>
      <x:c r="R1634" s="1"/>
      <x:c r="S1634" s="1"/>
      <x:c r="T1634" s="1"/>
      <x:c r="U1634" s="1"/>
      <x:c r="V1634" s="1"/>
    </x:row>
    <x:row r="1635">
      <x:c r="A1635" s="1"/>
      <x:c r="B1635" s="1"/>
      <x:c r="C1635" s="1"/>
      <x:c r="D1635" s="1"/>
      <x:c r="E1635" s="1"/>
      <x:c r="F1635" s="1"/>
      <x:c r="G1635" s="1"/>
      <x:c r="H1635" s="1"/>
      <x:c r="I1635" s="1"/>
      <x:c r="J1635" s="1"/>
      <x:c r="K1635" s="1"/>
      <x:c r="L1635" s="1"/>
      <x:c r="M1635" s="1"/>
      <x:c r="N1635" s="1"/>
      <x:c r="O1635" s="1"/>
      <x:c r="P1635" s="1"/>
      <x:c r="Q1635" s="1"/>
      <x:c r="R1635" s="1"/>
      <x:c r="S1635" s="1"/>
      <x:c r="T1635" s="1"/>
      <x:c r="U1635" s="1"/>
      <x:c r="V1635" s="1"/>
    </x:row>
    <x:row r="1636">
      <x:c r="A1636" s="1"/>
      <x:c r="B1636" s="1"/>
      <x:c r="C1636" s="1"/>
      <x:c r="D1636" s="1"/>
      <x:c r="E1636" s="1"/>
      <x:c r="F1636" s="1"/>
      <x:c r="G1636" s="1"/>
      <x:c r="H1636" s="1"/>
      <x:c r="I1636" s="1"/>
      <x:c r="J1636" s="1"/>
      <x:c r="K1636" s="1"/>
      <x:c r="L1636" s="1"/>
      <x:c r="M1636" s="1"/>
      <x:c r="N1636" s="1"/>
      <x:c r="O1636" s="1"/>
      <x:c r="P1636" s="1"/>
      <x:c r="Q1636" s="1"/>
      <x:c r="R1636" s="1"/>
      <x:c r="S1636" s="1"/>
      <x:c r="T1636" s="1"/>
      <x:c r="U1636" s="1"/>
      <x:c r="V1636" s="1"/>
    </x:row>
    <x:row r="1637">
      <x:c r="A1637" s="1"/>
      <x:c r="B1637" s="1"/>
      <x:c r="C1637" s="1"/>
      <x:c r="D1637" s="1"/>
      <x:c r="E1637" s="1"/>
      <x:c r="F1637" s="1"/>
      <x:c r="G1637" s="1"/>
      <x:c r="H1637" s="1"/>
      <x:c r="I1637" s="1"/>
      <x:c r="J1637" s="1"/>
      <x:c r="K1637" s="1"/>
      <x:c r="L1637" s="1"/>
      <x:c r="M1637" s="1"/>
      <x:c r="N1637" s="1"/>
      <x:c r="O1637" s="1"/>
      <x:c r="P1637" s="1"/>
      <x:c r="Q1637" s="1"/>
      <x:c r="R1637" s="1"/>
      <x:c r="S1637" s="1"/>
      <x:c r="T1637" s="1"/>
      <x:c r="U1637" s="1"/>
      <x:c r="V1637" s="1"/>
    </x:row>
    <x:row r="1638">
      <x:c r="A1638" s="1"/>
      <x:c r="B1638" s="1"/>
      <x:c r="C1638" s="1"/>
      <x:c r="D1638" s="1"/>
      <x:c r="E1638" s="1"/>
      <x:c r="F1638" s="1"/>
      <x:c r="G1638" s="1"/>
      <x:c r="H1638" s="1"/>
      <x:c r="I1638" s="1"/>
      <x:c r="J1638" s="1"/>
      <x:c r="K1638" s="1"/>
      <x:c r="L1638" s="1"/>
      <x:c r="M1638" s="1"/>
      <x:c r="N1638" s="1"/>
      <x:c r="O1638" s="1"/>
      <x:c r="P1638" s="1"/>
      <x:c r="Q1638" s="1"/>
      <x:c r="R1638" s="1"/>
      <x:c r="S1638" s="1"/>
      <x:c r="T1638" s="1"/>
      <x:c r="U1638" s="1"/>
      <x:c r="V1638" s="1"/>
    </x:row>
    <x:row r="1639">
      <x:c r="A1639" s="1"/>
      <x:c r="B1639" s="1"/>
      <x:c r="C1639" s="1"/>
      <x:c r="D1639" s="1"/>
      <x:c r="E1639" s="1"/>
      <x:c r="F1639" s="1"/>
      <x:c r="G1639" s="1"/>
      <x:c r="H1639" s="1"/>
      <x:c r="I1639" s="1"/>
      <x:c r="J1639" s="1"/>
      <x:c r="K1639" s="1"/>
      <x:c r="L1639" s="1"/>
      <x:c r="M1639" s="1"/>
      <x:c r="N1639" s="1"/>
      <x:c r="O1639" s="1"/>
      <x:c r="P1639" s="1"/>
      <x:c r="Q1639" s="1"/>
      <x:c r="R1639" s="1"/>
      <x:c r="S1639" s="1"/>
      <x:c r="T1639" s="1"/>
      <x:c r="U1639" s="1"/>
      <x:c r="V1639" s="1"/>
    </x:row>
    <x:row r="1640">
      <x:c r="A1640" s="1"/>
      <x:c r="B1640" s="1"/>
      <x:c r="C1640" s="1"/>
      <x:c r="D1640" s="1"/>
      <x:c r="E1640" s="1"/>
      <x:c r="F1640" s="1"/>
      <x:c r="G1640" s="1"/>
      <x:c r="H1640" s="1"/>
      <x:c r="I1640" s="1"/>
      <x:c r="J1640" s="1"/>
      <x:c r="K1640" s="1"/>
      <x:c r="L1640" s="1"/>
      <x:c r="M1640" s="1"/>
      <x:c r="N1640" s="1"/>
      <x:c r="O1640" s="1"/>
      <x:c r="P1640" s="1"/>
      <x:c r="Q1640" s="1"/>
      <x:c r="R1640" s="1"/>
      <x:c r="S1640" s="1"/>
      <x:c r="T1640" s="1"/>
      <x:c r="U1640" s="1"/>
      <x:c r="V1640" s="1"/>
    </x:row>
    <x:row r="1641">
      <x:c r="A1641" s="1"/>
      <x:c r="B1641" s="1"/>
      <x:c r="C1641" s="1"/>
      <x:c r="D1641" s="1"/>
      <x:c r="E1641" s="1"/>
      <x:c r="F1641" s="1"/>
      <x:c r="G1641" s="1"/>
      <x:c r="H1641" s="1"/>
      <x:c r="I1641" s="1"/>
      <x:c r="J1641" s="1"/>
      <x:c r="K1641" s="1"/>
      <x:c r="L1641" s="1"/>
      <x:c r="M1641" s="1"/>
      <x:c r="N1641" s="1"/>
      <x:c r="O1641" s="1"/>
      <x:c r="P1641" s="1"/>
      <x:c r="Q1641" s="1"/>
      <x:c r="R1641" s="1"/>
      <x:c r="S1641" s="1"/>
      <x:c r="T1641" s="1"/>
      <x:c r="U1641" s="1"/>
      <x:c r="V1641" s="1"/>
    </x:row>
    <x:row r="1642">
      <x:c r="A1642" s="1"/>
      <x:c r="B1642" s="1"/>
      <x:c r="C1642" s="1"/>
      <x:c r="D1642" s="1"/>
      <x:c r="E1642" s="1"/>
      <x:c r="F1642" s="1"/>
      <x:c r="G1642" s="1"/>
      <x:c r="H1642" s="1"/>
      <x:c r="I1642" s="1"/>
      <x:c r="J1642" s="1"/>
      <x:c r="K1642" s="1"/>
      <x:c r="L1642" s="1"/>
      <x:c r="M1642" s="1"/>
      <x:c r="N1642" s="1"/>
      <x:c r="O1642" s="1"/>
      <x:c r="P1642" s="1"/>
      <x:c r="Q1642" s="1"/>
      <x:c r="R1642" s="1"/>
      <x:c r="S1642" s="1"/>
      <x:c r="T1642" s="1"/>
      <x:c r="U1642" s="1"/>
      <x:c r="V1642" s="1"/>
    </x:row>
    <x:row r="1643">
      <x:c r="A1643" s="1"/>
      <x:c r="B1643" s="1"/>
      <x:c r="C1643" s="1"/>
      <x:c r="D1643" s="1"/>
      <x:c r="E1643" s="1"/>
      <x:c r="F1643" s="1"/>
      <x:c r="G1643" s="1"/>
      <x:c r="H1643" s="1"/>
      <x:c r="I1643" s="1"/>
      <x:c r="J1643" s="1"/>
      <x:c r="K1643" s="1"/>
      <x:c r="L1643" s="1"/>
      <x:c r="M1643" s="1"/>
      <x:c r="N1643" s="1"/>
      <x:c r="O1643" s="1"/>
      <x:c r="P1643" s="1"/>
      <x:c r="Q1643" s="1"/>
      <x:c r="R1643" s="1"/>
      <x:c r="S1643" s="1"/>
      <x:c r="T1643" s="1"/>
      <x:c r="U1643" s="1"/>
      <x:c r="V1643" s="1"/>
    </x:row>
    <x:row r="1644">
      <x:c r="A1644" s="1"/>
      <x:c r="B1644" s="1"/>
      <x:c r="C1644" s="1"/>
      <x:c r="D1644" s="1"/>
      <x:c r="E1644" s="1"/>
      <x:c r="F1644" s="1"/>
      <x:c r="G1644" s="1"/>
      <x:c r="H1644" s="1"/>
      <x:c r="I1644" s="1"/>
      <x:c r="J1644" s="1"/>
      <x:c r="K1644" s="1"/>
      <x:c r="L1644" s="1"/>
      <x:c r="M1644" s="1"/>
      <x:c r="N1644" s="1"/>
      <x:c r="O1644" s="1"/>
      <x:c r="P1644" s="1"/>
      <x:c r="Q1644" s="1"/>
      <x:c r="R1644" s="1"/>
      <x:c r="S1644" s="1"/>
      <x:c r="T1644" s="1"/>
      <x:c r="U1644" s="1"/>
      <x:c r="V1644" s="1"/>
    </x:row>
    <x:row r="1645">
      <x:c r="A1645" s="1"/>
      <x:c r="B1645" s="1"/>
      <x:c r="C1645" s="1"/>
      <x:c r="D1645" s="1"/>
      <x:c r="E1645" s="1"/>
      <x:c r="F1645" s="1"/>
      <x:c r="G1645" s="1"/>
      <x:c r="H1645" s="1"/>
      <x:c r="I1645" s="1"/>
      <x:c r="J1645" s="1"/>
      <x:c r="K1645" s="1"/>
      <x:c r="L1645" s="1"/>
      <x:c r="M1645" s="1"/>
      <x:c r="N1645" s="1"/>
      <x:c r="O1645" s="1"/>
      <x:c r="P1645" s="1"/>
      <x:c r="Q1645" s="1"/>
      <x:c r="R1645" s="1"/>
      <x:c r="S1645" s="1"/>
      <x:c r="T1645" s="1"/>
      <x:c r="U1645" s="1"/>
      <x:c r="V1645" s="1"/>
    </x:row>
    <x:row r="1646">
      <x:c r="A1646" s="1"/>
      <x:c r="B1646" s="1"/>
      <x:c r="C1646" s="1"/>
      <x:c r="D1646" s="1"/>
      <x:c r="E1646" s="1"/>
      <x:c r="F1646" s="1"/>
      <x:c r="G1646" s="1"/>
      <x:c r="H1646" s="1"/>
      <x:c r="I1646" s="1"/>
      <x:c r="J1646" s="1"/>
      <x:c r="K1646" s="1"/>
      <x:c r="L1646" s="1"/>
      <x:c r="M1646" s="1"/>
      <x:c r="N1646" s="1"/>
      <x:c r="O1646" s="1"/>
      <x:c r="P1646" s="1"/>
      <x:c r="Q1646" s="1"/>
      <x:c r="R1646" s="1"/>
      <x:c r="S1646" s="1"/>
      <x:c r="T1646" s="1"/>
      <x:c r="U1646" s="1"/>
      <x:c r="V1646" s="1"/>
    </x:row>
    <x:row r="1647">
      <x:c r="A1647" s="1"/>
      <x:c r="B1647" s="1"/>
      <x:c r="C1647" s="1"/>
      <x:c r="D1647" s="1"/>
      <x:c r="E1647" s="1"/>
      <x:c r="F1647" s="1"/>
      <x:c r="G1647" s="1"/>
      <x:c r="H1647" s="1"/>
      <x:c r="I1647" s="1"/>
      <x:c r="J1647" s="1"/>
      <x:c r="K1647" s="1"/>
      <x:c r="L1647" s="1"/>
      <x:c r="M1647" s="1"/>
      <x:c r="N1647" s="1"/>
      <x:c r="O1647" s="1"/>
      <x:c r="P1647" s="1"/>
      <x:c r="Q1647" s="1"/>
      <x:c r="R1647" s="1"/>
      <x:c r="S1647" s="1"/>
      <x:c r="T1647" s="1"/>
      <x:c r="U1647" s="1"/>
      <x:c r="V1647" s="1"/>
    </x:row>
    <x:row r="1648">
      <x:c r="A1648" s="1"/>
      <x:c r="B1648" s="1"/>
      <x:c r="C1648" s="1"/>
      <x:c r="D1648" s="1"/>
      <x:c r="E1648" s="1"/>
      <x:c r="F1648" s="1"/>
      <x:c r="G1648" s="1"/>
      <x:c r="H1648" s="1"/>
      <x:c r="I1648" s="1"/>
      <x:c r="J1648" s="1"/>
      <x:c r="K1648" s="1"/>
      <x:c r="L1648" s="1"/>
      <x:c r="M1648" s="1"/>
      <x:c r="N1648" s="1"/>
      <x:c r="O1648" s="1"/>
      <x:c r="P1648" s="1"/>
      <x:c r="Q1648" s="1"/>
      <x:c r="R1648" s="1"/>
      <x:c r="S1648" s="1"/>
      <x:c r="T1648" s="1"/>
      <x:c r="U1648" s="1"/>
      <x:c r="V1648" s="1"/>
    </x:row>
    <x:row r="1649">
      <x:c r="A1649" s="1"/>
      <x:c r="B1649" s="1"/>
      <x:c r="C1649" s="1"/>
      <x:c r="D1649" s="1"/>
      <x:c r="E1649" s="1"/>
      <x:c r="F1649" s="1"/>
      <x:c r="G1649" s="1"/>
      <x:c r="H1649" s="1"/>
      <x:c r="I1649" s="1"/>
      <x:c r="J1649" s="1"/>
      <x:c r="K1649" s="1"/>
      <x:c r="L1649" s="1"/>
      <x:c r="M1649" s="1"/>
      <x:c r="N1649" s="1"/>
      <x:c r="O1649" s="1"/>
      <x:c r="P1649" s="1"/>
      <x:c r="Q1649" s="1"/>
      <x:c r="R1649" s="1"/>
      <x:c r="S1649" s="1"/>
      <x:c r="T1649" s="1"/>
      <x:c r="U1649" s="1"/>
      <x:c r="V1649" s="1"/>
    </x:row>
    <x:row r="1650">
      <x:c r="A1650" s="1"/>
      <x:c r="B1650" s="1"/>
      <x:c r="C1650" s="1"/>
      <x:c r="D1650" s="1"/>
      <x:c r="E1650" s="1"/>
      <x:c r="F1650" s="1"/>
      <x:c r="G1650" s="1"/>
      <x:c r="H1650" s="1"/>
      <x:c r="I1650" s="1"/>
      <x:c r="J1650" s="1"/>
      <x:c r="K1650" s="1"/>
      <x:c r="L1650" s="1"/>
      <x:c r="M1650" s="1"/>
      <x:c r="N1650" s="1"/>
      <x:c r="O1650" s="1"/>
      <x:c r="P1650" s="1"/>
      <x:c r="Q1650" s="1"/>
      <x:c r="R1650" s="1"/>
      <x:c r="S1650" s="1"/>
      <x:c r="T1650" s="1"/>
      <x:c r="U1650" s="1"/>
      <x:c r="V1650" s="1"/>
    </x:row>
    <x:row r="1651">
      <x:c r="A1651" s="1"/>
      <x:c r="B1651" s="1"/>
      <x:c r="C1651" s="1"/>
      <x:c r="D1651" s="1"/>
      <x:c r="E1651" s="1"/>
      <x:c r="F1651" s="1"/>
      <x:c r="G1651" s="1"/>
      <x:c r="H1651" s="1"/>
      <x:c r="I1651" s="1"/>
      <x:c r="J1651" s="1"/>
      <x:c r="K1651" s="1"/>
      <x:c r="L1651" s="1"/>
      <x:c r="M1651" s="1"/>
      <x:c r="N1651" s="1"/>
      <x:c r="O1651" s="1"/>
      <x:c r="P1651" s="1"/>
      <x:c r="Q1651" s="1"/>
      <x:c r="R1651" s="1"/>
      <x:c r="S1651" s="1"/>
      <x:c r="T1651" s="1"/>
      <x:c r="U1651" s="1"/>
      <x:c r="V1651" s="1"/>
    </x:row>
    <x:row r="1652">
      <x:c r="A1652" s="1"/>
      <x:c r="B1652" s="1"/>
      <x:c r="C1652" s="1"/>
      <x:c r="D1652" s="1"/>
      <x:c r="E1652" s="1"/>
      <x:c r="F1652" s="1"/>
      <x:c r="G1652" s="1"/>
      <x:c r="H1652" s="1"/>
      <x:c r="I1652" s="1"/>
      <x:c r="J1652" s="1"/>
      <x:c r="K1652" s="1"/>
      <x:c r="L1652" s="1"/>
      <x:c r="M1652" s="1"/>
      <x:c r="N1652" s="1"/>
      <x:c r="O1652" s="1"/>
      <x:c r="P1652" s="1"/>
      <x:c r="Q1652" s="1"/>
      <x:c r="R1652" s="1"/>
      <x:c r="S1652" s="1"/>
      <x:c r="T1652" s="1"/>
      <x:c r="U1652" s="1"/>
      <x:c r="V1652" s="1"/>
    </x:row>
    <x:row r="1653">
      <x:c r="A1653" s="1"/>
      <x:c r="B1653" s="1"/>
      <x:c r="C1653" s="1"/>
      <x:c r="D1653" s="1"/>
      <x:c r="E1653" s="1"/>
      <x:c r="F1653" s="1"/>
      <x:c r="G1653" s="1"/>
      <x:c r="H1653" s="1"/>
      <x:c r="I1653" s="1"/>
      <x:c r="J1653" s="1"/>
      <x:c r="K1653" s="1"/>
      <x:c r="L1653" s="1"/>
      <x:c r="M1653" s="1"/>
      <x:c r="N1653" s="1"/>
      <x:c r="O1653" s="1"/>
      <x:c r="P1653" s="1"/>
      <x:c r="Q1653" s="1"/>
      <x:c r="R1653" s="1"/>
      <x:c r="S1653" s="1"/>
      <x:c r="T1653" s="1"/>
      <x:c r="U1653" s="1"/>
      <x:c r="V1653" s="1"/>
    </x:row>
    <x:row r="1654">
      <x:c r="A1654" s="1"/>
      <x:c r="B1654" s="1"/>
      <x:c r="C1654" s="1"/>
      <x:c r="D1654" s="1"/>
      <x:c r="E1654" s="1"/>
      <x:c r="F1654" s="1"/>
      <x:c r="G1654" s="1"/>
      <x:c r="H1654" s="1"/>
      <x:c r="I1654" s="1"/>
      <x:c r="J1654" s="1"/>
      <x:c r="K1654" s="1"/>
      <x:c r="L1654" s="1"/>
      <x:c r="M1654" s="1"/>
      <x:c r="N1654" s="1"/>
      <x:c r="O1654" s="1"/>
      <x:c r="P1654" s="1"/>
      <x:c r="Q1654" s="1"/>
      <x:c r="R1654" s="1"/>
      <x:c r="S1654" s="1"/>
      <x:c r="T1654" s="1"/>
      <x:c r="U1654" s="1"/>
      <x:c r="V1654" s="1"/>
    </x:row>
    <x:row r="1655">
      <x:c r="A1655" s="1"/>
      <x:c r="B1655" s="1"/>
      <x:c r="C1655" s="1"/>
      <x:c r="D1655" s="1"/>
      <x:c r="E1655" s="1"/>
      <x:c r="F1655" s="1"/>
      <x:c r="G1655" s="1"/>
      <x:c r="H1655" s="1"/>
      <x:c r="I1655" s="1"/>
      <x:c r="J1655" s="1"/>
      <x:c r="K1655" s="1"/>
      <x:c r="L1655" s="1"/>
      <x:c r="M1655" s="1"/>
      <x:c r="N1655" s="1"/>
      <x:c r="O1655" s="1"/>
      <x:c r="P1655" s="1"/>
      <x:c r="Q1655" s="1"/>
      <x:c r="R1655" s="1"/>
      <x:c r="S1655" s="1"/>
      <x:c r="T1655" s="1"/>
      <x:c r="U1655" s="1"/>
      <x:c r="V1655" s="1"/>
    </x:row>
    <x:row r="1656">
      <x:c r="A1656" s="1"/>
      <x:c r="B1656" s="1"/>
      <x:c r="C1656" s="1"/>
      <x:c r="D1656" s="1"/>
      <x:c r="E1656" s="1"/>
      <x:c r="F1656" s="1"/>
      <x:c r="G1656" s="1"/>
      <x:c r="H1656" s="1"/>
      <x:c r="I1656" s="1"/>
      <x:c r="J1656" s="1"/>
      <x:c r="K1656" s="1"/>
      <x:c r="L1656" s="1"/>
      <x:c r="M1656" s="1"/>
      <x:c r="N1656" s="1"/>
      <x:c r="O1656" s="1"/>
      <x:c r="P1656" s="1"/>
      <x:c r="Q1656" s="1"/>
      <x:c r="R1656" s="1"/>
      <x:c r="S1656" s="1"/>
      <x:c r="T1656" s="1"/>
      <x:c r="U1656" s="1"/>
      <x:c r="V1656" s="1"/>
    </x:row>
    <x:row r="1657">
      <x:c r="A1657" s="1"/>
      <x:c r="B1657" s="1"/>
      <x:c r="C1657" s="1"/>
      <x:c r="D1657" s="1"/>
      <x:c r="E1657" s="1"/>
      <x:c r="F1657" s="1"/>
      <x:c r="G1657" s="1"/>
      <x:c r="H1657" s="1"/>
      <x:c r="I1657" s="1"/>
      <x:c r="J1657" s="1"/>
      <x:c r="K1657" s="1"/>
      <x:c r="L1657" s="1"/>
      <x:c r="M1657" s="1"/>
      <x:c r="N1657" s="1"/>
      <x:c r="O1657" s="1"/>
      <x:c r="P1657" s="1"/>
      <x:c r="Q1657" s="1"/>
      <x:c r="R1657" s="1"/>
      <x:c r="S1657" s="1"/>
      <x:c r="T1657" s="1"/>
      <x:c r="U1657" s="1"/>
      <x:c r="V1657" s="1"/>
    </x:row>
    <x:row r="1658">
      <x:c r="A1658" s="1"/>
      <x:c r="B1658" s="1"/>
      <x:c r="C1658" s="1"/>
      <x:c r="D1658" s="1"/>
      <x:c r="E1658" s="1"/>
      <x:c r="F1658" s="1"/>
      <x:c r="G1658" s="1"/>
      <x:c r="H1658" s="1"/>
      <x:c r="I1658" s="1"/>
      <x:c r="J1658" s="1"/>
      <x:c r="K1658" s="1"/>
      <x:c r="L1658" s="1"/>
      <x:c r="M1658" s="1"/>
      <x:c r="N1658" s="1"/>
      <x:c r="O1658" s="1"/>
      <x:c r="P1658" s="1"/>
      <x:c r="Q1658" s="1"/>
      <x:c r="R1658" s="1"/>
      <x:c r="S1658" s="1"/>
      <x:c r="T1658" s="1"/>
      <x:c r="U1658" s="1"/>
      <x:c r="V1658" s="1"/>
    </x:row>
    <x:row r="1659">
      <x:c r="A1659" s="1"/>
      <x:c r="B1659" s="1"/>
      <x:c r="C1659" s="1"/>
      <x:c r="D1659" s="1"/>
      <x:c r="E1659" s="1"/>
      <x:c r="F1659" s="1"/>
      <x:c r="G1659" s="1"/>
      <x:c r="H1659" s="1"/>
      <x:c r="I1659" s="1"/>
      <x:c r="J1659" s="1"/>
      <x:c r="K1659" s="1"/>
      <x:c r="L1659" s="1"/>
      <x:c r="M1659" s="1"/>
      <x:c r="N1659" s="1"/>
      <x:c r="O1659" s="1"/>
      <x:c r="P1659" s="1"/>
      <x:c r="Q1659" s="1"/>
      <x:c r="R1659" s="1"/>
      <x:c r="S1659" s="1"/>
      <x:c r="T1659" s="1"/>
      <x:c r="U1659" s="1"/>
      <x:c r="V1659" s="1"/>
    </x:row>
    <x:row r="1660">
      <x:c r="A1660" s="1"/>
      <x:c r="B1660" s="1"/>
      <x:c r="C1660" s="1"/>
      <x:c r="D1660" s="1"/>
      <x:c r="E1660" s="1"/>
      <x:c r="F1660" s="1"/>
      <x:c r="G1660" s="1"/>
      <x:c r="H1660" s="1"/>
      <x:c r="I1660" s="1"/>
      <x:c r="J1660" s="1"/>
      <x:c r="K1660" s="1"/>
      <x:c r="L1660" s="1"/>
      <x:c r="M1660" s="1"/>
      <x:c r="N1660" s="1"/>
      <x:c r="O1660" s="1"/>
      <x:c r="P1660" s="1"/>
      <x:c r="Q1660" s="1"/>
      <x:c r="R1660" s="1"/>
      <x:c r="S1660" s="1"/>
      <x:c r="T1660" s="1"/>
      <x:c r="U1660" s="1"/>
      <x:c r="V1660" s="1"/>
    </x:row>
    <x:row r="1661">
      <x:c r="A1661" s="1"/>
      <x:c r="B1661" s="1"/>
      <x:c r="C1661" s="1"/>
      <x:c r="D1661" s="1"/>
      <x:c r="E1661" s="1"/>
      <x:c r="F1661" s="1"/>
      <x:c r="G1661" s="1"/>
      <x:c r="H1661" s="1"/>
      <x:c r="I1661" s="1"/>
      <x:c r="J1661" s="1"/>
      <x:c r="K1661" s="1"/>
      <x:c r="L1661" s="1"/>
      <x:c r="M1661" s="1"/>
      <x:c r="N1661" s="1"/>
      <x:c r="O1661" s="1"/>
      <x:c r="P1661" s="1"/>
      <x:c r="Q1661" s="1"/>
      <x:c r="R1661" s="1"/>
      <x:c r="S1661" s="1"/>
      <x:c r="T1661" s="1"/>
      <x:c r="U1661" s="1"/>
      <x:c r="V1661" s="1"/>
    </x:row>
    <x:row r="1662">
      <x:c r="A1662" s="1"/>
      <x:c r="B1662" s="1"/>
      <x:c r="C1662" s="1"/>
      <x:c r="D1662" s="1"/>
      <x:c r="E1662" s="1"/>
      <x:c r="F1662" s="1"/>
      <x:c r="G1662" s="1"/>
      <x:c r="H1662" s="1"/>
      <x:c r="I1662" s="1"/>
      <x:c r="J1662" s="1"/>
      <x:c r="K1662" s="1"/>
      <x:c r="L1662" s="1"/>
      <x:c r="M1662" s="1"/>
      <x:c r="N1662" s="1"/>
      <x:c r="O1662" s="1"/>
      <x:c r="P1662" s="1"/>
      <x:c r="Q1662" s="1"/>
      <x:c r="R1662" s="1"/>
      <x:c r="S1662" s="1"/>
      <x:c r="T1662" s="1"/>
      <x:c r="U1662" s="1"/>
      <x:c r="V1662" s="1"/>
    </x:row>
    <x:row r="1663">
      <x:c r="A1663" s="1"/>
      <x:c r="B1663" s="1"/>
      <x:c r="C1663" s="1"/>
      <x:c r="D1663" s="1"/>
      <x:c r="E1663" s="1"/>
      <x:c r="F1663" s="1"/>
      <x:c r="G1663" s="1"/>
      <x:c r="H1663" s="1"/>
      <x:c r="I1663" s="1"/>
      <x:c r="J1663" s="1"/>
      <x:c r="K1663" s="1"/>
      <x:c r="L1663" s="1"/>
      <x:c r="M1663" s="1"/>
      <x:c r="N1663" s="1"/>
      <x:c r="O1663" s="1"/>
      <x:c r="P1663" s="1"/>
      <x:c r="Q1663" s="1"/>
      <x:c r="R1663" s="1"/>
      <x:c r="S1663" s="1"/>
      <x:c r="T1663" s="1"/>
      <x:c r="U1663" s="1"/>
      <x:c r="V1663" s="1"/>
    </x:row>
    <x:row r="1664">
      <x:c r="A1664" s="1"/>
      <x:c r="B1664" s="1"/>
      <x:c r="C1664" s="1"/>
      <x:c r="D1664" s="1"/>
      <x:c r="E1664" s="1"/>
      <x:c r="F1664" s="1"/>
      <x:c r="G1664" s="1"/>
      <x:c r="H1664" s="1"/>
      <x:c r="I1664" s="1"/>
      <x:c r="J1664" s="1"/>
      <x:c r="K1664" s="1"/>
      <x:c r="L1664" s="1"/>
      <x:c r="M1664" s="1"/>
      <x:c r="N1664" s="1"/>
      <x:c r="O1664" s="1"/>
      <x:c r="P1664" s="1"/>
      <x:c r="Q1664" s="1"/>
      <x:c r="R1664" s="1"/>
      <x:c r="S1664" s="1"/>
      <x:c r="T1664" s="1"/>
      <x:c r="U1664" s="1"/>
      <x:c r="V1664" s="1"/>
    </x:row>
    <x:row r="1665">
      <x:c r="A1665" s="1"/>
      <x:c r="B1665" s="1"/>
      <x:c r="C1665" s="1"/>
      <x:c r="D1665" s="1"/>
      <x:c r="E1665" s="1"/>
      <x:c r="F1665" s="1"/>
      <x:c r="G1665" s="1"/>
      <x:c r="H1665" s="1"/>
      <x:c r="I1665" s="1"/>
      <x:c r="J1665" s="1"/>
      <x:c r="K1665" s="1"/>
      <x:c r="L1665" s="1"/>
      <x:c r="M1665" s="1"/>
      <x:c r="N1665" s="1"/>
      <x:c r="O1665" s="1"/>
      <x:c r="P1665" s="1"/>
      <x:c r="Q1665" s="1"/>
      <x:c r="R1665" s="1"/>
      <x:c r="S1665" s="1"/>
      <x:c r="T1665" s="1"/>
      <x:c r="U1665" s="1"/>
      <x:c r="V1665" s="1"/>
    </x:row>
    <x:row r="1666">
      <x:c r="A1666" s="1"/>
      <x:c r="B1666" s="1"/>
      <x:c r="C1666" s="1"/>
      <x:c r="D1666" s="1"/>
      <x:c r="E1666" s="1"/>
      <x:c r="F1666" s="1"/>
      <x:c r="G1666" s="1"/>
      <x:c r="H1666" s="1"/>
      <x:c r="I1666" s="1"/>
      <x:c r="J1666" s="1"/>
      <x:c r="K1666" s="1"/>
      <x:c r="L1666" s="1"/>
      <x:c r="M1666" s="1"/>
      <x:c r="N1666" s="1"/>
      <x:c r="O1666" s="1"/>
      <x:c r="P1666" s="1"/>
      <x:c r="Q1666" s="1"/>
      <x:c r="R1666" s="1"/>
      <x:c r="S1666" s="1"/>
      <x:c r="T1666" s="1"/>
      <x:c r="U1666" s="1"/>
      <x:c r="V1666" s="1"/>
    </x:row>
    <x:row r="1667">
      <x:c r="A1667" s="1"/>
      <x:c r="B1667" s="1"/>
      <x:c r="C1667" s="1"/>
      <x:c r="D1667" s="1"/>
      <x:c r="E1667" s="1"/>
      <x:c r="F1667" s="1"/>
      <x:c r="G1667" s="1"/>
      <x:c r="H1667" s="1"/>
      <x:c r="I1667" s="1"/>
      <x:c r="J1667" s="1"/>
      <x:c r="K1667" s="1"/>
      <x:c r="L1667" s="1"/>
      <x:c r="M1667" s="1"/>
      <x:c r="N1667" s="1"/>
      <x:c r="O1667" s="1"/>
      <x:c r="P1667" s="1"/>
      <x:c r="Q1667" s="1"/>
      <x:c r="R1667" s="1"/>
      <x:c r="S1667" s="1"/>
      <x:c r="T1667" s="1"/>
      <x:c r="U1667" s="1"/>
      <x:c r="V1667" s="1"/>
    </x:row>
    <x:row r="1668">
      <x:c r="A1668" s="1"/>
      <x:c r="B1668" s="1"/>
      <x:c r="C1668" s="1"/>
      <x:c r="D1668" s="1"/>
      <x:c r="E1668" s="1"/>
      <x:c r="F1668" s="1"/>
      <x:c r="G1668" s="1"/>
      <x:c r="H1668" s="1"/>
      <x:c r="I1668" s="1"/>
      <x:c r="J1668" s="1"/>
      <x:c r="K1668" s="1"/>
      <x:c r="L1668" s="1"/>
      <x:c r="M1668" s="1"/>
      <x:c r="N1668" s="1"/>
      <x:c r="O1668" s="1"/>
      <x:c r="P1668" s="1"/>
      <x:c r="Q1668" s="1"/>
      <x:c r="R1668" s="1"/>
      <x:c r="S1668" s="1"/>
      <x:c r="T1668" s="1"/>
      <x:c r="U1668" s="1"/>
      <x:c r="V1668" s="1"/>
    </x:row>
    <x:row r="1669">
      <x:c r="A1669" s="1"/>
      <x:c r="B1669" s="1"/>
      <x:c r="C1669" s="1"/>
      <x:c r="D1669" s="1"/>
      <x:c r="E1669" s="1"/>
      <x:c r="F1669" s="1"/>
      <x:c r="G1669" s="1"/>
      <x:c r="H1669" s="1"/>
      <x:c r="I1669" s="1"/>
      <x:c r="J1669" s="1"/>
      <x:c r="K1669" s="1"/>
      <x:c r="L1669" s="1"/>
      <x:c r="M1669" s="1"/>
      <x:c r="N1669" s="1"/>
      <x:c r="O1669" s="1"/>
      <x:c r="P1669" s="1"/>
      <x:c r="Q1669" s="1"/>
      <x:c r="R1669" s="1"/>
      <x:c r="S1669" s="1"/>
      <x:c r="T1669" s="1"/>
      <x:c r="U1669" s="1"/>
      <x:c r="V1669" s="1"/>
    </x:row>
    <x:row r="1670">
      <x:c r="A1670" s="1"/>
      <x:c r="B1670" s="1"/>
      <x:c r="C1670" s="1"/>
      <x:c r="D1670" s="1"/>
      <x:c r="E1670" s="1"/>
      <x:c r="F1670" s="1"/>
      <x:c r="G1670" s="1"/>
      <x:c r="H1670" s="1"/>
      <x:c r="I1670" s="1"/>
      <x:c r="J1670" s="1"/>
      <x:c r="K1670" s="1"/>
      <x:c r="L1670" s="1"/>
      <x:c r="M1670" s="1"/>
      <x:c r="N1670" s="1"/>
      <x:c r="O1670" s="1"/>
      <x:c r="P1670" s="1"/>
      <x:c r="Q1670" s="1"/>
      <x:c r="R1670" s="1"/>
      <x:c r="S1670" s="1"/>
      <x:c r="T1670" s="1"/>
      <x:c r="U1670" s="1"/>
      <x:c r="V1670" s="1"/>
    </x:row>
    <x:row r="1671">
      <x:c r="A1671" s="1"/>
      <x:c r="B1671" s="1"/>
      <x:c r="C1671" s="1"/>
      <x:c r="D1671" s="1"/>
      <x:c r="E1671" s="1"/>
      <x:c r="F1671" s="1"/>
      <x:c r="G1671" s="1"/>
      <x:c r="H1671" s="1"/>
      <x:c r="I1671" s="1"/>
      <x:c r="J1671" s="1"/>
      <x:c r="K1671" s="1"/>
      <x:c r="L1671" s="1"/>
      <x:c r="M1671" s="1"/>
      <x:c r="N1671" s="1"/>
      <x:c r="O1671" s="1"/>
      <x:c r="P1671" s="1"/>
      <x:c r="Q1671" s="1"/>
      <x:c r="R1671" s="1"/>
      <x:c r="S1671" s="1"/>
      <x:c r="T1671" s="1"/>
      <x:c r="U1671" s="1"/>
      <x:c r="V1671" s="1"/>
    </x:row>
    <x:row r="1672">
      <x:c r="A1672" s="1"/>
      <x:c r="B1672" s="1"/>
      <x:c r="C1672" s="1"/>
      <x:c r="D1672" s="1"/>
      <x:c r="E1672" s="1"/>
      <x:c r="F1672" s="1"/>
      <x:c r="G1672" s="1"/>
      <x:c r="H1672" s="1"/>
      <x:c r="I1672" s="1"/>
      <x:c r="J1672" s="1"/>
      <x:c r="K1672" s="1"/>
      <x:c r="L1672" s="1"/>
      <x:c r="M1672" s="1"/>
      <x:c r="N1672" s="1"/>
      <x:c r="O1672" s="1"/>
      <x:c r="P1672" s="1"/>
      <x:c r="Q1672" s="1"/>
      <x:c r="R1672" s="1"/>
      <x:c r="S1672" s="1"/>
      <x:c r="T1672" s="1"/>
      <x:c r="U1672" s="1"/>
      <x:c r="V1672" s="1"/>
    </x:row>
    <x:row r="1673">
      <x:c r="A1673" s="1"/>
      <x:c r="B1673" s="1"/>
      <x:c r="C1673" s="1"/>
      <x:c r="D1673" s="1"/>
      <x:c r="E1673" s="1"/>
      <x:c r="F1673" s="1"/>
      <x:c r="G1673" s="1"/>
      <x:c r="H1673" s="1"/>
      <x:c r="I1673" s="1"/>
      <x:c r="J1673" s="1"/>
      <x:c r="K1673" s="1"/>
      <x:c r="L1673" s="1"/>
      <x:c r="M1673" s="1"/>
      <x:c r="N1673" s="1"/>
      <x:c r="O1673" s="1"/>
      <x:c r="P1673" s="1"/>
      <x:c r="Q1673" s="1"/>
      <x:c r="R1673" s="1"/>
      <x:c r="S1673" s="1"/>
      <x:c r="T1673" s="1"/>
      <x:c r="U1673" s="1"/>
      <x:c r="V1673" s="1"/>
    </x:row>
    <x:row r="1674">
      <x:c r="A1674" s="1"/>
      <x:c r="B1674" s="1"/>
      <x:c r="C1674" s="1"/>
      <x:c r="D1674" s="1"/>
      <x:c r="E1674" s="1"/>
      <x:c r="F1674" s="1"/>
      <x:c r="G1674" s="1"/>
      <x:c r="H1674" s="1"/>
      <x:c r="I1674" s="1"/>
      <x:c r="J1674" s="1"/>
      <x:c r="K1674" s="1"/>
      <x:c r="L1674" s="1"/>
      <x:c r="M1674" s="1"/>
      <x:c r="N1674" s="1"/>
      <x:c r="O1674" s="1"/>
      <x:c r="P1674" s="1"/>
      <x:c r="Q1674" s="1"/>
      <x:c r="R1674" s="1"/>
      <x:c r="S1674" s="1"/>
      <x:c r="T1674" s="1"/>
      <x:c r="U1674" s="1"/>
      <x:c r="V1674" s="1"/>
    </x:row>
    <x:row r="1675">
      <x:c r="A1675" s="1"/>
      <x:c r="B1675" s="1"/>
      <x:c r="C1675" s="1"/>
      <x:c r="D1675" s="1"/>
      <x:c r="E1675" s="1"/>
      <x:c r="F1675" s="1"/>
      <x:c r="G1675" s="1"/>
      <x:c r="H1675" s="1"/>
      <x:c r="I1675" s="1"/>
      <x:c r="J1675" s="1"/>
      <x:c r="K1675" s="1"/>
      <x:c r="L1675" s="1"/>
      <x:c r="M1675" s="1"/>
      <x:c r="N1675" s="1"/>
      <x:c r="O1675" s="1"/>
      <x:c r="P1675" s="1"/>
      <x:c r="Q1675" s="1"/>
      <x:c r="R1675" s="1"/>
      <x:c r="S1675" s="1"/>
      <x:c r="T1675" s="1"/>
      <x:c r="U1675" s="1"/>
      <x:c r="V1675" s="1"/>
    </x:row>
    <x:row r="1676">
      <x:c r="A1676" s="1"/>
      <x:c r="B1676" s="1"/>
      <x:c r="C1676" s="1"/>
      <x:c r="D1676" s="1"/>
      <x:c r="E1676" s="1"/>
      <x:c r="F1676" s="1"/>
      <x:c r="G1676" s="1"/>
      <x:c r="H1676" s="1"/>
      <x:c r="I1676" s="1"/>
      <x:c r="J1676" s="1"/>
      <x:c r="K1676" s="1"/>
      <x:c r="L1676" s="1"/>
      <x:c r="M1676" s="1"/>
      <x:c r="N1676" s="1"/>
      <x:c r="O1676" s="1"/>
      <x:c r="P1676" s="1"/>
      <x:c r="Q1676" s="1"/>
      <x:c r="R1676" s="1"/>
      <x:c r="S1676" s="1"/>
      <x:c r="T1676" s="1"/>
      <x:c r="U1676" s="1"/>
      <x:c r="V1676" s="1"/>
    </x:row>
    <x:row r="1677">
      <x:c r="A1677" s="1"/>
      <x:c r="B1677" s="1"/>
      <x:c r="C1677" s="1"/>
      <x:c r="D1677" s="1"/>
      <x:c r="E1677" s="1"/>
      <x:c r="F1677" s="1"/>
      <x:c r="G1677" s="1"/>
      <x:c r="H1677" s="1"/>
      <x:c r="I1677" s="1"/>
      <x:c r="J1677" s="1"/>
      <x:c r="K1677" s="1"/>
      <x:c r="L1677" s="1"/>
      <x:c r="M1677" s="1"/>
      <x:c r="N1677" s="1"/>
      <x:c r="O1677" s="1"/>
      <x:c r="P1677" s="1"/>
      <x:c r="Q1677" s="1"/>
      <x:c r="R1677" s="1"/>
      <x:c r="S1677" s="1"/>
      <x:c r="T1677" s="1"/>
      <x:c r="U1677" s="1"/>
      <x:c r="V1677" s="1"/>
    </x:row>
    <x:row r="1678">
      <x:c r="A1678" s="1"/>
      <x:c r="B1678" s="1"/>
      <x:c r="C1678" s="1"/>
      <x:c r="D1678" s="1"/>
      <x:c r="E1678" s="1"/>
      <x:c r="F1678" s="1"/>
      <x:c r="G1678" s="1"/>
      <x:c r="H1678" s="1"/>
      <x:c r="I1678" s="1"/>
      <x:c r="J1678" s="1"/>
      <x:c r="K1678" s="1"/>
      <x:c r="L1678" s="1"/>
      <x:c r="M1678" s="1"/>
      <x:c r="N1678" s="1"/>
      <x:c r="O1678" s="1"/>
      <x:c r="P1678" s="1"/>
      <x:c r="Q1678" s="1"/>
      <x:c r="R1678" s="1"/>
      <x:c r="S1678" s="1"/>
      <x:c r="T1678" s="1"/>
      <x:c r="U1678" s="1"/>
      <x:c r="V1678" s="1"/>
    </x:row>
    <x:row r="1679">
      <x:c r="A1679" s="1"/>
      <x:c r="B1679" s="1"/>
      <x:c r="C1679" s="1"/>
      <x:c r="D1679" s="1"/>
      <x:c r="E1679" s="1"/>
      <x:c r="F1679" s="1"/>
      <x:c r="G1679" s="1"/>
      <x:c r="H1679" s="1"/>
      <x:c r="I1679" s="1"/>
      <x:c r="J1679" s="1"/>
      <x:c r="K1679" s="1"/>
      <x:c r="L1679" s="1"/>
      <x:c r="M1679" s="1"/>
      <x:c r="N1679" s="1"/>
      <x:c r="O1679" s="1"/>
      <x:c r="P1679" s="1"/>
      <x:c r="Q1679" s="1"/>
      <x:c r="R1679" s="1"/>
      <x:c r="S1679" s="1"/>
      <x:c r="T1679" s="1"/>
      <x:c r="U1679" s="1"/>
      <x:c r="V1679" s="1"/>
    </x:row>
    <x:row r="1680">
      <x:c r="A1680" s="1"/>
      <x:c r="B1680" s="1"/>
      <x:c r="C1680" s="1"/>
      <x:c r="D1680" s="1"/>
      <x:c r="E1680" s="1"/>
      <x:c r="F1680" s="1"/>
      <x:c r="G1680" s="1"/>
      <x:c r="H1680" s="1"/>
      <x:c r="I1680" s="1"/>
      <x:c r="J1680" s="1"/>
      <x:c r="K1680" s="1"/>
      <x:c r="L1680" s="1"/>
      <x:c r="M1680" s="1"/>
      <x:c r="N1680" s="1"/>
      <x:c r="O1680" s="1"/>
      <x:c r="P1680" s="1"/>
      <x:c r="Q1680" s="1"/>
      <x:c r="R1680" s="1"/>
      <x:c r="S1680" s="1"/>
      <x:c r="T1680" s="1"/>
      <x:c r="U1680" s="1"/>
      <x:c r="V1680" s="1"/>
    </x:row>
    <x:row r="1681">
      <x:c r="A1681" s="1"/>
      <x:c r="B1681" s="1"/>
      <x:c r="C1681" s="1"/>
      <x:c r="D1681" s="1"/>
      <x:c r="E1681" s="1"/>
      <x:c r="F1681" s="1"/>
      <x:c r="G1681" s="1"/>
      <x:c r="H1681" s="1"/>
      <x:c r="I1681" s="1"/>
      <x:c r="J1681" s="1"/>
      <x:c r="K1681" s="1"/>
      <x:c r="L1681" s="1"/>
      <x:c r="M1681" s="1"/>
      <x:c r="N1681" s="1"/>
      <x:c r="O1681" s="1"/>
      <x:c r="P1681" s="1"/>
      <x:c r="Q1681" s="1"/>
      <x:c r="R1681" s="1"/>
      <x:c r="S1681" s="1"/>
      <x:c r="T1681" s="1"/>
      <x:c r="U1681" s="1"/>
      <x:c r="V1681" s="1"/>
    </x:row>
    <x:row r="1682">
      <x:c r="A1682" s="1"/>
      <x:c r="B1682" s="1"/>
      <x:c r="C1682" s="1"/>
      <x:c r="D1682" s="1"/>
      <x:c r="E1682" s="1"/>
      <x:c r="F1682" s="1"/>
      <x:c r="G1682" s="1"/>
      <x:c r="H1682" s="1"/>
      <x:c r="I1682" s="1"/>
      <x:c r="J1682" s="1"/>
      <x:c r="K1682" s="1"/>
      <x:c r="L1682" s="1"/>
      <x:c r="M1682" s="1"/>
      <x:c r="N1682" s="1"/>
      <x:c r="O1682" s="1"/>
      <x:c r="P1682" s="1"/>
      <x:c r="Q1682" s="1"/>
      <x:c r="R1682" s="1"/>
      <x:c r="S1682" s="1"/>
      <x:c r="T1682" s="1"/>
      <x:c r="U1682" s="1"/>
      <x:c r="V1682" s="1"/>
    </x:row>
    <x:row r="1683">
      <x:c r="A1683" s="1"/>
      <x:c r="B1683" s="1"/>
      <x:c r="C1683" s="1"/>
      <x:c r="D1683" s="1"/>
      <x:c r="E1683" s="1"/>
      <x:c r="F1683" s="1"/>
      <x:c r="G1683" s="1"/>
      <x:c r="H1683" s="1"/>
      <x:c r="I1683" s="1"/>
      <x:c r="J1683" s="1"/>
      <x:c r="K1683" s="1"/>
      <x:c r="L1683" s="1"/>
      <x:c r="M1683" s="1"/>
      <x:c r="N1683" s="1"/>
      <x:c r="O1683" s="1"/>
      <x:c r="P1683" s="1"/>
      <x:c r="Q1683" s="1"/>
      <x:c r="R1683" s="1"/>
      <x:c r="S1683" s="1"/>
      <x:c r="T1683" s="1"/>
      <x:c r="U1683" s="1"/>
      <x:c r="V1683" s="1"/>
    </x:row>
    <x:row r="1684">
      <x:c r="A1684" s="1"/>
      <x:c r="B1684" s="1"/>
      <x:c r="C1684" s="1"/>
      <x:c r="D1684" s="1"/>
      <x:c r="E1684" s="1"/>
      <x:c r="F1684" s="1"/>
      <x:c r="G1684" s="1"/>
      <x:c r="H1684" s="1"/>
      <x:c r="I1684" s="1"/>
      <x:c r="J1684" s="1"/>
      <x:c r="K1684" s="1"/>
      <x:c r="L1684" s="1"/>
      <x:c r="M1684" s="1"/>
      <x:c r="N1684" s="1"/>
      <x:c r="O1684" s="1"/>
      <x:c r="P1684" s="1"/>
      <x:c r="Q1684" s="1"/>
      <x:c r="R1684" s="1"/>
      <x:c r="S1684" s="1"/>
      <x:c r="T1684" s="1"/>
      <x:c r="U1684" s="1"/>
      <x:c r="V1684" s="1"/>
    </x:row>
    <x:row r="1685">
      <x:c r="A1685" s="1"/>
      <x:c r="B1685" s="1"/>
      <x:c r="C1685" s="1"/>
      <x:c r="D1685" s="1"/>
      <x:c r="E1685" s="1"/>
      <x:c r="F1685" s="1"/>
      <x:c r="G1685" s="1"/>
      <x:c r="H1685" s="1"/>
      <x:c r="I1685" s="1"/>
      <x:c r="J1685" s="1"/>
      <x:c r="K1685" s="1"/>
      <x:c r="L1685" s="1"/>
      <x:c r="M1685" s="1"/>
      <x:c r="N1685" s="1"/>
      <x:c r="O1685" s="1"/>
      <x:c r="P1685" s="1"/>
      <x:c r="Q1685" s="1"/>
      <x:c r="R1685" s="1"/>
      <x:c r="S1685" s="1"/>
      <x:c r="T1685" s="1"/>
      <x:c r="U1685" s="1"/>
      <x:c r="V1685" s="1"/>
    </x:row>
    <x:row r="1686">
      <x:c r="A1686" s="1"/>
      <x:c r="B1686" s="1"/>
      <x:c r="C1686" s="1"/>
      <x:c r="D1686" s="1"/>
      <x:c r="E1686" s="1"/>
      <x:c r="F1686" s="1"/>
      <x:c r="G1686" s="1"/>
      <x:c r="H1686" s="1"/>
      <x:c r="I1686" s="1"/>
      <x:c r="J1686" s="1"/>
      <x:c r="K1686" s="1"/>
      <x:c r="L1686" s="1"/>
      <x:c r="M1686" s="1"/>
      <x:c r="N1686" s="1"/>
      <x:c r="O1686" s="1"/>
      <x:c r="P1686" s="1"/>
      <x:c r="Q1686" s="1"/>
      <x:c r="R1686" s="1"/>
      <x:c r="S1686" s="1"/>
      <x:c r="T1686" s="1"/>
      <x:c r="U1686" s="1"/>
      <x:c r="V1686" s="1"/>
    </x:row>
    <x:row r="1687">
      <x:c r="A1687" s="1"/>
      <x:c r="B1687" s="1"/>
      <x:c r="C1687" s="1"/>
      <x:c r="D1687" s="1"/>
      <x:c r="E1687" s="1"/>
      <x:c r="F1687" s="1"/>
      <x:c r="G1687" s="1"/>
      <x:c r="H1687" s="1"/>
      <x:c r="I1687" s="1"/>
      <x:c r="J1687" s="1"/>
      <x:c r="K1687" s="1"/>
      <x:c r="L1687" s="1"/>
      <x:c r="M1687" s="1"/>
      <x:c r="N1687" s="1"/>
      <x:c r="O1687" s="1"/>
      <x:c r="P1687" s="1"/>
      <x:c r="Q1687" s="1"/>
      <x:c r="R1687" s="1"/>
      <x:c r="S1687" s="1"/>
      <x:c r="T1687" s="1"/>
      <x:c r="U1687" s="1"/>
      <x:c r="V1687" s="1"/>
    </x:row>
    <x:row r="1688">
      <x:c r="A1688" s="1"/>
      <x:c r="B1688" s="1"/>
      <x:c r="C1688" s="1"/>
      <x:c r="D1688" s="1"/>
      <x:c r="E1688" s="1"/>
      <x:c r="F1688" s="1"/>
      <x:c r="G1688" s="1"/>
      <x:c r="H1688" s="1"/>
      <x:c r="I1688" s="1"/>
      <x:c r="J1688" s="1"/>
      <x:c r="K1688" s="1"/>
      <x:c r="L1688" s="1"/>
      <x:c r="M1688" s="1"/>
      <x:c r="N1688" s="1"/>
      <x:c r="O1688" s="1"/>
      <x:c r="P1688" s="1"/>
      <x:c r="Q1688" s="1"/>
      <x:c r="R1688" s="1"/>
      <x:c r="S1688" s="1"/>
      <x:c r="T1688" s="1"/>
      <x:c r="U1688" s="1"/>
      <x:c r="V1688" s="1"/>
    </x:row>
    <x:row r="1689">
      <x:c r="A1689" s="1"/>
      <x:c r="B1689" s="1"/>
      <x:c r="C1689" s="1"/>
      <x:c r="D1689" s="1"/>
      <x:c r="E1689" s="1"/>
      <x:c r="F1689" s="1"/>
      <x:c r="G1689" s="1"/>
      <x:c r="H1689" s="1"/>
      <x:c r="I1689" s="1"/>
      <x:c r="J1689" s="1"/>
      <x:c r="K1689" s="1"/>
      <x:c r="L1689" s="1"/>
      <x:c r="M1689" s="1"/>
      <x:c r="N1689" s="1"/>
      <x:c r="O1689" s="1"/>
      <x:c r="P1689" s="1"/>
      <x:c r="Q1689" s="1"/>
      <x:c r="R1689" s="1"/>
      <x:c r="S1689" s="1"/>
      <x:c r="T1689" s="1"/>
      <x:c r="U1689" s="1"/>
      <x:c r="V1689" s="1"/>
    </x:row>
    <x:row r="1690">
      <x:c r="A1690" s="1"/>
      <x:c r="B1690" s="1"/>
      <x:c r="C1690" s="1"/>
      <x:c r="D1690" s="1"/>
      <x:c r="E1690" s="1"/>
      <x:c r="F1690" s="1"/>
      <x:c r="G1690" s="1"/>
      <x:c r="H1690" s="1"/>
      <x:c r="I1690" s="1"/>
      <x:c r="J1690" s="1"/>
      <x:c r="K1690" s="1"/>
      <x:c r="L1690" s="1"/>
      <x:c r="M1690" s="1"/>
      <x:c r="N1690" s="1"/>
      <x:c r="O1690" s="1"/>
      <x:c r="P1690" s="1"/>
      <x:c r="Q1690" s="1"/>
      <x:c r="R1690" s="1"/>
      <x:c r="S1690" s="1"/>
      <x:c r="T1690" s="1"/>
      <x:c r="U1690" s="1"/>
      <x:c r="V1690" s="1"/>
    </x:row>
    <x:row r="1691">
      <x:c r="A1691" s="1"/>
      <x:c r="B1691" s="1"/>
      <x:c r="C1691" s="1"/>
      <x:c r="D1691" s="1"/>
      <x:c r="E1691" s="1"/>
      <x:c r="F1691" s="1"/>
      <x:c r="G1691" s="1"/>
      <x:c r="H1691" s="1"/>
      <x:c r="I1691" s="1"/>
      <x:c r="J1691" s="1"/>
      <x:c r="K1691" s="1"/>
      <x:c r="L1691" s="1"/>
      <x:c r="M1691" s="1"/>
      <x:c r="N1691" s="1"/>
      <x:c r="O1691" s="1"/>
      <x:c r="P1691" s="1"/>
      <x:c r="Q1691" s="1"/>
      <x:c r="R1691" s="1"/>
      <x:c r="S1691" s="1"/>
      <x:c r="T1691" s="1"/>
      <x:c r="U1691" s="1"/>
      <x:c r="V1691" s="1"/>
    </x:row>
    <x:row r="1692">
      <x:c r="A1692" s="1"/>
      <x:c r="B1692" s="1"/>
      <x:c r="C1692" s="1"/>
      <x:c r="D1692" s="1"/>
      <x:c r="E1692" s="1"/>
      <x:c r="F1692" s="1"/>
      <x:c r="G1692" s="1"/>
      <x:c r="H1692" s="1"/>
      <x:c r="I1692" s="1"/>
      <x:c r="J1692" s="1"/>
      <x:c r="K1692" s="1"/>
      <x:c r="L1692" s="1"/>
      <x:c r="M1692" s="1"/>
      <x:c r="N1692" s="1"/>
      <x:c r="O1692" s="1"/>
      <x:c r="P1692" s="1"/>
      <x:c r="Q1692" s="1"/>
      <x:c r="R1692" s="1"/>
      <x:c r="S1692" s="1"/>
      <x:c r="T1692" s="1"/>
      <x:c r="U1692" s="1"/>
      <x:c r="V1692" s="1"/>
    </x:row>
    <x:row r="1693">
      <x:c r="A1693" s="1"/>
      <x:c r="B1693" s="1"/>
      <x:c r="C1693" s="1"/>
      <x:c r="D1693" s="1"/>
      <x:c r="E1693" s="1"/>
      <x:c r="F1693" s="1"/>
      <x:c r="G1693" s="1"/>
      <x:c r="H1693" s="1"/>
      <x:c r="I1693" s="1"/>
      <x:c r="J1693" s="1"/>
      <x:c r="K1693" s="1"/>
      <x:c r="L1693" s="1"/>
      <x:c r="M1693" s="1"/>
      <x:c r="N1693" s="1"/>
      <x:c r="O1693" s="1"/>
      <x:c r="P1693" s="1"/>
      <x:c r="Q1693" s="1"/>
      <x:c r="R1693" s="1"/>
      <x:c r="S1693" s="1"/>
      <x:c r="T1693" s="1"/>
      <x:c r="U1693" s="1"/>
      <x:c r="V1693" s="1"/>
    </x:row>
    <x:row r="1694">
      <x:c r="A1694" s="1"/>
      <x:c r="B1694" s="1"/>
      <x:c r="C1694" s="1"/>
      <x:c r="D1694" s="1"/>
      <x:c r="E1694" s="1"/>
      <x:c r="F1694" s="1"/>
      <x:c r="G1694" s="1"/>
      <x:c r="H1694" s="1"/>
      <x:c r="I1694" s="1"/>
      <x:c r="J1694" s="1"/>
      <x:c r="K1694" s="1"/>
      <x:c r="L1694" s="1"/>
      <x:c r="M1694" s="1"/>
      <x:c r="N1694" s="1"/>
      <x:c r="O1694" s="1"/>
      <x:c r="P1694" s="1"/>
      <x:c r="Q1694" s="1"/>
      <x:c r="R1694" s="1"/>
      <x:c r="S1694" s="1"/>
      <x:c r="T1694" s="1"/>
      <x:c r="U1694" s="1"/>
      <x:c r="V1694" s="1"/>
    </x:row>
    <x:row r="1695">
      <x:c r="A1695" s="1"/>
      <x:c r="B1695" s="1"/>
      <x:c r="C1695" s="1"/>
      <x:c r="D1695" s="1"/>
      <x:c r="E1695" s="1"/>
      <x:c r="F1695" s="1"/>
      <x:c r="G1695" s="1"/>
      <x:c r="H1695" s="1"/>
      <x:c r="I1695" s="1"/>
      <x:c r="J1695" s="1"/>
      <x:c r="K1695" s="1"/>
      <x:c r="L1695" s="1"/>
      <x:c r="M1695" s="1"/>
      <x:c r="N1695" s="1"/>
      <x:c r="O1695" s="1"/>
      <x:c r="P1695" s="1"/>
      <x:c r="Q1695" s="1"/>
      <x:c r="R1695" s="1"/>
      <x:c r="S1695" s="1"/>
      <x:c r="T1695" s="1"/>
      <x:c r="U1695" s="1"/>
      <x:c r="V1695" s="1"/>
    </x:row>
    <x:row r="1696">
      <x:c r="A1696" s="1"/>
      <x:c r="B1696" s="1"/>
      <x:c r="C1696" s="1"/>
      <x:c r="D1696" s="1"/>
      <x:c r="E1696" s="1"/>
      <x:c r="F1696" s="1"/>
      <x:c r="G1696" s="1"/>
      <x:c r="H1696" s="1"/>
      <x:c r="I1696" s="1"/>
      <x:c r="J1696" s="1"/>
      <x:c r="K1696" s="1"/>
      <x:c r="L1696" s="1"/>
      <x:c r="M1696" s="1"/>
      <x:c r="N1696" s="1"/>
      <x:c r="O1696" s="1"/>
      <x:c r="P1696" s="1"/>
      <x:c r="Q1696" s="1"/>
      <x:c r="R1696" s="1"/>
      <x:c r="S1696" s="1"/>
      <x:c r="T1696" s="1"/>
      <x:c r="U1696" s="1"/>
      <x:c r="V1696" s="1"/>
    </x:row>
    <x:row r="1697">
      <x:c r="A1697" s="1"/>
      <x:c r="B1697" s="1"/>
      <x:c r="C1697" s="1"/>
      <x:c r="D1697" s="1"/>
      <x:c r="E1697" s="1"/>
      <x:c r="F1697" s="1"/>
      <x:c r="G1697" s="1"/>
      <x:c r="H1697" s="1"/>
      <x:c r="I1697" s="1"/>
      <x:c r="J1697" s="1"/>
      <x:c r="K1697" s="1"/>
      <x:c r="L1697" s="1"/>
      <x:c r="M1697" s="1"/>
      <x:c r="N1697" s="1"/>
      <x:c r="O1697" s="1"/>
      <x:c r="P1697" s="1"/>
      <x:c r="Q1697" s="1"/>
      <x:c r="R1697" s="1"/>
      <x:c r="S1697" s="1"/>
      <x:c r="T1697" s="1"/>
      <x:c r="U1697" s="1"/>
      <x:c r="V1697" s="1"/>
    </x:row>
    <x:row r="1698">
      <x:c r="A1698" s="1"/>
      <x:c r="B1698" s="1"/>
      <x:c r="C1698" s="1"/>
      <x:c r="D1698" s="1"/>
      <x:c r="E1698" s="1"/>
      <x:c r="F1698" s="1"/>
      <x:c r="G1698" s="1"/>
      <x:c r="H1698" s="1"/>
      <x:c r="I1698" s="1"/>
      <x:c r="J1698" s="1"/>
      <x:c r="K1698" s="1"/>
      <x:c r="L1698" s="1"/>
      <x:c r="M1698" s="1"/>
      <x:c r="N1698" s="1"/>
      <x:c r="O1698" s="1"/>
      <x:c r="P1698" s="1"/>
      <x:c r="Q1698" s="1"/>
      <x:c r="R1698" s="1"/>
      <x:c r="S1698" s="1"/>
      <x:c r="T1698" s="1"/>
      <x:c r="U1698" s="1"/>
      <x:c r="V1698" s="1"/>
    </x:row>
    <x:row r="1699">
      <x:c r="A1699" s="1"/>
      <x:c r="B1699" s="1"/>
      <x:c r="C1699" s="1"/>
      <x:c r="D1699" s="1"/>
      <x:c r="E1699" s="1"/>
      <x:c r="F1699" s="1"/>
      <x:c r="G1699" s="1"/>
      <x:c r="H1699" s="1"/>
      <x:c r="I1699" s="1"/>
      <x:c r="J1699" s="1"/>
      <x:c r="K1699" s="1"/>
      <x:c r="L1699" s="1"/>
      <x:c r="M1699" s="1"/>
      <x:c r="N1699" s="1"/>
      <x:c r="O1699" s="1"/>
      <x:c r="P1699" s="1"/>
      <x:c r="Q1699" s="1"/>
      <x:c r="R1699" s="1"/>
      <x:c r="S1699" s="1"/>
      <x:c r="T1699" s="1"/>
      <x:c r="U1699" s="1"/>
      <x:c r="V1699" s="1"/>
    </x:row>
    <x:row r="1700">
      <x:c r="A1700" s="1"/>
      <x:c r="B1700" s="1"/>
      <x:c r="C1700" s="1"/>
      <x:c r="D1700" s="1"/>
      <x:c r="E1700" s="1"/>
      <x:c r="F1700" s="1"/>
      <x:c r="G1700" s="1"/>
      <x:c r="H1700" s="1"/>
      <x:c r="I1700" s="1"/>
      <x:c r="J1700" s="1"/>
      <x:c r="K1700" s="1"/>
      <x:c r="L1700" s="1"/>
      <x:c r="M1700" s="1"/>
      <x:c r="N1700" s="1"/>
      <x:c r="O1700" s="1"/>
      <x:c r="P1700" s="1"/>
      <x:c r="Q1700" s="1"/>
      <x:c r="R1700" s="1"/>
      <x:c r="S1700" s="1"/>
      <x:c r="T1700" s="1"/>
      <x:c r="U1700" s="1"/>
      <x:c r="V1700" s="1"/>
    </x:row>
    <x:row r="1701">
      <x:c r="A1701" s="1"/>
      <x:c r="B1701" s="1"/>
      <x:c r="C1701" s="1"/>
      <x:c r="D1701" s="1"/>
      <x:c r="E1701" s="1"/>
      <x:c r="F1701" s="1"/>
      <x:c r="G1701" s="1"/>
      <x:c r="H1701" s="1"/>
      <x:c r="I1701" s="1"/>
      <x:c r="J1701" s="1"/>
      <x:c r="K1701" s="1"/>
      <x:c r="L1701" s="1"/>
      <x:c r="M1701" s="1"/>
      <x:c r="N1701" s="1"/>
      <x:c r="O1701" s="1"/>
      <x:c r="P1701" s="1"/>
      <x:c r="Q1701" s="1"/>
      <x:c r="R1701" s="1"/>
      <x:c r="S1701" s="1"/>
      <x:c r="T1701" s="1"/>
      <x:c r="U1701" s="1"/>
      <x:c r="V1701" s="1"/>
    </x:row>
    <x:row r="1702">
      <x:c r="A1702" s="1"/>
      <x:c r="B1702" s="1"/>
      <x:c r="C1702" s="1"/>
      <x:c r="D1702" s="1"/>
      <x:c r="E1702" s="1"/>
      <x:c r="F1702" s="1"/>
      <x:c r="G1702" s="1"/>
      <x:c r="H1702" s="1"/>
      <x:c r="I1702" s="1"/>
      <x:c r="J1702" s="1"/>
      <x:c r="K1702" s="1"/>
      <x:c r="L1702" s="1"/>
      <x:c r="M1702" s="1"/>
      <x:c r="N1702" s="1"/>
      <x:c r="O1702" s="1"/>
      <x:c r="P1702" s="1"/>
      <x:c r="Q1702" s="1"/>
      <x:c r="R1702" s="1"/>
      <x:c r="S1702" s="1"/>
      <x:c r="T1702" s="1"/>
      <x:c r="U1702" s="1"/>
      <x:c r="V1702" s="1"/>
    </x:row>
    <x:row r="1703">
      <x:c r="A1703" s="1"/>
      <x:c r="B1703" s="1"/>
      <x:c r="C1703" s="1"/>
      <x:c r="D1703" s="1"/>
      <x:c r="E1703" s="1"/>
      <x:c r="F1703" s="1"/>
      <x:c r="G1703" s="1"/>
      <x:c r="H1703" s="1"/>
      <x:c r="I1703" s="1"/>
      <x:c r="J1703" s="1"/>
      <x:c r="K1703" s="1"/>
      <x:c r="L1703" s="1"/>
      <x:c r="M1703" s="1"/>
      <x:c r="N1703" s="1"/>
      <x:c r="O1703" s="1"/>
      <x:c r="P1703" s="1"/>
      <x:c r="Q1703" s="1"/>
      <x:c r="R1703" s="1"/>
      <x:c r="S1703" s="1"/>
      <x:c r="T1703" s="1"/>
      <x:c r="U1703" s="1"/>
      <x:c r="V1703" s="1"/>
    </x:row>
    <x:row r="1704">
      <x:c r="A1704" s="1"/>
      <x:c r="B1704" s="1"/>
      <x:c r="C1704" s="1"/>
      <x:c r="D1704" s="1"/>
      <x:c r="E1704" s="1"/>
      <x:c r="F1704" s="1"/>
      <x:c r="G1704" s="1"/>
      <x:c r="H1704" s="1"/>
      <x:c r="I1704" s="1"/>
      <x:c r="J1704" s="1"/>
      <x:c r="K1704" s="1"/>
      <x:c r="L1704" s="1"/>
      <x:c r="M1704" s="1"/>
      <x:c r="N1704" s="1"/>
      <x:c r="O1704" s="1"/>
      <x:c r="P1704" s="1"/>
      <x:c r="Q1704" s="1"/>
      <x:c r="R1704" s="1"/>
      <x:c r="S1704" s="1"/>
      <x:c r="T1704" s="1"/>
      <x:c r="U1704" s="1"/>
      <x:c r="V1704" s="1"/>
    </x:row>
    <x:row r="1705">
      <x:c r="A1705" s="1"/>
      <x:c r="B1705" s="1"/>
      <x:c r="C1705" s="1"/>
      <x:c r="D1705" s="1"/>
      <x:c r="E1705" s="1"/>
      <x:c r="F1705" s="1"/>
      <x:c r="G1705" s="1"/>
      <x:c r="H1705" s="1"/>
      <x:c r="I1705" s="1"/>
      <x:c r="J1705" s="1"/>
      <x:c r="K1705" s="1"/>
      <x:c r="L1705" s="1"/>
      <x:c r="M1705" s="1"/>
      <x:c r="N1705" s="1"/>
      <x:c r="O1705" s="1"/>
      <x:c r="P1705" s="1"/>
      <x:c r="Q1705" s="1"/>
      <x:c r="R1705" s="1"/>
      <x:c r="S1705" s="1"/>
      <x:c r="T1705" s="1"/>
      <x:c r="U1705" s="1"/>
      <x:c r="V1705" s="1"/>
    </x:row>
    <x:row r="1706">
      <x:c r="A1706" s="1"/>
      <x:c r="B1706" s="1"/>
      <x:c r="C1706" s="1"/>
      <x:c r="D1706" s="1"/>
      <x:c r="E1706" s="1"/>
      <x:c r="F1706" s="1"/>
      <x:c r="G1706" s="1"/>
      <x:c r="H1706" s="1"/>
      <x:c r="I1706" s="1"/>
      <x:c r="J1706" s="1"/>
      <x:c r="K1706" s="1"/>
      <x:c r="L1706" s="1"/>
      <x:c r="M1706" s="1"/>
      <x:c r="N1706" s="1"/>
      <x:c r="O1706" s="1"/>
      <x:c r="P1706" s="1"/>
      <x:c r="Q1706" s="1"/>
      <x:c r="R1706" s="1"/>
      <x:c r="S1706" s="1"/>
      <x:c r="T1706" s="1"/>
      <x:c r="U1706" s="1"/>
      <x:c r="V1706" s="1"/>
    </x:row>
    <x:row r="1707">
      <x:c r="A1707" s="1"/>
      <x:c r="B1707" s="1"/>
      <x:c r="C1707" s="1"/>
      <x:c r="D1707" s="1"/>
      <x:c r="E1707" s="1"/>
      <x:c r="F1707" s="1"/>
      <x:c r="G1707" s="1"/>
      <x:c r="H1707" s="1"/>
      <x:c r="I1707" s="1"/>
      <x:c r="J1707" s="1"/>
      <x:c r="K1707" s="1"/>
      <x:c r="L1707" s="1"/>
      <x:c r="M1707" s="1"/>
      <x:c r="N1707" s="1"/>
      <x:c r="O1707" s="1"/>
      <x:c r="P1707" s="1"/>
      <x:c r="Q1707" s="1"/>
      <x:c r="R1707" s="1"/>
      <x:c r="S1707" s="1"/>
      <x:c r="T1707" s="1"/>
      <x:c r="U1707" s="1"/>
      <x:c r="V1707" s="1"/>
    </x:row>
    <x:row r="1708">
      <x:c r="A1708" s="1"/>
      <x:c r="B1708" s="1"/>
      <x:c r="C1708" s="1"/>
      <x:c r="D1708" s="1"/>
      <x:c r="E1708" s="1"/>
      <x:c r="F1708" s="1"/>
      <x:c r="G1708" s="1"/>
      <x:c r="H1708" s="1"/>
      <x:c r="I1708" s="1"/>
      <x:c r="J1708" s="1"/>
      <x:c r="K1708" s="1"/>
      <x:c r="L1708" s="1"/>
      <x:c r="M1708" s="1"/>
      <x:c r="N1708" s="1"/>
      <x:c r="O1708" s="1"/>
      <x:c r="P1708" s="1"/>
      <x:c r="Q1708" s="1"/>
      <x:c r="R1708" s="1"/>
      <x:c r="S1708" s="1"/>
      <x:c r="T1708" s="1"/>
      <x:c r="U1708" s="1"/>
      <x:c r="V1708" s="1"/>
    </x:row>
    <x:row r="1709">
      <x:c r="A1709" s="1"/>
      <x:c r="B1709" s="1"/>
      <x:c r="C1709" s="1"/>
      <x:c r="D1709" s="1"/>
      <x:c r="E1709" s="1"/>
      <x:c r="F1709" s="1"/>
      <x:c r="G1709" s="1"/>
      <x:c r="H1709" s="1"/>
      <x:c r="I1709" s="1"/>
      <x:c r="J1709" s="1"/>
      <x:c r="K1709" s="1"/>
      <x:c r="L1709" s="1"/>
      <x:c r="M1709" s="1"/>
      <x:c r="N1709" s="1"/>
      <x:c r="O1709" s="1"/>
      <x:c r="P1709" s="1"/>
      <x:c r="Q1709" s="1"/>
      <x:c r="R1709" s="1"/>
      <x:c r="S1709" s="1"/>
      <x:c r="T1709" s="1"/>
      <x:c r="U1709" s="1"/>
      <x:c r="V1709" s="1"/>
    </x:row>
    <x:row r="1710">
      <x:c r="A1710" s="1"/>
      <x:c r="B1710" s="1"/>
      <x:c r="C1710" s="1"/>
      <x:c r="D1710" s="1"/>
      <x:c r="E1710" s="1"/>
      <x:c r="F1710" s="1"/>
      <x:c r="G1710" s="1"/>
      <x:c r="H1710" s="1"/>
      <x:c r="I1710" s="1"/>
      <x:c r="J1710" s="1"/>
      <x:c r="K1710" s="1"/>
      <x:c r="L1710" s="1"/>
      <x:c r="M1710" s="1"/>
      <x:c r="N1710" s="1"/>
      <x:c r="O1710" s="1"/>
      <x:c r="P1710" s="1"/>
      <x:c r="Q1710" s="1"/>
      <x:c r="R1710" s="1"/>
      <x:c r="S1710" s="1"/>
      <x:c r="T1710" s="1"/>
      <x:c r="U1710" s="1"/>
      <x:c r="V1710" s="1"/>
    </x:row>
    <x:row r="1711">
      <x:c r="A1711" s="1"/>
      <x:c r="B1711" s="1"/>
      <x:c r="C1711" s="1"/>
      <x:c r="D1711" s="1"/>
      <x:c r="E1711" s="1"/>
      <x:c r="F1711" s="1"/>
      <x:c r="G1711" s="1"/>
      <x:c r="H1711" s="1"/>
      <x:c r="I1711" s="1"/>
      <x:c r="J1711" s="1"/>
      <x:c r="K1711" s="1"/>
      <x:c r="L1711" s="1"/>
      <x:c r="M1711" s="1"/>
      <x:c r="N1711" s="1"/>
      <x:c r="O1711" s="1"/>
      <x:c r="P1711" s="1"/>
      <x:c r="Q1711" s="1"/>
      <x:c r="R1711" s="1"/>
      <x:c r="S1711" s="1"/>
      <x:c r="T1711" s="1"/>
      <x:c r="U1711" s="1"/>
      <x:c r="V1711" s="1"/>
    </x:row>
    <x:row r="1712">
      <x:c r="A1712" s="1"/>
      <x:c r="B1712" s="1"/>
      <x:c r="C1712" s="1"/>
      <x:c r="D1712" s="1"/>
      <x:c r="E1712" s="1"/>
      <x:c r="F1712" s="1"/>
      <x:c r="G1712" s="1"/>
      <x:c r="H1712" s="1"/>
      <x:c r="I1712" s="1"/>
      <x:c r="J1712" s="1"/>
      <x:c r="K1712" s="1"/>
      <x:c r="L1712" s="1"/>
      <x:c r="M1712" s="1"/>
      <x:c r="N1712" s="1"/>
      <x:c r="O1712" s="1"/>
      <x:c r="P1712" s="1"/>
      <x:c r="Q1712" s="1"/>
      <x:c r="R1712" s="1"/>
      <x:c r="S1712" s="1"/>
      <x:c r="T1712" s="1"/>
      <x:c r="U1712" s="1"/>
      <x:c r="V1712" s="1"/>
    </x:row>
    <x:row r="1713">
      <x:c r="A1713" s="1"/>
      <x:c r="B1713" s="1"/>
      <x:c r="C1713" s="1"/>
      <x:c r="D1713" s="1"/>
      <x:c r="E1713" s="1"/>
      <x:c r="F1713" s="1"/>
      <x:c r="G1713" s="1"/>
      <x:c r="H1713" s="1"/>
      <x:c r="I1713" s="1"/>
      <x:c r="J1713" s="1"/>
      <x:c r="K1713" s="1"/>
      <x:c r="L1713" s="1"/>
      <x:c r="M1713" s="1"/>
      <x:c r="N1713" s="1"/>
      <x:c r="O1713" s="1"/>
      <x:c r="P1713" s="1"/>
      <x:c r="Q1713" s="1"/>
      <x:c r="R1713" s="1"/>
      <x:c r="S1713" s="1"/>
      <x:c r="T1713" s="1"/>
      <x:c r="U1713" s="1"/>
      <x:c r="V1713" s="1"/>
    </x:row>
    <x:row r="1714">
      <x:c r="A1714" s="1"/>
      <x:c r="B1714" s="1"/>
      <x:c r="C1714" s="1"/>
      <x:c r="D1714" s="1"/>
      <x:c r="E1714" s="1"/>
      <x:c r="F1714" s="1"/>
      <x:c r="G1714" s="1"/>
      <x:c r="H1714" s="1"/>
      <x:c r="I1714" s="1"/>
      <x:c r="J1714" s="1"/>
      <x:c r="K1714" s="1"/>
      <x:c r="L1714" s="1"/>
      <x:c r="M1714" s="1"/>
      <x:c r="N1714" s="1"/>
      <x:c r="O1714" s="1"/>
      <x:c r="P1714" s="1"/>
      <x:c r="Q1714" s="1"/>
      <x:c r="R1714" s="1"/>
      <x:c r="S1714" s="1"/>
      <x:c r="T1714" s="1"/>
      <x:c r="U1714" s="1"/>
      <x:c r="V1714" s="1"/>
    </x:row>
    <x:row r="1715">
      <x:c r="A1715" s="1"/>
      <x:c r="B1715" s="1"/>
      <x:c r="C1715" s="1"/>
      <x:c r="D1715" s="1"/>
      <x:c r="E1715" s="1"/>
      <x:c r="F1715" s="1"/>
      <x:c r="G1715" s="1"/>
      <x:c r="H1715" s="1"/>
      <x:c r="I1715" s="1"/>
      <x:c r="J1715" s="1"/>
      <x:c r="K1715" s="1"/>
      <x:c r="L1715" s="1"/>
      <x:c r="M1715" s="1"/>
      <x:c r="N1715" s="1"/>
      <x:c r="O1715" s="1"/>
      <x:c r="P1715" s="1"/>
      <x:c r="Q1715" s="1"/>
      <x:c r="R1715" s="1"/>
      <x:c r="S1715" s="1"/>
      <x:c r="T1715" s="1"/>
      <x:c r="U1715" s="1"/>
      <x:c r="V1715" s="1"/>
    </x:row>
    <x:row r="1716">
      <x:c r="A1716" s="1"/>
      <x:c r="B1716" s="1"/>
      <x:c r="C1716" s="1"/>
      <x:c r="D1716" s="1"/>
      <x:c r="E1716" s="1"/>
      <x:c r="F1716" s="1"/>
      <x:c r="G1716" s="1"/>
      <x:c r="H1716" s="1"/>
      <x:c r="I1716" s="1"/>
      <x:c r="J1716" s="1"/>
      <x:c r="K1716" s="1"/>
      <x:c r="L1716" s="1"/>
      <x:c r="M1716" s="1"/>
      <x:c r="N1716" s="1"/>
      <x:c r="O1716" s="1"/>
      <x:c r="P1716" s="1"/>
      <x:c r="Q1716" s="1"/>
      <x:c r="R1716" s="1"/>
      <x:c r="S1716" s="1"/>
      <x:c r="T1716" s="1"/>
      <x:c r="U1716" s="1"/>
      <x:c r="V1716" s="1"/>
    </x:row>
    <x:row r="1717">
      <x:c r="A1717" s="1"/>
      <x:c r="B1717" s="1"/>
      <x:c r="C1717" s="1"/>
      <x:c r="D1717" s="1"/>
      <x:c r="E1717" s="1"/>
      <x:c r="F1717" s="1"/>
      <x:c r="G1717" s="1"/>
      <x:c r="H1717" s="1"/>
      <x:c r="I1717" s="1"/>
      <x:c r="J1717" s="1"/>
      <x:c r="K1717" s="1"/>
      <x:c r="L1717" s="1"/>
      <x:c r="M1717" s="1"/>
      <x:c r="N1717" s="1"/>
      <x:c r="O1717" s="1"/>
      <x:c r="P1717" s="1"/>
      <x:c r="Q1717" s="1"/>
      <x:c r="R1717" s="1"/>
      <x:c r="S1717" s="1"/>
      <x:c r="T1717" s="1"/>
      <x:c r="U1717" s="1"/>
      <x:c r="V1717" s="1"/>
    </x:row>
    <x:row r="1718">
      <x:c r="A1718" s="1"/>
      <x:c r="B1718" s="1"/>
      <x:c r="C1718" s="1"/>
      <x:c r="D1718" s="1"/>
      <x:c r="E1718" s="1"/>
      <x:c r="F1718" s="1"/>
      <x:c r="G1718" s="1"/>
      <x:c r="H1718" s="1"/>
      <x:c r="I1718" s="1"/>
      <x:c r="J1718" s="1"/>
      <x:c r="K1718" s="1"/>
      <x:c r="L1718" s="1"/>
      <x:c r="M1718" s="1"/>
      <x:c r="N1718" s="1"/>
      <x:c r="O1718" s="1"/>
      <x:c r="P1718" s="1"/>
      <x:c r="Q1718" s="1"/>
      <x:c r="R1718" s="1"/>
      <x:c r="S1718" s="1"/>
      <x:c r="T1718" s="1"/>
      <x:c r="U1718" s="1"/>
      <x:c r="V1718" s="1"/>
    </x:row>
    <x:row r="1719">
      <x:c r="A1719" s="1"/>
      <x:c r="B1719" s="1"/>
      <x:c r="C1719" s="1"/>
      <x:c r="D1719" s="1"/>
      <x:c r="E1719" s="1"/>
      <x:c r="F1719" s="1"/>
      <x:c r="G1719" s="1"/>
      <x:c r="H1719" s="1"/>
      <x:c r="I1719" s="1"/>
      <x:c r="J1719" s="1"/>
      <x:c r="K1719" s="1"/>
      <x:c r="L1719" s="1"/>
      <x:c r="M1719" s="1"/>
      <x:c r="N1719" s="1"/>
      <x:c r="O1719" s="1"/>
      <x:c r="P1719" s="1"/>
      <x:c r="Q1719" s="1"/>
      <x:c r="R1719" s="1"/>
      <x:c r="S1719" s="1"/>
      <x:c r="T1719" s="1"/>
      <x:c r="U1719" s="1"/>
      <x:c r="V1719" s="1"/>
    </x:row>
    <x:row r="1720">
      <x:c r="A1720" s="1"/>
      <x:c r="B1720" s="1"/>
      <x:c r="C1720" s="1"/>
      <x:c r="D1720" s="1"/>
      <x:c r="E1720" s="1"/>
      <x:c r="F1720" s="1"/>
      <x:c r="G1720" s="1"/>
      <x:c r="H1720" s="1"/>
      <x:c r="I1720" s="1"/>
      <x:c r="J1720" s="1"/>
      <x:c r="K1720" s="1"/>
      <x:c r="L1720" s="1"/>
      <x:c r="M1720" s="1"/>
      <x:c r="N1720" s="1"/>
      <x:c r="O1720" s="1"/>
      <x:c r="P1720" s="1"/>
      <x:c r="Q1720" s="1"/>
      <x:c r="R1720" s="1"/>
      <x:c r="S1720" s="1"/>
      <x:c r="T1720" s="1"/>
      <x:c r="U1720" s="1"/>
      <x:c r="V1720" s="1"/>
    </x:row>
    <x:row r="1721">
      <x:c r="A1721" s="1"/>
      <x:c r="B1721" s="1"/>
      <x:c r="C1721" s="1"/>
      <x:c r="D1721" s="1"/>
      <x:c r="E1721" s="1"/>
      <x:c r="F1721" s="1"/>
      <x:c r="G1721" s="1"/>
      <x:c r="H1721" s="1"/>
      <x:c r="I1721" s="1"/>
      <x:c r="J1721" s="1"/>
      <x:c r="K1721" s="1"/>
      <x:c r="L1721" s="1"/>
      <x:c r="M1721" s="1"/>
      <x:c r="N1721" s="1"/>
      <x:c r="O1721" s="1"/>
      <x:c r="P1721" s="1"/>
      <x:c r="Q1721" s="1"/>
      <x:c r="R1721" s="1"/>
      <x:c r="S1721" s="1"/>
      <x:c r="T1721" s="1"/>
      <x:c r="U1721" s="1"/>
      <x:c r="V1721" s="1"/>
    </x:row>
    <x:row r="1722">
      <x:c r="A1722" s="1"/>
      <x:c r="B1722" s="1"/>
      <x:c r="C1722" s="1"/>
      <x:c r="D1722" s="1"/>
      <x:c r="E1722" s="1"/>
      <x:c r="F1722" s="1"/>
      <x:c r="G1722" s="1"/>
      <x:c r="H1722" s="1"/>
      <x:c r="I1722" s="1"/>
      <x:c r="J1722" s="1"/>
      <x:c r="K1722" s="1"/>
      <x:c r="L1722" s="1"/>
      <x:c r="M1722" s="1"/>
      <x:c r="N1722" s="1"/>
      <x:c r="O1722" s="1"/>
      <x:c r="P1722" s="1"/>
      <x:c r="Q1722" s="1"/>
      <x:c r="R1722" s="1"/>
      <x:c r="S1722" s="1"/>
      <x:c r="T1722" s="1"/>
      <x:c r="U1722" s="1"/>
      <x:c r="V1722" s="1"/>
    </x:row>
    <x:row r="1723">
      <x:c r="A1723" s="1"/>
      <x:c r="B1723" s="1"/>
      <x:c r="C1723" s="1"/>
      <x:c r="D1723" s="1"/>
      <x:c r="E1723" s="1"/>
      <x:c r="F1723" s="1"/>
      <x:c r="G1723" s="1"/>
      <x:c r="H1723" s="1"/>
      <x:c r="I1723" s="1"/>
      <x:c r="J1723" s="1"/>
      <x:c r="K1723" s="1"/>
      <x:c r="L1723" s="1"/>
      <x:c r="M1723" s="1"/>
      <x:c r="N1723" s="1"/>
      <x:c r="O1723" s="1"/>
      <x:c r="P1723" s="1"/>
      <x:c r="Q1723" s="1"/>
      <x:c r="R1723" s="1"/>
      <x:c r="S1723" s="1"/>
      <x:c r="T1723" s="1"/>
      <x:c r="U1723" s="1"/>
      <x:c r="V1723" s="1"/>
    </x:row>
    <x:row r="1724">
      <x:c r="A1724" s="1"/>
      <x:c r="B1724" s="1"/>
      <x:c r="C1724" s="1"/>
      <x:c r="D1724" s="1"/>
      <x:c r="E1724" s="1"/>
      <x:c r="F1724" s="1"/>
      <x:c r="G1724" s="1"/>
      <x:c r="H1724" s="1"/>
      <x:c r="I1724" s="1"/>
      <x:c r="J1724" s="1"/>
      <x:c r="K1724" s="1"/>
      <x:c r="L1724" s="1"/>
      <x:c r="M1724" s="1"/>
      <x:c r="N1724" s="1"/>
      <x:c r="O1724" s="1"/>
      <x:c r="P1724" s="1"/>
      <x:c r="Q1724" s="1"/>
      <x:c r="R1724" s="1"/>
      <x:c r="S1724" s="1"/>
      <x:c r="T1724" s="1"/>
      <x:c r="U1724" s="1"/>
      <x:c r="V1724" s="1"/>
    </x:row>
    <x:row r="1725">
      <x:c r="A1725" s="1"/>
      <x:c r="B1725" s="1"/>
      <x:c r="C1725" s="1"/>
      <x:c r="D1725" s="1"/>
      <x:c r="E1725" s="1"/>
      <x:c r="F1725" s="1"/>
      <x:c r="G1725" s="1"/>
      <x:c r="H1725" s="1"/>
      <x:c r="I1725" s="1"/>
      <x:c r="J1725" s="1"/>
      <x:c r="K1725" s="1"/>
      <x:c r="L1725" s="1"/>
      <x:c r="M1725" s="1"/>
      <x:c r="N1725" s="1"/>
      <x:c r="O1725" s="1"/>
      <x:c r="P1725" s="1"/>
      <x:c r="Q1725" s="1"/>
      <x:c r="R1725" s="1"/>
      <x:c r="S1725" s="1"/>
      <x:c r="T1725" s="1"/>
      <x:c r="U1725" s="1"/>
      <x:c r="V1725" s="1"/>
    </x:row>
    <x:row r="1726">
      <x:c r="A1726" s="1"/>
      <x:c r="B1726" s="1"/>
      <x:c r="C1726" s="1"/>
      <x:c r="D1726" s="1"/>
      <x:c r="E1726" s="1"/>
      <x:c r="F1726" s="1"/>
      <x:c r="G1726" s="1"/>
      <x:c r="H1726" s="1"/>
      <x:c r="I1726" s="1"/>
      <x:c r="J1726" s="1"/>
      <x:c r="K1726" s="1"/>
      <x:c r="L1726" s="1"/>
      <x:c r="M1726" s="1"/>
      <x:c r="N1726" s="1"/>
      <x:c r="O1726" s="1"/>
      <x:c r="P1726" s="1"/>
      <x:c r="Q1726" s="1"/>
      <x:c r="R1726" s="1"/>
      <x:c r="S1726" s="1"/>
      <x:c r="T1726" s="1"/>
      <x:c r="U1726" s="1"/>
      <x:c r="V1726" s="1"/>
    </x:row>
    <x:row r="1727">
      <x:c r="A1727" s="1"/>
      <x:c r="B1727" s="1"/>
      <x:c r="C1727" s="1"/>
      <x:c r="D1727" s="1"/>
      <x:c r="E1727" s="1"/>
      <x:c r="F1727" s="1"/>
      <x:c r="G1727" s="1"/>
      <x:c r="H1727" s="1"/>
      <x:c r="I1727" s="1"/>
      <x:c r="J1727" s="1"/>
      <x:c r="K1727" s="1"/>
      <x:c r="L1727" s="1"/>
      <x:c r="M1727" s="1"/>
      <x:c r="N1727" s="1"/>
      <x:c r="O1727" s="1"/>
      <x:c r="P1727" s="1"/>
      <x:c r="Q1727" s="1"/>
      <x:c r="R1727" s="1"/>
      <x:c r="S1727" s="1"/>
      <x:c r="T1727" s="1"/>
      <x:c r="U1727" s="1"/>
      <x:c r="V1727" s="1"/>
    </x:row>
    <x:row r="1728">
      <x:c r="A1728" s="1"/>
      <x:c r="B1728" s="1"/>
      <x:c r="C1728" s="1"/>
      <x:c r="D1728" s="1"/>
      <x:c r="E1728" s="1"/>
      <x:c r="F1728" s="1"/>
      <x:c r="G1728" s="1"/>
      <x:c r="H1728" s="1"/>
      <x:c r="I1728" s="1"/>
      <x:c r="J1728" s="1"/>
      <x:c r="K1728" s="1"/>
      <x:c r="L1728" s="1"/>
      <x:c r="M1728" s="1"/>
      <x:c r="N1728" s="1"/>
      <x:c r="O1728" s="1"/>
      <x:c r="P1728" s="1"/>
      <x:c r="Q1728" s="1"/>
      <x:c r="R1728" s="1"/>
      <x:c r="S1728" s="1"/>
      <x:c r="T1728" s="1"/>
      <x:c r="U1728" s="1"/>
      <x:c r="V1728" s="1"/>
    </x:row>
    <x:row r="1729">
      <x:c r="A1729" s="1"/>
      <x:c r="B1729" s="1"/>
      <x:c r="C1729" s="1"/>
      <x:c r="D1729" s="1"/>
      <x:c r="E1729" s="1"/>
      <x:c r="F1729" s="1"/>
      <x:c r="G1729" s="1"/>
      <x:c r="H1729" s="1"/>
      <x:c r="I1729" s="1"/>
      <x:c r="J1729" s="1"/>
      <x:c r="K1729" s="1"/>
      <x:c r="L1729" s="1"/>
      <x:c r="M1729" s="1"/>
      <x:c r="N1729" s="1"/>
      <x:c r="O1729" s="1"/>
      <x:c r="P1729" s="1"/>
      <x:c r="Q1729" s="1"/>
      <x:c r="R1729" s="1"/>
      <x:c r="S1729" s="1"/>
      <x:c r="T1729" s="1"/>
      <x:c r="U1729" s="1"/>
      <x:c r="V1729" s="1"/>
    </x:row>
    <x:row r="1730">
      <x:c r="A1730" s="1"/>
      <x:c r="B1730" s="1"/>
      <x:c r="C1730" s="1"/>
      <x:c r="D1730" s="1"/>
      <x:c r="E1730" s="1"/>
      <x:c r="F1730" s="1"/>
      <x:c r="G1730" s="1"/>
      <x:c r="H1730" s="1"/>
      <x:c r="I1730" s="1"/>
      <x:c r="J1730" s="1"/>
      <x:c r="K1730" s="1"/>
      <x:c r="L1730" s="1"/>
      <x:c r="M1730" s="1"/>
      <x:c r="N1730" s="1"/>
      <x:c r="O1730" s="1"/>
      <x:c r="P1730" s="1"/>
      <x:c r="Q1730" s="1"/>
      <x:c r="R1730" s="1"/>
      <x:c r="S1730" s="1"/>
      <x:c r="T1730" s="1"/>
      <x:c r="U1730" s="1"/>
      <x:c r="V1730" s="1"/>
    </x:row>
    <x:row r="1731">
      <x:c r="A1731" s="1"/>
      <x:c r="B1731" s="1"/>
      <x:c r="C1731" s="1"/>
      <x:c r="D1731" s="1"/>
      <x:c r="E1731" s="1"/>
      <x:c r="F1731" s="1"/>
      <x:c r="G1731" s="1"/>
      <x:c r="H1731" s="1"/>
      <x:c r="I1731" s="1"/>
      <x:c r="J1731" s="1"/>
      <x:c r="K1731" s="1"/>
      <x:c r="L1731" s="1"/>
      <x:c r="M1731" s="1"/>
      <x:c r="N1731" s="1"/>
      <x:c r="O1731" s="1"/>
      <x:c r="P1731" s="1"/>
      <x:c r="Q1731" s="1"/>
      <x:c r="R1731" s="1"/>
      <x:c r="S1731" s="1"/>
      <x:c r="T1731" s="1"/>
      <x:c r="U1731" s="1"/>
      <x:c r="V1731" s="1"/>
    </x:row>
    <x:row r="1732">
      <x:c r="A1732" s="1"/>
      <x:c r="B1732" s="1"/>
      <x:c r="C1732" s="1"/>
      <x:c r="D1732" s="1"/>
      <x:c r="E1732" s="1"/>
      <x:c r="F1732" s="1"/>
      <x:c r="G1732" s="1"/>
      <x:c r="H1732" s="1"/>
      <x:c r="I1732" s="1"/>
      <x:c r="J1732" s="1"/>
      <x:c r="K1732" s="1"/>
      <x:c r="L1732" s="1"/>
      <x:c r="M1732" s="1"/>
      <x:c r="N1732" s="1"/>
      <x:c r="O1732" s="1"/>
      <x:c r="P1732" s="1"/>
      <x:c r="Q1732" s="1"/>
      <x:c r="R1732" s="1"/>
      <x:c r="S1732" s="1"/>
      <x:c r="T1732" s="1"/>
      <x:c r="U1732" s="1"/>
      <x:c r="V1732" s="1"/>
    </x:row>
    <x:row r="1733">
      <x:c r="A1733" s="1"/>
      <x:c r="B1733" s="1"/>
      <x:c r="C1733" s="1"/>
      <x:c r="D1733" s="1"/>
      <x:c r="E1733" s="1"/>
      <x:c r="F1733" s="1"/>
      <x:c r="G1733" s="1"/>
      <x:c r="H1733" s="1"/>
      <x:c r="I1733" s="1"/>
      <x:c r="J1733" s="1"/>
      <x:c r="K1733" s="1"/>
      <x:c r="L1733" s="1"/>
      <x:c r="M1733" s="1"/>
      <x:c r="N1733" s="1"/>
      <x:c r="O1733" s="1"/>
      <x:c r="P1733" s="1"/>
      <x:c r="Q1733" s="1"/>
      <x:c r="R1733" s="1"/>
      <x:c r="S1733" s="1"/>
      <x:c r="T1733" s="1"/>
      <x:c r="U1733" s="1"/>
      <x:c r="V1733" s="1"/>
    </x:row>
    <x:row r="1734">
      <x:c r="A1734" s="1"/>
      <x:c r="B1734" s="1"/>
      <x:c r="C1734" s="1"/>
      <x:c r="D1734" s="1"/>
      <x:c r="E1734" s="1"/>
      <x:c r="F1734" s="1"/>
      <x:c r="G1734" s="1"/>
      <x:c r="H1734" s="1"/>
      <x:c r="I1734" s="1"/>
      <x:c r="J1734" s="1"/>
      <x:c r="K1734" s="1"/>
      <x:c r="L1734" s="1"/>
      <x:c r="M1734" s="1"/>
      <x:c r="N1734" s="1"/>
      <x:c r="O1734" s="1"/>
      <x:c r="P1734" s="1"/>
      <x:c r="Q1734" s="1"/>
      <x:c r="R1734" s="1"/>
      <x:c r="S1734" s="1"/>
      <x:c r="T1734" s="1"/>
      <x:c r="U1734" s="1"/>
      <x:c r="V1734" s="1"/>
    </x:row>
    <x:row r="1735">
      <x:c r="A1735" s="1"/>
      <x:c r="B1735" s="1"/>
      <x:c r="C1735" s="1"/>
      <x:c r="D1735" s="1"/>
      <x:c r="E1735" s="1"/>
      <x:c r="F1735" s="1"/>
      <x:c r="G1735" s="1"/>
      <x:c r="H1735" s="1"/>
      <x:c r="I1735" s="1"/>
      <x:c r="J1735" s="1"/>
      <x:c r="K1735" s="1"/>
      <x:c r="L1735" s="1"/>
      <x:c r="M1735" s="1"/>
      <x:c r="N1735" s="1"/>
      <x:c r="O1735" s="1"/>
      <x:c r="P1735" s="1"/>
      <x:c r="Q1735" s="1"/>
      <x:c r="R1735" s="1"/>
      <x:c r="S1735" s="1"/>
      <x:c r="T1735" s="1"/>
      <x:c r="U1735" s="1"/>
      <x:c r="V1735" s="1"/>
    </x:row>
    <x:row r="1736">
      <x:c r="A1736" s="1"/>
      <x:c r="B1736" s="1"/>
      <x:c r="C1736" s="1"/>
      <x:c r="D1736" s="1"/>
      <x:c r="E1736" s="1"/>
      <x:c r="F1736" s="1"/>
      <x:c r="G1736" s="1"/>
      <x:c r="H1736" s="1"/>
      <x:c r="I1736" s="1"/>
      <x:c r="J1736" s="1"/>
      <x:c r="K1736" s="1"/>
      <x:c r="L1736" s="1"/>
      <x:c r="M1736" s="1"/>
      <x:c r="N1736" s="1"/>
      <x:c r="O1736" s="1"/>
      <x:c r="P1736" s="1"/>
      <x:c r="Q1736" s="1"/>
      <x:c r="R1736" s="1"/>
      <x:c r="S1736" s="1"/>
      <x:c r="T1736" s="1"/>
      <x:c r="U1736" s="1"/>
      <x:c r="V1736" s="1"/>
    </x:row>
    <x:row r="1737">
      <x:c r="A1737" s="1"/>
      <x:c r="B1737" s="1"/>
      <x:c r="C1737" s="1"/>
      <x:c r="D1737" s="1"/>
      <x:c r="E1737" s="1"/>
      <x:c r="F1737" s="1"/>
      <x:c r="G1737" s="1"/>
      <x:c r="H1737" s="1"/>
      <x:c r="I1737" s="1"/>
      <x:c r="J1737" s="1"/>
      <x:c r="K1737" s="1"/>
      <x:c r="L1737" s="1"/>
      <x:c r="M1737" s="1"/>
      <x:c r="N1737" s="1"/>
      <x:c r="O1737" s="1"/>
      <x:c r="P1737" s="1"/>
      <x:c r="Q1737" s="1"/>
      <x:c r="R1737" s="1"/>
      <x:c r="S1737" s="1"/>
      <x:c r="T1737" s="1"/>
      <x:c r="U1737" s="1"/>
      <x:c r="V1737" s="1"/>
    </x:row>
    <x:row r="1738">
      <x:c r="A1738" s="1"/>
      <x:c r="B1738" s="1"/>
      <x:c r="C1738" s="1"/>
      <x:c r="D1738" s="1"/>
      <x:c r="E1738" s="1"/>
      <x:c r="F1738" s="1"/>
      <x:c r="G1738" s="1"/>
      <x:c r="H1738" s="1"/>
      <x:c r="I1738" s="1"/>
      <x:c r="J1738" s="1"/>
      <x:c r="K1738" s="1"/>
      <x:c r="L1738" s="1"/>
      <x:c r="M1738" s="1"/>
      <x:c r="N1738" s="1"/>
      <x:c r="O1738" s="1"/>
      <x:c r="P1738" s="1"/>
      <x:c r="Q1738" s="1"/>
      <x:c r="R1738" s="1"/>
      <x:c r="S1738" s="1"/>
      <x:c r="T1738" s="1"/>
      <x:c r="U1738" s="1"/>
      <x:c r="V1738" s="1"/>
    </x:row>
    <x:row r="1739">
      <x:c r="A1739" s="1"/>
      <x:c r="B1739" s="1"/>
      <x:c r="C1739" s="1"/>
      <x:c r="D1739" s="1"/>
      <x:c r="E1739" s="1"/>
      <x:c r="F1739" s="1"/>
      <x:c r="G1739" s="1"/>
      <x:c r="H1739" s="1"/>
      <x:c r="I1739" s="1"/>
      <x:c r="J1739" s="1"/>
      <x:c r="K1739" s="1"/>
      <x:c r="L1739" s="1"/>
      <x:c r="M1739" s="1"/>
      <x:c r="N1739" s="1"/>
      <x:c r="O1739" s="1"/>
      <x:c r="P1739" s="1"/>
      <x:c r="Q1739" s="1"/>
      <x:c r="R1739" s="1"/>
      <x:c r="S1739" s="1"/>
      <x:c r="T1739" s="1"/>
      <x:c r="U1739" s="1"/>
      <x:c r="V1739" s="1"/>
    </x:row>
    <x:row r="1740">
      <x:c r="A1740" s="1"/>
      <x:c r="B1740" s="1"/>
      <x:c r="C1740" s="1"/>
      <x:c r="D1740" s="1"/>
      <x:c r="E1740" s="1"/>
      <x:c r="F1740" s="1"/>
      <x:c r="G1740" s="1"/>
      <x:c r="H1740" s="1"/>
      <x:c r="I1740" s="1"/>
      <x:c r="J1740" s="1"/>
      <x:c r="K1740" s="1"/>
      <x:c r="L1740" s="1"/>
      <x:c r="M1740" s="1"/>
      <x:c r="N1740" s="1"/>
      <x:c r="O1740" s="1"/>
      <x:c r="P1740" s="1"/>
      <x:c r="Q1740" s="1"/>
      <x:c r="R1740" s="1"/>
      <x:c r="S1740" s="1"/>
      <x:c r="T1740" s="1"/>
      <x:c r="U1740" s="1"/>
      <x:c r="V1740" s="1"/>
    </x:row>
    <x:row r="1741">
      <x:c r="A1741" s="1"/>
      <x:c r="B1741" s="1"/>
      <x:c r="C1741" s="1"/>
      <x:c r="D1741" s="1"/>
      <x:c r="E1741" s="1"/>
      <x:c r="F1741" s="1"/>
      <x:c r="G1741" s="1"/>
      <x:c r="H1741" s="1"/>
      <x:c r="I1741" s="1"/>
      <x:c r="J1741" s="1"/>
      <x:c r="K1741" s="1"/>
      <x:c r="L1741" s="1"/>
      <x:c r="M1741" s="1"/>
      <x:c r="N1741" s="1"/>
      <x:c r="O1741" s="1"/>
      <x:c r="P1741" s="1"/>
      <x:c r="Q1741" s="1"/>
      <x:c r="R1741" s="1"/>
      <x:c r="S1741" s="1"/>
      <x:c r="T1741" s="1"/>
      <x:c r="U1741" s="1"/>
      <x:c r="V1741" s="1"/>
    </x:row>
    <x:row r="1742">
      <x:c r="A1742" s="1"/>
      <x:c r="B1742" s="1"/>
      <x:c r="C1742" s="1"/>
      <x:c r="D1742" s="1"/>
      <x:c r="E1742" s="1"/>
      <x:c r="F1742" s="1"/>
      <x:c r="G1742" s="1"/>
      <x:c r="H1742" s="1"/>
      <x:c r="I1742" s="1"/>
      <x:c r="J1742" s="1"/>
      <x:c r="K1742" s="1"/>
      <x:c r="L1742" s="1"/>
      <x:c r="M1742" s="1"/>
      <x:c r="N1742" s="1"/>
      <x:c r="O1742" s="1"/>
      <x:c r="P1742" s="1"/>
      <x:c r="Q1742" s="1"/>
      <x:c r="R1742" s="1"/>
      <x:c r="S1742" s="1"/>
      <x:c r="T1742" s="1"/>
      <x:c r="U1742" s="1"/>
      <x:c r="V1742" s="1"/>
    </x:row>
    <x:row r="1743">
      <x:c r="A1743" s="1"/>
      <x:c r="B1743" s="1"/>
      <x:c r="C1743" s="1"/>
      <x:c r="D1743" s="1"/>
      <x:c r="E1743" s="1"/>
      <x:c r="F1743" s="1"/>
      <x:c r="G1743" s="1"/>
      <x:c r="H1743" s="1"/>
      <x:c r="I1743" s="1"/>
      <x:c r="J1743" s="1"/>
      <x:c r="K1743" s="1"/>
      <x:c r="L1743" s="1"/>
      <x:c r="M1743" s="1"/>
      <x:c r="N1743" s="1"/>
      <x:c r="O1743" s="1"/>
      <x:c r="P1743" s="1"/>
      <x:c r="Q1743" s="1"/>
      <x:c r="R1743" s="1"/>
      <x:c r="S1743" s="1"/>
      <x:c r="T1743" s="1"/>
      <x:c r="U1743" s="1"/>
      <x:c r="V1743" s="1"/>
    </x:row>
    <x:row r="1744">
      <x:c r="A1744" s="1"/>
      <x:c r="B1744" s="1"/>
      <x:c r="C1744" s="1"/>
      <x:c r="D1744" s="1"/>
      <x:c r="E1744" s="1"/>
      <x:c r="F1744" s="1"/>
      <x:c r="G1744" s="1"/>
      <x:c r="H1744" s="1"/>
      <x:c r="I1744" s="1"/>
      <x:c r="J1744" s="1"/>
      <x:c r="K1744" s="1"/>
      <x:c r="L1744" s="1"/>
      <x:c r="M1744" s="1"/>
      <x:c r="N1744" s="1"/>
      <x:c r="O1744" s="1"/>
      <x:c r="P1744" s="1"/>
      <x:c r="Q1744" s="1"/>
      <x:c r="R1744" s="1"/>
      <x:c r="S1744" s="1"/>
      <x:c r="T1744" s="1"/>
      <x:c r="U1744" s="1"/>
      <x:c r="V1744" s="1"/>
    </x:row>
    <x:row r="1745">
      <x:c r="A1745" s="1"/>
      <x:c r="B1745" s="1"/>
      <x:c r="C1745" s="1"/>
      <x:c r="D1745" s="1"/>
      <x:c r="E1745" s="1"/>
      <x:c r="F1745" s="1"/>
      <x:c r="G1745" s="1"/>
      <x:c r="H1745" s="1"/>
      <x:c r="I1745" s="1"/>
      <x:c r="J1745" s="1"/>
      <x:c r="K1745" s="1"/>
      <x:c r="L1745" s="1"/>
      <x:c r="M1745" s="1"/>
      <x:c r="N1745" s="1"/>
      <x:c r="O1745" s="1"/>
      <x:c r="P1745" s="1"/>
      <x:c r="Q1745" s="1"/>
      <x:c r="R1745" s="1"/>
      <x:c r="S1745" s="1"/>
      <x:c r="T1745" s="1"/>
      <x:c r="U1745" s="1"/>
      <x:c r="V1745" s="1"/>
    </x:row>
    <x:row r="1746">
      <x:c r="A1746" s="1"/>
      <x:c r="B1746" s="1"/>
      <x:c r="C1746" s="1"/>
      <x:c r="D1746" s="1"/>
      <x:c r="E1746" s="1"/>
      <x:c r="F1746" s="1"/>
      <x:c r="G1746" s="1"/>
      <x:c r="H1746" s="1"/>
      <x:c r="I1746" s="1"/>
      <x:c r="J1746" s="1"/>
      <x:c r="K1746" s="1"/>
      <x:c r="L1746" s="1"/>
      <x:c r="M1746" s="1"/>
      <x:c r="N1746" s="1"/>
      <x:c r="O1746" s="1"/>
      <x:c r="P1746" s="1"/>
      <x:c r="Q1746" s="1"/>
      <x:c r="R1746" s="1"/>
      <x:c r="S1746" s="1"/>
      <x:c r="T1746" s="1"/>
      <x:c r="U1746" s="1"/>
      <x:c r="V1746" s="1"/>
    </x:row>
    <x:row r="1747">
      <x:c r="A1747" s="1"/>
      <x:c r="B1747" s="1"/>
      <x:c r="C1747" s="1"/>
      <x:c r="D1747" s="1"/>
      <x:c r="E1747" s="1"/>
      <x:c r="F1747" s="1"/>
      <x:c r="G1747" s="1"/>
      <x:c r="H1747" s="1"/>
      <x:c r="I1747" s="1"/>
      <x:c r="J1747" s="1"/>
      <x:c r="K1747" s="1"/>
      <x:c r="L1747" s="1"/>
      <x:c r="M1747" s="1"/>
      <x:c r="N1747" s="1"/>
      <x:c r="O1747" s="1"/>
      <x:c r="P1747" s="1"/>
      <x:c r="Q1747" s="1"/>
      <x:c r="R1747" s="1"/>
      <x:c r="S1747" s="1"/>
      <x:c r="T1747" s="1"/>
      <x:c r="U1747" s="1"/>
      <x:c r="V1747" s="1"/>
    </x:row>
    <x:row r="1748">
      <x:c r="A1748" s="1"/>
      <x:c r="B1748" s="1"/>
      <x:c r="C1748" s="1"/>
      <x:c r="D1748" s="1"/>
      <x:c r="E1748" s="1"/>
      <x:c r="F1748" s="1"/>
      <x:c r="G1748" s="1"/>
      <x:c r="H1748" s="1"/>
      <x:c r="I1748" s="1"/>
      <x:c r="J1748" s="1"/>
      <x:c r="K1748" s="1"/>
      <x:c r="L1748" s="1"/>
      <x:c r="M1748" s="1"/>
      <x:c r="N1748" s="1"/>
      <x:c r="O1748" s="1"/>
      <x:c r="P1748" s="1"/>
      <x:c r="Q1748" s="1"/>
      <x:c r="R1748" s="1"/>
      <x:c r="S1748" s="1"/>
      <x:c r="T1748" s="1"/>
      <x:c r="U1748" s="1"/>
      <x:c r="V1748" s="1"/>
    </x:row>
    <x:row r="1749">
      <x:c r="A1749" s="1"/>
      <x:c r="B1749" s="1"/>
      <x:c r="C1749" s="1"/>
      <x:c r="D1749" s="1"/>
      <x:c r="E1749" s="1"/>
      <x:c r="F1749" s="1"/>
      <x:c r="G1749" s="1"/>
      <x:c r="H1749" s="1"/>
      <x:c r="I1749" s="1"/>
      <x:c r="J1749" s="1"/>
      <x:c r="K1749" s="1"/>
      <x:c r="L1749" s="1"/>
      <x:c r="M1749" s="1"/>
      <x:c r="N1749" s="1"/>
      <x:c r="O1749" s="1"/>
      <x:c r="P1749" s="1"/>
      <x:c r="Q1749" s="1"/>
      <x:c r="R1749" s="1"/>
      <x:c r="S1749" s="1"/>
      <x:c r="T1749" s="1"/>
      <x:c r="U1749" s="1"/>
      <x:c r="V1749" s="1"/>
    </x:row>
    <x:row r="1750">
      <x:c r="A1750" s="1"/>
      <x:c r="B1750" s="1"/>
      <x:c r="C1750" s="1"/>
      <x:c r="D1750" s="1"/>
      <x:c r="E1750" s="1"/>
      <x:c r="F1750" s="1"/>
      <x:c r="G1750" s="1"/>
      <x:c r="H1750" s="1"/>
      <x:c r="I1750" s="1"/>
      <x:c r="J1750" s="1"/>
      <x:c r="K1750" s="1"/>
      <x:c r="L1750" s="1"/>
      <x:c r="M1750" s="1"/>
      <x:c r="N1750" s="1"/>
      <x:c r="O1750" s="1"/>
      <x:c r="P1750" s="1"/>
      <x:c r="Q1750" s="1"/>
      <x:c r="R1750" s="1"/>
      <x:c r="S1750" s="1"/>
      <x:c r="T1750" s="1"/>
      <x:c r="U1750" s="1"/>
      <x:c r="V1750" s="1"/>
    </x:row>
    <x:row r="1751">
      <x:c r="A1751" s="1"/>
      <x:c r="B1751" s="1"/>
      <x:c r="C1751" s="1"/>
      <x:c r="D1751" s="1"/>
      <x:c r="E1751" s="1"/>
      <x:c r="F1751" s="1"/>
      <x:c r="G1751" s="1"/>
      <x:c r="H1751" s="1"/>
      <x:c r="I1751" s="1"/>
      <x:c r="J1751" s="1"/>
      <x:c r="K1751" s="1"/>
      <x:c r="L1751" s="1"/>
      <x:c r="M1751" s="1"/>
      <x:c r="N1751" s="1"/>
      <x:c r="O1751" s="1"/>
      <x:c r="P1751" s="1"/>
      <x:c r="Q1751" s="1"/>
      <x:c r="R1751" s="1"/>
      <x:c r="S1751" s="1"/>
      <x:c r="T1751" s="1"/>
      <x:c r="U1751" s="1"/>
      <x:c r="V1751" s="1"/>
    </x:row>
    <x:row r="1752">
      <x:c r="A1752" s="1"/>
      <x:c r="B1752" s="1"/>
      <x:c r="C1752" s="1"/>
      <x:c r="D1752" s="1"/>
      <x:c r="E1752" s="1"/>
      <x:c r="F1752" s="1"/>
      <x:c r="G1752" s="1"/>
      <x:c r="H1752" s="1"/>
      <x:c r="I1752" s="1"/>
      <x:c r="J1752" s="1"/>
      <x:c r="K1752" s="1"/>
      <x:c r="L1752" s="1"/>
      <x:c r="M1752" s="1"/>
      <x:c r="N1752" s="1"/>
      <x:c r="O1752" s="1"/>
      <x:c r="P1752" s="1"/>
      <x:c r="Q1752" s="1"/>
      <x:c r="R1752" s="1"/>
      <x:c r="S1752" s="1"/>
      <x:c r="T1752" s="1"/>
      <x:c r="U1752" s="1"/>
      <x:c r="V1752" s="1"/>
    </x:row>
    <x:row r="1753">
      <x:c r="A1753" s="1"/>
      <x:c r="B1753" s="1"/>
      <x:c r="C1753" s="1"/>
      <x:c r="D1753" s="1"/>
      <x:c r="E1753" s="1"/>
      <x:c r="F1753" s="1"/>
      <x:c r="G1753" s="1"/>
      <x:c r="H1753" s="1"/>
      <x:c r="I1753" s="1"/>
      <x:c r="J1753" s="1"/>
      <x:c r="K1753" s="1"/>
      <x:c r="L1753" s="1"/>
      <x:c r="M1753" s="1"/>
      <x:c r="N1753" s="1"/>
      <x:c r="O1753" s="1"/>
      <x:c r="P1753" s="1"/>
      <x:c r="Q1753" s="1"/>
      <x:c r="R1753" s="1"/>
      <x:c r="S1753" s="1"/>
      <x:c r="T1753" s="1"/>
      <x:c r="U1753" s="1"/>
      <x:c r="V1753" s="1"/>
    </x:row>
    <x:row r="1754">
      <x:c r="A1754" s="1"/>
      <x:c r="B1754" s="1"/>
      <x:c r="C1754" s="1"/>
      <x:c r="D1754" s="1"/>
      <x:c r="E1754" s="1"/>
      <x:c r="F1754" s="1"/>
      <x:c r="G1754" s="1"/>
      <x:c r="H1754" s="1"/>
      <x:c r="I1754" s="1"/>
      <x:c r="J1754" s="1"/>
      <x:c r="K1754" s="1"/>
      <x:c r="L1754" s="1"/>
      <x:c r="M1754" s="1"/>
      <x:c r="N1754" s="1"/>
      <x:c r="O1754" s="1"/>
      <x:c r="P1754" s="1"/>
      <x:c r="Q1754" s="1"/>
      <x:c r="R1754" s="1"/>
      <x:c r="S1754" s="1"/>
      <x:c r="T1754" s="1"/>
      <x:c r="U1754" s="1"/>
      <x:c r="V1754" s="1"/>
    </x:row>
    <x:row r="1755">
      <x:c r="A1755" s="1"/>
      <x:c r="B1755" s="1"/>
      <x:c r="C1755" s="1"/>
      <x:c r="D1755" s="1"/>
      <x:c r="E1755" s="1"/>
      <x:c r="F1755" s="1"/>
      <x:c r="G1755" s="1"/>
      <x:c r="H1755" s="1"/>
      <x:c r="I1755" s="1"/>
      <x:c r="J1755" s="1"/>
      <x:c r="K1755" s="1"/>
      <x:c r="L1755" s="1"/>
      <x:c r="M1755" s="1"/>
      <x:c r="N1755" s="1"/>
      <x:c r="O1755" s="1"/>
      <x:c r="P1755" s="1"/>
      <x:c r="Q1755" s="1"/>
      <x:c r="R1755" s="1"/>
      <x:c r="S1755" s="1"/>
      <x:c r="T1755" s="1"/>
      <x:c r="U1755" s="1"/>
      <x:c r="V1755" s="1"/>
    </x:row>
    <x:row r="1756">
      <x:c r="A1756" s="1"/>
      <x:c r="B1756" s="1"/>
      <x:c r="C1756" s="1"/>
      <x:c r="D1756" s="1"/>
      <x:c r="E1756" s="1"/>
      <x:c r="F1756" s="1"/>
      <x:c r="G1756" s="1"/>
      <x:c r="H1756" s="1"/>
      <x:c r="I1756" s="1"/>
      <x:c r="J1756" s="1"/>
      <x:c r="K1756" s="1"/>
      <x:c r="L1756" s="1"/>
      <x:c r="M1756" s="1"/>
      <x:c r="N1756" s="1"/>
      <x:c r="O1756" s="1"/>
      <x:c r="P1756" s="1"/>
      <x:c r="Q1756" s="1"/>
      <x:c r="R1756" s="1"/>
      <x:c r="S1756" s="1"/>
      <x:c r="T1756" s="1"/>
      <x:c r="U1756" s="1"/>
      <x:c r="V1756" s="1"/>
    </x:row>
    <x:row r="1757">
      <x:c r="A1757" s="1"/>
      <x:c r="B1757" s="1"/>
      <x:c r="C1757" s="1"/>
      <x:c r="D1757" s="1"/>
      <x:c r="E1757" s="1"/>
      <x:c r="F1757" s="1"/>
      <x:c r="G1757" s="1"/>
      <x:c r="H1757" s="1"/>
      <x:c r="I1757" s="1"/>
      <x:c r="J1757" s="1"/>
      <x:c r="K1757" s="1"/>
      <x:c r="L1757" s="1"/>
      <x:c r="M1757" s="1"/>
      <x:c r="N1757" s="1"/>
      <x:c r="O1757" s="1"/>
      <x:c r="P1757" s="1"/>
      <x:c r="Q1757" s="1"/>
      <x:c r="R1757" s="1"/>
      <x:c r="S1757" s="1"/>
      <x:c r="T1757" s="1"/>
      <x:c r="U1757" s="1"/>
      <x:c r="V1757" s="1"/>
    </x:row>
    <x:row r="1758">
      <x:c r="A1758" s="1"/>
      <x:c r="B1758" s="1"/>
      <x:c r="C1758" s="1"/>
      <x:c r="D1758" s="1"/>
      <x:c r="E1758" s="1"/>
      <x:c r="F1758" s="1"/>
      <x:c r="G1758" s="1"/>
      <x:c r="H1758" s="1"/>
      <x:c r="I1758" s="1"/>
      <x:c r="J1758" s="1"/>
      <x:c r="K1758" s="1"/>
      <x:c r="L1758" s="1"/>
      <x:c r="M1758" s="1"/>
      <x:c r="N1758" s="1"/>
      <x:c r="O1758" s="1"/>
      <x:c r="P1758" s="1"/>
      <x:c r="Q1758" s="1"/>
      <x:c r="R1758" s="1"/>
      <x:c r="S1758" s="1"/>
      <x:c r="T1758" s="1"/>
      <x:c r="U1758" s="1"/>
      <x:c r="V1758" s="1"/>
    </x:row>
    <x:row r="1759">
      <x:c r="A1759" s="1"/>
      <x:c r="B1759" s="1"/>
      <x:c r="C1759" s="1"/>
      <x:c r="D1759" s="1"/>
      <x:c r="E1759" s="1"/>
      <x:c r="F1759" s="1"/>
      <x:c r="G1759" s="1"/>
      <x:c r="H1759" s="1"/>
      <x:c r="I1759" s="1"/>
      <x:c r="J1759" s="1"/>
      <x:c r="K1759" s="1"/>
      <x:c r="L1759" s="1"/>
      <x:c r="M1759" s="1"/>
      <x:c r="N1759" s="1"/>
      <x:c r="O1759" s="1"/>
      <x:c r="P1759" s="1"/>
      <x:c r="Q1759" s="1"/>
      <x:c r="R1759" s="1"/>
      <x:c r="S1759" s="1"/>
      <x:c r="T1759" s="1"/>
      <x:c r="U1759" s="1"/>
      <x:c r="V1759" s="1"/>
    </x:row>
    <x:row r="1760">
      <x:c r="A1760" s="1"/>
      <x:c r="B1760" s="1"/>
      <x:c r="C1760" s="1"/>
      <x:c r="D1760" s="1"/>
      <x:c r="E1760" s="1"/>
      <x:c r="F1760" s="1"/>
      <x:c r="G1760" s="1"/>
      <x:c r="H1760" s="1"/>
      <x:c r="I1760" s="1"/>
      <x:c r="J1760" s="1"/>
      <x:c r="K1760" s="1"/>
      <x:c r="L1760" s="1"/>
      <x:c r="M1760" s="1"/>
      <x:c r="N1760" s="1"/>
      <x:c r="O1760" s="1"/>
      <x:c r="P1760" s="1"/>
      <x:c r="Q1760" s="1"/>
      <x:c r="R1760" s="1"/>
      <x:c r="S1760" s="1"/>
      <x:c r="T1760" s="1"/>
      <x:c r="U1760" s="1"/>
      <x:c r="V1760" s="1"/>
    </x:row>
    <x:row r="1761">
      <x:c r="A1761" s="1"/>
      <x:c r="B1761" s="1"/>
      <x:c r="C1761" s="1"/>
      <x:c r="D1761" s="1"/>
      <x:c r="E1761" s="1"/>
      <x:c r="F1761" s="1"/>
      <x:c r="G1761" s="1"/>
      <x:c r="H1761" s="1"/>
      <x:c r="I1761" s="1"/>
      <x:c r="J1761" s="1"/>
      <x:c r="K1761" s="1"/>
      <x:c r="L1761" s="1"/>
      <x:c r="M1761" s="1"/>
      <x:c r="N1761" s="1"/>
      <x:c r="O1761" s="1"/>
      <x:c r="P1761" s="1"/>
      <x:c r="Q1761" s="1"/>
      <x:c r="R1761" s="1"/>
      <x:c r="S1761" s="1"/>
      <x:c r="T1761" s="1"/>
      <x:c r="U1761" s="1"/>
      <x:c r="V1761" s="1"/>
    </x:row>
    <x:row r="1762">
      <x:c r="A1762" s="1"/>
      <x:c r="B1762" s="1"/>
      <x:c r="C1762" s="1"/>
      <x:c r="D1762" s="1"/>
      <x:c r="E1762" s="1"/>
      <x:c r="F1762" s="1"/>
      <x:c r="G1762" s="1"/>
      <x:c r="H1762" s="1"/>
      <x:c r="I1762" s="1"/>
      <x:c r="J1762" s="1"/>
      <x:c r="K1762" s="1"/>
      <x:c r="L1762" s="1"/>
      <x:c r="M1762" s="1"/>
      <x:c r="N1762" s="1"/>
      <x:c r="O1762" s="1"/>
      <x:c r="P1762" s="1"/>
      <x:c r="Q1762" s="1"/>
      <x:c r="R1762" s="1"/>
      <x:c r="S1762" s="1"/>
      <x:c r="T1762" s="1"/>
      <x:c r="U1762" s="1"/>
      <x:c r="V1762" s="1"/>
    </x:row>
    <x:row r="1763">
      <x:c r="A1763" s="1"/>
      <x:c r="B1763" s="1"/>
      <x:c r="C1763" s="1"/>
      <x:c r="D1763" s="1"/>
      <x:c r="E1763" s="1"/>
      <x:c r="F1763" s="1"/>
      <x:c r="G1763" s="1"/>
      <x:c r="H1763" s="1"/>
      <x:c r="I1763" s="1"/>
      <x:c r="J1763" s="1"/>
      <x:c r="K1763" s="1"/>
      <x:c r="L1763" s="1"/>
      <x:c r="M1763" s="1"/>
      <x:c r="N1763" s="1"/>
      <x:c r="O1763" s="1"/>
      <x:c r="P1763" s="1"/>
      <x:c r="Q1763" s="1"/>
      <x:c r="R1763" s="1"/>
      <x:c r="S1763" s="1"/>
      <x:c r="T1763" s="1"/>
      <x:c r="U1763" s="1"/>
      <x:c r="V1763" s="1"/>
    </x:row>
    <x:row r="1764">
      <x:c r="A1764" s="1"/>
      <x:c r="B1764" s="1"/>
      <x:c r="C1764" s="1"/>
      <x:c r="D1764" s="1"/>
      <x:c r="E1764" s="1"/>
      <x:c r="F1764" s="1"/>
      <x:c r="G1764" s="1"/>
      <x:c r="H1764" s="1"/>
      <x:c r="I1764" s="1"/>
      <x:c r="J1764" s="1"/>
      <x:c r="K1764" s="1"/>
      <x:c r="L1764" s="1"/>
      <x:c r="M1764" s="1"/>
      <x:c r="N1764" s="1"/>
      <x:c r="O1764" s="1"/>
      <x:c r="P1764" s="1"/>
      <x:c r="Q1764" s="1"/>
      <x:c r="R1764" s="1"/>
      <x:c r="S1764" s="1"/>
      <x:c r="T1764" s="1"/>
      <x:c r="U1764" s="1"/>
      <x:c r="V1764" s="1"/>
    </x:row>
    <x:row r="1765">
      <x:c r="A1765" s="1"/>
      <x:c r="B1765" s="1"/>
      <x:c r="C1765" s="1"/>
      <x:c r="D1765" s="1"/>
      <x:c r="E1765" s="1"/>
      <x:c r="F1765" s="1"/>
      <x:c r="G1765" s="1"/>
      <x:c r="H1765" s="1"/>
      <x:c r="I1765" s="1"/>
      <x:c r="J1765" s="1"/>
      <x:c r="K1765" s="1"/>
      <x:c r="L1765" s="1"/>
      <x:c r="M1765" s="1"/>
      <x:c r="N1765" s="1"/>
      <x:c r="O1765" s="1"/>
      <x:c r="P1765" s="1"/>
      <x:c r="Q1765" s="1"/>
      <x:c r="R1765" s="1"/>
      <x:c r="S1765" s="1"/>
      <x:c r="T1765" s="1"/>
      <x:c r="U1765" s="1"/>
      <x:c r="V1765" s="1"/>
    </x:row>
    <x:row r="1766">
      <x:c r="A1766" s="1"/>
      <x:c r="B1766" s="1"/>
      <x:c r="C1766" s="1"/>
      <x:c r="D1766" s="1"/>
      <x:c r="E1766" s="1"/>
      <x:c r="F1766" s="1"/>
      <x:c r="G1766" s="1"/>
      <x:c r="H1766" s="1"/>
      <x:c r="I1766" s="1"/>
      <x:c r="J1766" s="1"/>
      <x:c r="K1766" s="1"/>
      <x:c r="L1766" s="1"/>
      <x:c r="M1766" s="1"/>
      <x:c r="N1766" s="1"/>
      <x:c r="O1766" s="1"/>
      <x:c r="P1766" s="1"/>
      <x:c r="Q1766" s="1"/>
      <x:c r="R1766" s="1"/>
      <x:c r="S1766" s="1"/>
      <x:c r="T1766" s="1"/>
      <x:c r="U1766" s="1"/>
      <x:c r="V1766" s="1"/>
    </x:row>
    <x:row r="1767">
      <x:c r="A1767" s="1"/>
      <x:c r="B1767" s="1"/>
      <x:c r="C1767" s="1"/>
      <x:c r="D1767" s="1"/>
      <x:c r="E1767" s="1"/>
      <x:c r="F1767" s="1"/>
      <x:c r="G1767" s="1"/>
      <x:c r="H1767" s="1"/>
      <x:c r="I1767" s="1"/>
      <x:c r="J1767" s="1"/>
      <x:c r="K1767" s="1"/>
      <x:c r="L1767" s="1"/>
      <x:c r="M1767" s="1"/>
      <x:c r="N1767" s="1"/>
      <x:c r="O1767" s="1"/>
      <x:c r="P1767" s="1"/>
      <x:c r="Q1767" s="1"/>
      <x:c r="R1767" s="1"/>
      <x:c r="S1767" s="1"/>
      <x:c r="T1767" s="1"/>
      <x:c r="U1767" s="1"/>
      <x:c r="V1767" s="1"/>
    </x:row>
    <x:row r="1768">
      <x:c r="A1768" s="1"/>
      <x:c r="B1768" s="1"/>
      <x:c r="C1768" s="1"/>
      <x:c r="D1768" s="1"/>
      <x:c r="E1768" s="1"/>
      <x:c r="F1768" s="1"/>
      <x:c r="G1768" s="1"/>
      <x:c r="H1768" s="1"/>
      <x:c r="I1768" s="1"/>
      <x:c r="J1768" s="1"/>
      <x:c r="K1768" s="1"/>
      <x:c r="L1768" s="1"/>
      <x:c r="M1768" s="1"/>
      <x:c r="N1768" s="1"/>
      <x:c r="O1768" s="1"/>
      <x:c r="P1768" s="1"/>
      <x:c r="Q1768" s="1"/>
      <x:c r="R1768" s="1"/>
      <x:c r="S1768" s="1"/>
      <x:c r="T1768" s="1"/>
      <x:c r="U1768" s="1"/>
      <x:c r="V1768" s="1"/>
    </x:row>
    <x:row r="1769">
      <x:c r="A1769" s="1"/>
      <x:c r="B1769" s="1"/>
      <x:c r="C1769" s="1"/>
      <x:c r="D1769" s="1"/>
      <x:c r="E1769" s="1"/>
      <x:c r="F1769" s="1"/>
      <x:c r="G1769" s="1"/>
      <x:c r="H1769" s="1"/>
      <x:c r="I1769" s="1"/>
      <x:c r="J1769" s="1"/>
      <x:c r="K1769" s="1"/>
      <x:c r="L1769" s="1"/>
      <x:c r="M1769" s="1"/>
      <x:c r="N1769" s="1"/>
      <x:c r="O1769" s="1"/>
      <x:c r="P1769" s="1"/>
      <x:c r="Q1769" s="1"/>
      <x:c r="R1769" s="1"/>
      <x:c r="S1769" s="1"/>
      <x:c r="T1769" s="1"/>
      <x:c r="U1769" s="1"/>
      <x:c r="V1769" s="1"/>
    </x:row>
    <x:row r="1770">
      <x:c r="A1770" s="1"/>
      <x:c r="B1770" s="1"/>
      <x:c r="C1770" s="1"/>
      <x:c r="D1770" s="1"/>
      <x:c r="E1770" s="1"/>
      <x:c r="F1770" s="1"/>
      <x:c r="G1770" s="1"/>
      <x:c r="H1770" s="1"/>
      <x:c r="I1770" s="1"/>
      <x:c r="J1770" s="1"/>
      <x:c r="K1770" s="1"/>
      <x:c r="L1770" s="1"/>
      <x:c r="M1770" s="1"/>
      <x:c r="N1770" s="1"/>
      <x:c r="O1770" s="1"/>
      <x:c r="P1770" s="1"/>
      <x:c r="Q1770" s="1"/>
      <x:c r="R1770" s="1"/>
      <x:c r="S1770" s="1"/>
      <x:c r="T1770" s="1"/>
      <x:c r="U1770" s="1"/>
      <x:c r="V1770" s="1"/>
    </x:row>
    <x:row r="1771">
      <x:c r="A1771" s="1"/>
      <x:c r="B1771" s="1"/>
      <x:c r="C1771" s="1"/>
      <x:c r="D1771" s="1"/>
      <x:c r="E1771" s="1"/>
      <x:c r="F1771" s="1"/>
      <x:c r="G1771" s="1"/>
      <x:c r="H1771" s="1"/>
      <x:c r="I1771" s="1"/>
      <x:c r="J1771" s="1"/>
      <x:c r="K1771" s="1"/>
      <x:c r="L1771" s="1"/>
      <x:c r="M1771" s="1"/>
      <x:c r="N1771" s="1"/>
      <x:c r="O1771" s="1"/>
      <x:c r="P1771" s="1"/>
      <x:c r="Q1771" s="1"/>
      <x:c r="R1771" s="1"/>
      <x:c r="S1771" s="1"/>
      <x:c r="T1771" s="1"/>
      <x:c r="U1771" s="1"/>
      <x:c r="V1771" s="1"/>
    </x:row>
    <x:row r="1772">
      <x:c r="A1772" s="1"/>
      <x:c r="B1772" s="1"/>
      <x:c r="C1772" s="1"/>
      <x:c r="D1772" s="1"/>
      <x:c r="E1772" s="1"/>
      <x:c r="F1772" s="1"/>
      <x:c r="G1772" s="1"/>
      <x:c r="H1772" s="1"/>
      <x:c r="I1772" s="1"/>
      <x:c r="J1772" s="1"/>
      <x:c r="K1772" s="1"/>
      <x:c r="L1772" s="1"/>
      <x:c r="M1772" s="1"/>
      <x:c r="N1772" s="1"/>
      <x:c r="O1772" s="1"/>
      <x:c r="P1772" s="1"/>
      <x:c r="Q1772" s="1"/>
      <x:c r="R1772" s="1"/>
      <x:c r="S1772" s="1"/>
      <x:c r="T1772" s="1"/>
      <x:c r="U1772" s="1"/>
      <x:c r="V1772" s="1"/>
    </x:row>
    <x:row r="1773">
      <x:c r="A1773" s="1"/>
      <x:c r="B1773" s="1"/>
      <x:c r="C1773" s="1"/>
      <x:c r="D1773" s="1"/>
      <x:c r="E1773" s="1"/>
      <x:c r="F1773" s="1"/>
      <x:c r="G1773" s="1"/>
      <x:c r="H1773" s="1"/>
      <x:c r="I1773" s="1"/>
      <x:c r="J1773" s="1"/>
      <x:c r="K1773" s="1"/>
      <x:c r="L1773" s="1"/>
      <x:c r="M1773" s="1"/>
      <x:c r="N1773" s="1"/>
      <x:c r="O1773" s="1"/>
      <x:c r="P1773" s="1"/>
      <x:c r="Q1773" s="1"/>
      <x:c r="R1773" s="1"/>
      <x:c r="S1773" s="1"/>
      <x:c r="T1773" s="1"/>
      <x:c r="U1773" s="1"/>
      <x:c r="V1773" s="1"/>
    </x:row>
    <x:row r="1774">
      <x:c r="A1774" s="1"/>
      <x:c r="B1774" s="1"/>
      <x:c r="C1774" s="1"/>
      <x:c r="D1774" s="1"/>
      <x:c r="E1774" s="1"/>
      <x:c r="F1774" s="1"/>
      <x:c r="G1774" s="1"/>
      <x:c r="H1774" s="1"/>
      <x:c r="I1774" s="1"/>
      <x:c r="J1774" s="1"/>
      <x:c r="K1774" s="1"/>
      <x:c r="L1774" s="1"/>
      <x:c r="M1774" s="1"/>
      <x:c r="N1774" s="1"/>
      <x:c r="O1774" s="1"/>
      <x:c r="P1774" s="1"/>
      <x:c r="Q1774" s="1"/>
      <x:c r="R1774" s="1"/>
      <x:c r="S1774" s="1"/>
      <x:c r="T1774" s="1"/>
      <x:c r="U1774" s="1"/>
      <x:c r="V1774" s="1"/>
    </x:row>
    <x:row r="1775">
      <x:c r="A1775" s="1"/>
      <x:c r="B1775" s="1"/>
      <x:c r="C1775" s="1"/>
      <x:c r="D1775" s="1"/>
      <x:c r="E1775" s="1"/>
      <x:c r="F1775" s="1"/>
      <x:c r="G1775" s="1"/>
      <x:c r="H1775" s="1"/>
      <x:c r="I1775" s="1"/>
      <x:c r="J1775" s="1"/>
      <x:c r="K1775" s="1"/>
      <x:c r="L1775" s="1"/>
      <x:c r="M1775" s="1"/>
      <x:c r="N1775" s="1"/>
      <x:c r="O1775" s="1"/>
      <x:c r="P1775" s="1"/>
      <x:c r="Q1775" s="1"/>
      <x:c r="R1775" s="1"/>
      <x:c r="S1775" s="1"/>
      <x:c r="T1775" s="1"/>
      <x:c r="U1775" s="1"/>
      <x:c r="V1775" s="1"/>
    </x:row>
    <x:row r="1776">
      <x:c r="A1776" s="1"/>
      <x:c r="B1776" s="1"/>
      <x:c r="C1776" s="1"/>
      <x:c r="D1776" s="1"/>
      <x:c r="E1776" s="1"/>
      <x:c r="F1776" s="1"/>
      <x:c r="G1776" s="1"/>
      <x:c r="H1776" s="1"/>
      <x:c r="I1776" s="1"/>
      <x:c r="J1776" s="1"/>
      <x:c r="K1776" s="1"/>
      <x:c r="L1776" s="1"/>
      <x:c r="M1776" s="1"/>
      <x:c r="N1776" s="1"/>
      <x:c r="O1776" s="1"/>
      <x:c r="P1776" s="1"/>
      <x:c r="Q1776" s="1"/>
      <x:c r="R1776" s="1"/>
      <x:c r="S1776" s="1"/>
      <x:c r="T1776" s="1"/>
      <x:c r="U1776" s="1"/>
      <x:c r="V1776" s="1"/>
    </x:row>
    <x:row r="1777">
      <x:c r="A1777" s="1"/>
      <x:c r="B1777" s="1"/>
      <x:c r="C1777" s="1"/>
      <x:c r="D1777" s="1"/>
      <x:c r="E1777" s="1"/>
      <x:c r="F1777" s="1"/>
      <x:c r="G1777" s="1"/>
      <x:c r="H1777" s="1"/>
      <x:c r="I1777" s="1"/>
      <x:c r="J1777" s="1"/>
      <x:c r="K1777" s="1"/>
      <x:c r="L1777" s="1"/>
      <x:c r="M1777" s="1"/>
      <x:c r="N1777" s="1"/>
      <x:c r="O1777" s="1"/>
      <x:c r="P1777" s="1"/>
      <x:c r="Q1777" s="1"/>
      <x:c r="R1777" s="1"/>
      <x:c r="S1777" s="1"/>
      <x:c r="T1777" s="1"/>
      <x:c r="U1777" s="1"/>
      <x:c r="V1777" s="1"/>
    </x:row>
    <x:row r="1778">
      <x:c r="A1778" s="1"/>
      <x:c r="B1778" s="1"/>
      <x:c r="C1778" s="1"/>
      <x:c r="D1778" s="1"/>
      <x:c r="E1778" s="1"/>
      <x:c r="F1778" s="1"/>
      <x:c r="G1778" s="1"/>
      <x:c r="H1778" s="1"/>
      <x:c r="I1778" s="1"/>
      <x:c r="J1778" s="1"/>
      <x:c r="K1778" s="1"/>
      <x:c r="L1778" s="1"/>
      <x:c r="M1778" s="1"/>
      <x:c r="N1778" s="1"/>
      <x:c r="O1778" s="1"/>
      <x:c r="P1778" s="1"/>
      <x:c r="Q1778" s="1"/>
      <x:c r="R1778" s="1"/>
      <x:c r="S1778" s="1"/>
      <x:c r="T1778" s="1"/>
      <x:c r="U1778" s="1"/>
      <x:c r="V1778" s="1"/>
    </x:row>
    <x:row r="1779">
      <x:c r="A1779" s="1"/>
      <x:c r="B1779" s="1"/>
      <x:c r="C1779" s="1"/>
      <x:c r="D1779" s="1"/>
      <x:c r="E1779" s="1"/>
      <x:c r="F1779" s="1"/>
      <x:c r="G1779" s="1"/>
      <x:c r="H1779" s="1"/>
      <x:c r="I1779" s="1"/>
      <x:c r="J1779" s="1"/>
      <x:c r="K1779" s="1"/>
      <x:c r="L1779" s="1"/>
      <x:c r="M1779" s="1"/>
      <x:c r="N1779" s="1"/>
      <x:c r="O1779" s="1"/>
      <x:c r="P1779" s="1"/>
      <x:c r="Q1779" s="1"/>
      <x:c r="R1779" s="1"/>
      <x:c r="S1779" s="1"/>
      <x:c r="T1779" s="1"/>
      <x:c r="U1779" s="1"/>
      <x:c r="V1779" s="1"/>
    </x:row>
    <x:row r="1780">
      <x:c r="A1780" s="1"/>
      <x:c r="B1780" s="1"/>
      <x:c r="C1780" s="1"/>
      <x:c r="D1780" s="1"/>
      <x:c r="E1780" s="1"/>
      <x:c r="F1780" s="1"/>
      <x:c r="G1780" s="1"/>
      <x:c r="H1780" s="1"/>
      <x:c r="I1780" s="1"/>
      <x:c r="J1780" s="1"/>
      <x:c r="K1780" s="1"/>
      <x:c r="L1780" s="1"/>
      <x:c r="M1780" s="1"/>
      <x:c r="N1780" s="1"/>
      <x:c r="O1780" s="1"/>
      <x:c r="P1780" s="1"/>
      <x:c r="Q1780" s="1"/>
      <x:c r="R1780" s="1"/>
      <x:c r="S1780" s="1"/>
      <x:c r="T1780" s="1"/>
      <x:c r="U1780" s="1"/>
      <x:c r="V1780" s="1"/>
    </x:row>
    <x:row r="1781">
      <x:c r="A1781" s="1"/>
      <x:c r="B1781" s="1"/>
      <x:c r="C1781" s="1"/>
      <x:c r="D1781" s="1"/>
      <x:c r="E1781" s="1"/>
      <x:c r="F1781" s="1"/>
      <x:c r="G1781" s="1"/>
      <x:c r="H1781" s="1"/>
      <x:c r="I1781" s="1"/>
      <x:c r="J1781" s="1"/>
      <x:c r="K1781" s="1"/>
      <x:c r="L1781" s="1"/>
      <x:c r="M1781" s="1"/>
      <x:c r="N1781" s="1"/>
      <x:c r="O1781" s="1"/>
      <x:c r="P1781" s="1"/>
      <x:c r="Q1781" s="1"/>
      <x:c r="R1781" s="1"/>
      <x:c r="S1781" s="1"/>
      <x:c r="T1781" s="1"/>
      <x:c r="U1781" s="1"/>
      <x:c r="V1781" s="1"/>
    </x:row>
    <x:row r="1782">
      <x:c r="A1782" s="1"/>
      <x:c r="B1782" s="1"/>
      <x:c r="C1782" s="1"/>
      <x:c r="D1782" s="1"/>
      <x:c r="E1782" s="1"/>
      <x:c r="F1782" s="1"/>
      <x:c r="G1782" s="1"/>
      <x:c r="H1782" s="1"/>
      <x:c r="I1782" s="1"/>
      <x:c r="J1782" s="1"/>
      <x:c r="K1782" s="1"/>
      <x:c r="L1782" s="1"/>
      <x:c r="M1782" s="1"/>
      <x:c r="N1782" s="1"/>
      <x:c r="O1782" s="1"/>
      <x:c r="P1782" s="1"/>
      <x:c r="Q1782" s="1"/>
      <x:c r="R1782" s="1"/>
      <x:c r="S1782" s="1"/>
      <x:c r="T1782" s="1"/>
      <x:c r="U1782" s="1"/>
      <x:c r="V1782" s="1"/>
    </x:row>
    <x:row r="1783">
      <x:c r="A1783" s="1"/>
      <x:c r="B1783" s="1"/>
      <x:c r="C1783" s="1"/>
      <x:c r="D1783" s="1"/>
      <x:c r="E1783" s="1"/>
      <x:c r="F1783" s="1"/>
      <x:c r="G1783" s="1"/>
      <x:c r="H1783" s="1"/>
      <x:c r="I1783" s="1"/>
      <x:c r="J1783" s="1"/>
      <x:c r="K1783" s="1"/>
      <x:c r="L1783" s="1"/>
      <x:c r="M1783" s="1"/>
      <x:c r="N1783" s="1"/>
      <x:c r="O1783" s="1"/>
      <x:c r="P1783" s="1"/>
      <x:c r="Q1783" s="1"/>
      <x:c r="R1783" s="1"/>
      <x:c r="S1783" s="1"/>
      <x:c r="T1783" s="1"/>
      <x:c r="U1783" s="1"/>
      <x:c r="V1783" s="1"/>
    </x:row>
    <x:row r="1784">
      <x:c r="A1784" s="1"/>
      <x:c r="B1784" s="1"/>
      <x:c r="C1784" s="1"/>
      <x:c r="D1784" s="1"/>
      <x:c r="E1784" s="1"/>
      <x:c r="F1784" s="1"/>
      <x:c r="G1784" s="1"/>
      <x:c r="H1784" s="1"/>
      <x:c r="I1784" s="1"/>
      <x:c r="J1784" s="1"/>
      <x:c r="K1784" s="1"/>
      <x:c r="L1784" s="1"/>
      <x:c r="M1784" s="1"/>
      <x:c r="N1784" s="1"/>
      <x:c r="O1784" s="1"/>
      <x:c r="P1784" s="1"/>
      <x:c r="Q1784" s="1"/>
      <x:c r="R1784" s="1"/>
      <x:c r="S1784" s="1"/>
      <x:c r="T1784" s="1"/>
      <x:c r="U1784" s="1"/>
      <x:c r="V1784" s="1"/>
    </x:row>
    <x:row r="1785">
      <x:c r="A1785" s="1"/>
      <x:c r="B1785" s="1"/>
      <x:c r="C1785" s="1"/>
      <x:c r="D1785" s="1"/>
      <x:c r="E1785" s="1"/>
      <x:c r="F1785" s="1"/>
      <x:c r="G1785" s="1"/>
      <x:c r="H1785" s="1"/>
      <x:c r="I1785" s="1"/>
      <x:c r="J1785" s="1"/>
      <x:c r="K1785" s="1"/>
      <x:c r="L1785" s="1"/>
      <x:c r="M1785" s="1"/>
      <x:c r="N1785" s="1"/>
      <x:c r="O1785" s="1"/>
      <x:c r="P1785" s="1"/>
      <x:c r="Q1785" s="1"/>
      <x:c r="R1785" s="1"/>
      <x:c r="S1785" s="1"/>
      <x:c r="T1785" s="1"/>
      <x:c r="U1785" s="1"/>
      <x:c r="V1785" s="1"/>
    </x:row>
    <x:row r="1786">
      <x:c r="A1786" s="1"/>
      <x:c r="B1786" s="1"/>
      <x:c r="C1786" s="1"/>
      <x:c r="D1786" s="1"/>
      <x:c r="E1786" s="1"/>
      <x:c r="F1786" s="1"/>
      <x:c r="G1786" s="1"/>
      <x:c r="H1786" s="1"/>
      <x:c r="I1786" s="1"/>
      <x:c r="J1786" s="1"/>
      <x:c r="K1786" s="1"/>
      <x:c r="L1786" s="1"/>
      <x:c r="M1786" s="1"/>
      <x:c r="N1786" s="1"/>
      <x:c r="O1786" s="1"/>
      <x:c r="P1786" s="1"/>
      <x:c r="Q1786" s="1"/>
      <x:c r="R1786" s="1"/>
      <x:c r="S1786" s="1"/>
      <x:c r="T1786" s="1"/>
      <x:c r="U1786" s="1"/>
      <x:c r="V1786" s="1"/>
    </x:row>
    <x:row r="1787">
      <x:c r="A1787" s="1"/>
      <x:c r="B1787" s="1"/>
      <x:c r="C1787" s="1"/>
      <x:c r="D1787" s="1"/>
      <x:c r="E1787" s="1"/>
      <x:c r="F1787" s="1"/>
      <x:c r="G1787" s="1"/>
      <x:c r="H1787" s="1"/>
      <x:c r="I1787" s="1"/>
      <x:c r="J1787" s="1"/>
      <x:c r="K1787" s="1"/>
      <x:c r="L1787" s="1"/>
      <x:c r="M1787" s="1"/>
      <x:c r="N1787" s="1"/>
      <x:c r="O1787" s="1"/>
      <x:c r="P1787" s="1"/>
      <x:c r="Q1787" s="1"/>
      <x:c r="R1787" s="1"/>
      <x:c r="S1787" s="1"/>
      <x:c r="T1787" s="1"/>
      <x:c r="U1787" s="1"/>
      <x:c r="V1787" s="1"/>
    </x:row>
    <x:row r="1788">
      <x:c r="A1788" s="1"/>
      <x:c r="B1788" s="1"/>
      <x:c r="C1788" s="1"/>
      <x:c r="D1788" s="1"/>
      <x:c r="E1788" s="1"/>
      <x:c r="F1788" s="1"/>
      <x:c r="G1788" s="1"/>
      <x:c r="H1788" s="1"/>
      <x:c r="I1788" s="1"/>
      <x:c r="J1788" s="1"/>
      <x:c r="K1788" s="1"/>
      <x:c r="L1788" s="1"/>
      <x:c r="M1788" s="1"/>
      <x:c r="N1788" s="1"/>
      <x:c r="O1788" s="1"/>
      <x:c r="P1788" s="1"/>
      <x:c r="Q1788" s="1"/>
      <x:c r="R1788" s="1"/>
      <x:c r="S1788" s="1"/>
      <x:c r="T1788" s="1"/>
      <x:c r="U1788" s="1"/>
      <x:c r="V1788" s="1"/>
    </x:row>
    <x:row r="1789">
      <x:c r="A1789" s="1"/>
      <x:c r="B1789" s="1"/>
      <x:c r="C1789" s="1"/>
      <x:c r="D1789" s="1"/>
      <x:c r="E1789" s="1"/>
      <x:c r="F1789" s="1"/>
      <x:c r="G1789" s="1"/>
      <x:c r="H1789" s="1"/>
      <x:c r="I1789" s="1"/>
      <x:c r="J1789" s="1"/>
      <x:c r="K1789" s="1"/>
      <x:c r="L1789" s="1"/>
      <x:c r="M1789" s="1"/>
      <x:c r="N1789" s="1"/>
      <x:c r="O1789" s="1"/>
      <x:c r="P1789" s="1"/>
      <x:c r="Q1789" s="1"/>
      <x:c r="R1789" s="1"/>
      <x:c r="S1789" s="1"/>
      <x:c r="T1789" s="1"/>
      <x:c r="U1789" s="1"/>
      <x:c r="V1789" s="1"/>
    </x:row>
    <x:row r="1790">
      <x:c r="A1790" s="1"/>
      <x:c r="B1790" s="1"/>
      <x:c r="C1790" s="1"/>
      <x:c r="D1790" s="1"/>
      <x:c r="E1790" s="1"/>
      <x:c r="F1790" s="1"/>
      <x:c r="G1790" s="1"/>
      <x:c r="H1790" s="1"/>
      <x:c r="I1790" s="1"/>
      <x:c r="J1790" s="1"/>
      <x:c r="K1790" s="1"/>
      <x:c r="L1790" s="1"/>
      <x:c r="M1790" s="1"/>
      <x:c r="N1790" s="1"/>
      <x:c r="O1790" s="1"/>
      <x:c r="P1790" s="1"/>
      <x:c r="Q1790" s="1"/>
      <x:c r="R1790" s="1"/>
      <x:c r="S1790" s="1"/>
      <x:c r="T1790" s="1"/>
      <x:c r="U1790" s="1"/>
      <x:c r="V1790" s="1"/>
    </x:row>
    <x:row r="1791">
      <x:c r="A1791" s="1"/>
      <x:c r="B1791" s="1"/>
      <x:c r="C1791" s="1"/>
      <x:c r="D1791" s="1"/>
      <x:c r="E1791" s="1"/>
      <x:c r="F1791" s="1"/>
      <x:c r="G1791" s="1"/>
      <x:c r="H1791" s="1"/>
      <x:c r="I1791" s="1"/>
      <x:c r="J1791" s="1"/>
      <x:c r="K1791" s="1"/>
      <x:c r="L1791" s="1"/>
      <x:c r="M1791" s="1"/>
      <x:c r="N1791" s="1"/>
      <x:c r="O1791" s="1"/>
      <x:c r="P1791" s="1"/>
      <x:c r="Q1791" s="1"/>
      <x:c r="R1791" s="1"/>
      <x:c r="S1791" s="1"/>
      <x:c r="T1791" s="1"/>
      <x:c r="U1791" s="1"/>
      <x:c r="V1791" s="1"/>
    </x:row>
    <x:row r="1792">
      <x:c r="A1792" s="1"/>
      <x:c r="B1792" s="1"/>
      <x:c r="C1792" s="1"/>
      <x:c r="D1792" s="1"/>
      <x:c r="E1792" s="1"/>
      <x:c r="F1792" s="1"/>
      <x:c r="G1792" s="1"/>
      <x:c r="H1792" s="1"/>
      <x:c r="I1792" s="1"/>
      <x:c r="J1792" s="1"/>
      <x:c r="K1792" s="1"/>
      <x:c r="L1792" s="1"/>
      <x:c r="M1792" s="1"/>
      <x:c r="N1792" s="1"/>
      <x:c r="O1792" s="1"/>
      <x:c r="P1792" s="1"/>
      <x:c r="Q1792" s="1"/>
      <x:c r="R1792" s="1"/>
      <x:c r="S1792" s="1"/>
      <x:c r="T1792" s="1"/>
      <x:c r="U1792" s="1"/>
      <x:c r="V1792" s="1"/>
    </x:row>
    <x:row r="1793">
      <x:c r="A1793" s="1"/>
      <x:c r="B1793" s="1"/>
      <x:c r="C1793" s="1"/>
      <x:c r="D1793" s="1"/>
      <x:c r="E1793" s="1"/>
      <x:c r="F1793" s="1"/>
      <x:c r="G1793" s="1"/>
      <x:c r="H1793" s="1"/>
      <x:c r="I1793" s="1"/>
      <x:c r="J1793" s="1"/>
      <x:c r="K1793" s="1"/>
      <x:c r="L1793" s="1"/>
      <x:c r="M1793" s="1"/>
      <x:c r="N1793" s="1"/>
      <x:c r="O1793" s="1"/>
      <x:c r="P1793" s="1"/>
      <x:c r="Q1793" s="1"/>
      <x:c r="R1793" s="1"/>
      <x:c r="S1793" s="1"/>
      <x:c r="T1793" s="1"/>
      <x:c r="U1793" s="1"/>
      <x:c r="V1793" s="1"/>
    </x:row>
    <x:row r="1794">
      <x:c r="A1794" s="1"/>
      <x:c r="B1794" s="1"/>
      <x:c r="C1794" s="1"/>
      <x:c r="D1794" s="1"/>
      <x:c r="E1794" s="1"/>
      <x:c r="F1794" s="1"/>
      <x:c r="G1794" s="1"/>
      <x:c r="H1794" s="1"/>
      <x:c r="I1794" s="1"/>
      <x:c r="J1794" s="1"/>
      <x:c r="K1794" s="1"/>
      <x:c r="L1794" s="1"/>
      <x:c r="M1794" s="1"/>
      <x:c r="N1794" s="1"/>
      <x:c r="O1794" s="1"/>
      <x:c r="P1794" s="1"/>
      <x:c r="Q1794" s="1"/>
      <x:c r="R1794" s="1"/>
      <x:c r="S1794" s="1"/>
      <x:c r="T1794" s="1"/>
      <x:c r="U1794" s="1"/>
      <x:c r="V1794" s="1"/>
    </x:row>
    <x:row r="1795">
      <x:c r="A1795" s="1"/>
      <x:c r="B1795" s="1"/>
      <x:c r="C1795" s="1"/>
      <x:c r="D1795" s="1"/>
      <x:c r="E1795" s="1"/>
      <x:c r="F1795" s="1"/>
      <x:c r="G1795" s="1"/>
      <x:c r="H1795" s="1"/>
      <x:c r="I1795" s="1"/>
      <x:c r="J1795" s="1"/>
      <x:c r="K1795" s="1"/>
      <x:c r="L1795" s="1"/>
      <x:c r="M1795" s="1"/>
      <x:c r="N1795" s="1"/>
      <x:c r="O1795" s="1"/>
      <x:c r="P1795" s="1"/>
      <x:c r="Q1795" s="1"/>
      <x:c r="R1795" s="1"/>
      <x:c r="S1795" s="1"/>
      <x:c r="T1795" s="1"/>
      <x:c r="U1795" s="1"/>
      <x:c r="V1795" s="1"/>
    </x:row>
    <x:row r="1796">
      <x:c r="A1796" s="1"/>
      <x:c r="B1796" s="1"/>
      <x:c r="C1796" s="1"/>
      <x:c r="D1796" s="1"/>
      <x:c r="E1796" s="1"/>
      <x:c r="F1796" s="1"/>
      <x:c r="G1796" s="1"/>
      <x:c r="H1796" s="1"/>
      <x:c r="I1796" s="1"/>
      <x:c r="J1796" s="1"/>
      <x:c r="K1796" s="1"/>
      <x:c r="L1796" s="1"/>
      <x:c r="M1796" s="1"/>
      <x:c r="N1796" s="1"/>
      <x:c r="O1796" s="1"/>
      <x:c r="P1796" s="1"/>
      <x:c r="Q1796" s="1"/>
      <x:c r="R1796" s="1"/>
      <x:c r="S1796" s="1"/>
      <x:c r="T1796" s="1"/>
      <x:c r="U1796" s="1"/>
      <x:c r="V1796" s="1"/>
    </x:row>
    <x:row r="1797">
      <x:c r="A1797" s="1"/>
      <x:c r="B1797" s="1"/>
      <x:c r="C1797" s="1"/>
      <x:c r="D1797" s="1"/>
      <x:c r="E1797" s="1"/>
      <x:c r="F1797" s="1"/>
      <x:c r="G1797" s="1"/>
      <x:c r="H1797" s="1"/>
      <x:c r="I1797" s="1"/>
      <x:c r="J1797" s="1"/>
      <x:c r="K1797" s="1"/>
      <x:c r="L1797" s="1"/>
      <x:c r="M1797" s="1"/>
      <x:c r="N1797" s="1"/>
      <x:c r="O1797" s="1"/>
      <x:c r="P1797" s="1"/>
      <x:c r="Q1797" s="1"/>
      <x:c r="R1797" s="1"/>
      <x:c r="S1797" s="1"/>
      <x:c r="T1797" s="1"/>
      <x:c r="U1797" s="1"/>
      <x:c r="V1797" s="1"/>
    </x:row>
    <x:row r="1798">
      <x:c r="A1798" s="1"/>
      <x:c r="B1798" s="1"/>
      <x:c r="C1798" s="1"/>
      <x:c r="D1798" s="1"/>
      <x:c r="E1798" s="1"/>
      <x:c r="F1798" s="1"/>
      <x:c r="G1798" s="1"/>
      <x:c r="H1798" s="1"/>
      <x:c r="I1798" s="1"/>
      <x:c r="J1798" s="1"/>
      <x:c r="K1798" s="1"/>
      <x:c r="L1798" s="1"/>
      <x:c r="M1798" s="1"/>
      <x:c r="N1798" s="1"/>
      <x:c r="O1798" s="1"/>
      <x:c r="P1798" s="1"/>
      <x:c r="Q1798" s="1"/>
      <x:c r="R1798" s="1"/>
      <x:c r="S1798" s="1"/>
      <x:c r="T1798" s="1"/>
      <x:c r="U1798" s="1"/>
      <x:c r="V1798" s="1"/>
    </x:row>
    <x:row r="1799">
      <x:c r="A1799" s="1"/>
      <x:c r="B1799" s="1"/>
      <x:c r="C1799" s="1"/>
      <x:c r="D1799" s="1"/>
      <x:c r="E1799" s="1"/>
      <x:c r="F1799" s="1"/>
      <x:c r="G1799" s="1"/>
      <x:c r="H1799" s="1"/>
      <x:c r="I1799" s="1"/>
      <x:c r="J1799" s="1"/>
      <x:c r="K1799" s="1"/>
      <x:c r="L1799" s="1"/>
      <x:c r="M1799" s="1"/>
      <x:c r="N1799" s="1"/>
      <x:c r="O1799" s="1"/>
      <x:c r="P1799" s="1"/>
      <x:c r="Q1799" s="1"/>
      <x:c r="R1799" s="1"/>
      <x:c r="S1799" s="1"/>
      <x:c r="T1799" s="1"/>
      <x:c r="U1799" s="1"/>
      <x:c r="V1799" s="1"/>
    </x:row>
    <x:row r="1800">
      <x:c r="A1800" s="1"/>
      <x:c r="B1800" s="1"/>
      <x:c r="C1800" s="1"/>
      <x:c r="D1800" s="1"/>
      <x:c r="E1800" s="1"/>
      <x:c r="F1800" s="1"/>
      <x:c r="G1800" s="1"/>
      <x:c r="H1800" s="1"/>
      <x:c r="I1800" s="1"/>
      <x:c r="J1800" s="1"/>
      <x:c r="K1800" s="1"/>
      <x:c r="L1800" s="1"/>
      <x:c r="M1800" s="1"/>
      <x:c r="N1800" s="1"/>
      <x:c r="O1800" s="1"/>
      <x:c r="P1800" s="1"/>
      <x:c r="Q1800" s="1"/>
      <x:c r="R1800" s="1"/>
      <x:c r="S1800" s="1"/>
      <x:c r="T1800" s="1"/>
      <x:c r="U1800" s="1"/>
      <x:c r="V1800" s="1"/>
    </x:row>
    <x:row r="1801">
      <x:c r="A1801" s="1"/>
      <x:c r="B1801" s="1"/>
      <x:c r="C1801" s="1"/>
      <x:c r="D1801" s="1"/>
      <x:c r="E1801" s="1"/>
      <x:c r="F1801" s="1"/>
      <x:c r="G1801" s="1"/>
      <x:c r="H1801" s="1"/>
      <x:c r="I1801" s="1"/>
      <x:c r="J1801" s="1"/>
      <x:c r="K1801" s="1"/>
      <x:c r="L1801" s="1"/>
      <x:c r="M1801" s="1"/>
      <x:c r="N1801" s="1"/>
      <x:c r="O1801" s="1"/>
      <x:c r="P1801" s="1"/>
      <x:c r="Q1801" s="1"/>
      <x:c r="R1801" s="1"/>
      <x:c r="S1801" s="1"/>
      <x:c r="T1801" s="1"/>
      <x:c r="U1801" s="1"/>
      <x:c r="V1801" s="1"/>
    </x:row>
    <x:row r="1802">
      <x:c r="A1802" s="1"/>
      <x:c r="B1802" s="1"/>
      <x:c r="C1802" s="1"/>
      <x:c r="D1802" s="1"/>
      <x:c r="E1802" s="1"/>
      <x:c r="F1802" s="1"/>
      <x:c r="G1802" s="1"/>
      <x:c r="H1802" s="1"/>
      <x:c r="I1802" s="1"/>
      <x:c r="J1802" s="1"/>
      <x:c r="K1802" s="1"/>
      <x:c r="L1802" s="1"/>
      <x:c r="M1802" s="1"/>
      <x:c r="N1802" s="1"/>
      <x:c r="O1802" s="1"/>
      <x:c r="P1802" s="1"/>
      <x:c r="Q1802" s="1"/>
      <x:c r="R1802" s="1"/>
      <x:c r="S1802" s="1"/>
      <x:c r="T1802" s="1"/>
      <x:c r="U1802" s="1"/>
      <x:c r="V1802" s="1"/>
    </x:row>
    <x:row r="1803">
      <x:c r="A1803" s="1"/>
      <x:c r="B1803" s="1"/>
      <x:c r="C1803" s="1"/>
      <x:c r="D1803" s="1"/>
      <x:c r="E1803" s="1"/>
      <x:c r="F1803" s="1"/>
      <x:c r="G1803" s="1"/>
      <x:c r="H1803" s="1"/>
      <x:c r="I1803" s="1"/>
      <x:c r="J1803" s="1"/>
      <x:c r="K1803" s="1"/>
      <x:c r="L1803" s="1"/>
      <x:c r="M1803" s="1"/>
      <x:c r="N1803" s="1"/>
      <x:c r="O1803" s="1"/>
      <x:c r="P1803" s="1"/>
      <x:c r="Q1803" s="1"/>
      <x:c r="R1803" s="1"/>
      <x:c r="S1803" s="1"/>
      <x:c r="T1803" s="1"/>
      <x:c r="U1803" s="1"/>
      <x:c r="V1803" s="1"/>
    </x:row>
    <x:row r="1804">
      <x:c r="A1804" s="1"/>
      <x:c r="B1804" s="1"/>
      <x:c r="C1804" s="1"/>
      <x:c r="D1804" s="1"/>
      <x:c r="E1804" s="1"/>
      <x:c r="F1804" s="1"/>
      <x:c r="G1804" s="1"/>
      <x:c r="H1804" s="1"/>
      <x:c r="I1804" s="1"/>
      <x:c r="J1804" s="1"/>
      <x:c r="K1804" s="1"/>
      <x:c r="L1804" s="1"/>
      <x:c r="M1804" s="1"/>
      <x:c r="N1804" s="1"/>
      <x:c r="O1804" s="1"/>
      <x:c r="P1804" s="1"/>
      <x:c r="Q1804" s="1"/>
      <x:c r="R1804" s="1"/>
      <x:c r="S1804" s="1"/>
      <x:c r="T1804" s="1"/>
      <x:c r="U1804" s="1"/>
      <x:c r="V1804" s="1"/>
    </x:row>
    <x:row r="1805">
      <x:c r="A1805" s="1"/>
      <x:c r="B1805" s="1"/>
      <x:c r="C1805" s="1"/>
      <x:c r="D1805" s="1"/>
      <x:c r="E1805" s="1"/>
      <x:c r="F1805" s="1"/>
      <x:c r="G1805" s="1"/>
      <x:c r="H1805" s="1"/>
      <x:c r="I1805" s="1"/>
      <x:c r="J1805" s="1"/>
      <x:c r="K1805" s="1"/>
      <x:c r="L1805" s="1"/>
      <x:c r="M1805" s="1"/>
      <x:c r="N1805" s="1"/>
      <x:c r="O1805" s="1"/>
      <x:c r="P1805" s="1"/>
      <x:c r="Q1805" s="1"/>
      <x:c r="R1805" s="1"/>
      <x:c r="S1805" s="1"/>
      <x:c r="T1805" s="1"/>
      <x:c r="U1805" s="1"/>
      <x:c r="V1805" s="1"/>
    </x:row>
    <x:row r="1806">
      <x:c r="A1806" s="1"/>
      <x:c r="B1806" s="1"/>
      <x:c r="C1806" s="1"/>
      <x:c r="D1806" s="1"/>
      <x:c r="E1806" s="1"/>
      <x:c r="F1806" s="1"/>
      <x:c r="G1806" s="1"/>
      <x:c r="H1806" s="1"/>
      <x:c r="I1806" s="1"/>
      <x:c r="J1806" s="1"/>
      <x:c r="K1806" s="1"/>
      <x:c r="L1806" s="1"/>
      <x:c r="M1806" s="1"/>
      <x:c r="N1806" s="1"/>
      <x:c r="O1806" s="1"/>
      <x:c r="P1806" s="1"/>
      <x:c r="Q1806" s="1"/>
      <x:c r="R1806" s="1"/>
      <x:c r="S1806" s="1"/>
      <x:c r="T1806" s="1"/>
      <x:c r="U1806" s="1"/>
      <x:c r="V1806" s="1"/>
    </x:row>
    <x:row r="1807">
      <x:c r="A1807" s="1"/>
      <x:c r="B1807" s="1"/>
      <x:c r="C1807" s="1"/>
      <x:c r="D1807" s="1"/>
      <x:c r="E1807" s="1"/>
      <x:c r="F1807" s="1"/>
      <x:c r="G1807" s="1"/>
      <x:c r="H1807" s="1"/>
      <x:c r="I1807" s="1"/>
      <x:c r="J1807" s="1"/>
      <x:c r="K1807" s="1"/>
      <x:c r="L1807" s="1"/>
      <x:c r="M1807" s="1"/>
      <x:c r="N1807" s="1"/>
      <x:c r="O1807" s="1"/>
      <x:c r="P1807" s="1"/>
      <x:c r="Q1807" s="1"/>
      <x:c r="R1807" s="1"/>
      <x:c r="S1807" s="1"/>
      <x:c r="T1807" s="1"/>
      <x:c r="U1807" s="1"/>
      <x:c r="V1807" s="1"/>
    </x:row>
    <x:row r="1808">
      <x:c r="A1808" s="1"/>
      <x:c r="B1808" s="1"/>
      <x:c r="C1808" s="1"/>
      <x:c r="D1808" s="1"/>
      <x:c r="E1808" s="1"/>
      <x:c r="F1808" s="1"/>
      <x:c r="G1808" s="1"/>
      <x:c r="H1808" s="1"/>
      <x:c r="I1808" s="1"/>
      <x:c r="J1808" s="1"/>
      <x:c r="K1808" s="1"/>
      <x:c r="L1808" s="1"/>
      <x:c r="M1808" s="1"/>
      <x:c r="N1808" s="1"/>
      <x:c r="O1808" s="1"/>
      <x:c r="P1808" s="1"/>
      <x:c r="Q1808" s="1"/>
      <x:c r="R1808" s="1"/>
      <x:c r="S1808" s="1"/>
      <x:c r="T1808" s="1"/>
      <x:c r="U1808" s="1"/>
      <x:c r="V1808" s="1"/>
    </x:row>
    <x:row r="1809">
      <x:c r="A1809" s="1"/>
      <x:c r="B1809" s="1"/>
      <x:c r="C1809" s="1"/>
      <x:c r="D1809" s="1"/>
      <x:c r="E1809" s="1"/>
      <x:c r="F1809" s="1"/>
      <x:c r="G1809" s="1"/>
      <x:c r="H1809" s="1"/>
      <x:c r="I1809" s="1"/>
      <x:c r="J1809" s="1"/>
      <x:c r="K1809" s="1"/>
      <x:c r="L1809" s="1"/>
      <x:c r="M1809" s="1"/>
      <x:c r="N1809" s="1"/>
      <x:c r="O1809" s="1"/>
      <x:c r="P1809" s="1"/>
      <x:c r="Q1809" s="1"/>
      <x:c r="R1809" s="1"/>
      <x:c r="S1809" s="1"/>
      <x:c r="T1809" s="1"/>
      <x:c r="U1809" s="1"/>
      <x:c r="V1809" s="1"/>
    </x:row>
    <x:row r="1810">
      <x:c r="A1810" s="1"/>
      <x:c r="B1810" s="1"/>
      <x:c r="C1810" s="1"/>
      <x:c r="D1810" s="1"/>
      <x:c r="E1810" s="1"/>
      <x:c r="F1810" s="1"/>
      <x:c r="G1810" s="1"/>
      <x:c r="H1810" s="1"/>
      <x:c r="I1810" s="1"/>
      <x:c r="J1810" s="1"/>
      <x:c r="K1810" s="1"/>
      <x:c r="L1810" s="1"/>
      <x:c r="M1810" s="1"/>
      <x:c r="N1810" s="1"/>
      <x:c r="O1810" s="1"/>
      <x:c r="P1810" s="1"/>
      <x:c r="Q1810" s="1"/>
      <x:c r="R1810" s="1"/>
      <x:c r="S1810" s="1"/>
      <x:c r="T1810" s="1"/>
      <x:c r="U1810" s="1"/>
      <x:c r="V1810" s="1"/>
    </x:row>
    <x:row r="1811">
      <x:c r="A1811" s="1"/>
      <x:c r="B1811" s="1"/>
      <x:c r="C1811" s="1"/>
      <x:c r="D1811" s="1"/>
      <x:c r="E1811" s="1"/>
      <x:c r="F1811" s="1"/>
      <x:c r="G1811" s="1"/>
      <x:c r="H1811" s="1"/>
      <x:c r="I1811" s="1"/>
      <x:c r="J1811" s="1"/>
      <x:c r="K1811" s="1"/>
      <x:c r="L1811" s="1"/>
      <x:c r="M1811" s="1"/>
      <x:c r="N1811" s="1"/>
      <x:c r="O1811" s="1"/>
      <x:c r="P1811" s="1"/>
      <x:c r="Q1811" s="1"/>
      <x:c r="R1811" s="1"/>
      <x:c r="S1811" s="1"/>
      <x:c r="T1811" s="1"/>
      <x:c r="U1811" s="1"/>
      <x:c r="V1811" s="1"/>
    </x:row>
    <x:row r="1812">
      <x:c r="A1812" s="1"/>
      <x:c r="B1812" s="1"/>
      <x:c r="C1812" s="1"/>
      <x:c r="D1812" s="1"/>
      <x:c r="E1812" s="1"/>
      <x:c r="F1812" s="1"/>
      <x:c r="G1812" s="1"/>
      <x:c r="H1812" s="1"/>
      <x:c r="I1812" s="1"/>
      <x:c r="J1812" s="1"/>
      <x:c r="K1812" s="1"/>
      <x:c r="L1812" s="1"/>
      <x:c r="M1812" s="1"/>
      <x:c r="N1812" s="1"/>
      <x:c r="O1812" s="1"/>
      <x:c r="P1812" s="1"/>
      <x:c r="Q1812" s="1"/>
      <x:c r="R1812" s="1"/>
      <x:c r="S1812" s="1"/>
      <x:c r="T1812" s="1"/>
      <x:c r="U1812" s="1"/>
      <x:c r="V1812" s="1"/>
    </x:row>
    <x:row r="1813">
      <x:c r="A1813" s="1"/>
      <x:c r="B1813" s="1"/>
      <x:c r="C1813" s="1"/>
      <x:c r="D1813" s="1"/>
      <x:c r="E1813" s="1"/>
      <x:c r="F1813" s="1"/>
      <x:c r="G1813" s="1"/>
      <x:c r="H1813" s="1"/>
      <x:c r="I1813" s="1"/>
      <x:c r="J1813" s="1"/>
      <x:c r="K1813" s="1"/>
      <x:c r="L1813" s="1"/>
      <x:c r="M1813" s="1"/>
      <x:c r="N1813" s="1"/>
      <x:c r="O1813" s="1"/>
      <x:c r="P1813" s="1"/>
      <x:c r="Q1813" s="1"/>
      <x:c r="R1813" s="1"/>
      <x:c r="S1813" s="1"/>
      <x:c r="T1813" s="1"/>
      <x:c r="U1813" s="1"/>
      <x:c r="V1813" s="1"/>
    </x:row>
    <x:row r="1814">
      <x:c r="A1814" s="1"/>
      <x:c r="B1814" s="1"/>
      <x:c r="C1814" s="1"/>
      <x:c r="D1814" s="1"/>
      <x:c r="E1814" s="1"/>
      <x:c r="F1814" s="1"/>
      <x:c r="G1814" s="1"/>
      <x:c r="H1814" s="1"/>
      <x:c r="I1814" s="1"/>
      <x:c r="J1814" s="1"/>
      <x:c r="K1814" s="1"/>
      <x:c r="L1814" s="1"/>
      <x:c r="M1814" s="1"/>
      <x:c r="N1814" s="1"/>
      <x:c r="O1814" s="1"/>
      <x:c r="P1814" s="1"/>
      <x:c r="Q1814" s="1"/>
      <x:c r="R1814" s="1"/>
      <x:c r="S1814" s="1"/>
      <x:c r="T1814" s="1"/>
      <x:c r="U1814" s="1"/>
      <x:c r="V1814" s="1"/>
    </x:row>
    <x:row r="1815">
      <x:c r="A1815" s="1"/>
      <x:c r="B1815" s="1"/>
      <x:c r="C1815" s="1"/>
      <x:c r="D1815" s="1"/>
      <x:c r="E1815" s="1"/>
      <x:c r="F1815" s="1"/>
      <x:c r="G1815" s="1"/>
      <x:c r="H1815" s="1"/>
      <x:c r="I1815" s="1"/>
      <x:c r="J1815" s="1"/>
      <x:c r="K1815" s="1"/>
      <x:c r="L1815" s="1"/>
      <x:c r="M1815" s="1"/>
      <x:c r="N1815" s="1"/>
      <x:c r="O1815" s="1"/>
      <x:c r="P1815" s="1"/>
      <x:c r="Q1815" s="1"/>
      <x:c r="R1815" s="1"/>
      <x:c r="S1815" s="1"/>
      <x:c r="T1815" s="1"/>
      <x:c r="U1815" s="1"/>
      <x:c r="V1815" s="1"/>
    </x:row>
    <x:row r="1816">
      <x:c r="A1816" s="1"/>
      <x:c r="B1816" s="1"/>
      <x:c r="C1816" s="1"/>
      <x:c r="D1816" s="1"/>
      <x:c r="E1816" s="1"/>
      <x:c r="F1816" s="1"/>
      <x:c r="G1816" s="1"/>
      <x:c r="H1816" s="1"/>
      <x:c r="I1816" s="1"/>
      <x:c r="J1816" s="1"/>
      <x:c r="K1816" s="1"/>
      <x:c r="L1816" s="1"/>
      <x:c r="M1816" s="1"/>
      <x:c r="N1816" s="1"/>
      <x:c r="O1816" s="1"/>
      <x:c r="P1816" s="1"/>
      <x:c r="Q1816" s="1"/>
      <x:c r="R1816" s="1"/>
      <x:c r="S1816" s="1"/>
      <x:c r="T1816" s="1"/>
      <x:c r="U1816" s="1"/>
      <x:c r="V1816" s="1"/>
    </x:row>
    <x:row r="1817">
      <x:c r="A1817" s="1"/>
      <x:c r="B1817" s="1"/>
      <x:c r="C1817" s="1"/>
      <x:c r="D1817" s="1"/>
      <x:c r="E1817" s="1"/>
      <x:c r="F1817" s="1"/>
      <x:c r="G1817" s="1"/>
      <x:c r="H1817" s="1"/>
      <x:c r="I1817" s="1"/>
      <x:c r="J1817" s="1"/>
      <x:c r="K1817" s="1"/>
      <x:c r="L1817" s="1"/>
      <x:c r="M1817" s="1"/>
      <x:c r="N1817" s="1"/>
      <x:c r="O1817" s="1"/>
      <x:c r="P1817" s="1"/>
      <x:c r="Q1817" s="1"/>
      <x:c r="R1817" s="1"/>
      <x:c r="S1817" s="1"/>
      <x:c r="T1817" s="1"/>
      <x:c r="U1817" s="1"/>
      <x:c r="V1817" s="1"/>
    </x:row>
    <x:row r="1818">
      <x:c r="A1818" s="1"/>
      <x:c r="B1818" s="1"/>
      <x:c r="C1818" s="1"/>
      <x:c r="D1818" s="1"/>
      <x:c r="E1818" s="1"/>
      <x:c r="F1818" s="1"/>
      <x:c r="G1818" s="1"/>
      <x:c r="H1818" s="1"/>
      <x:c r="I1818" s="1"/>
      <x:c r="J1818" s="1"/>
      <x:c r="K1818" s="1"/>
      <x:c r="L1818" s="1"/>
      <x:c r="M1818" s="1"/>
      <x:c r="N1818" s="1"/>
      <x:c r="O1818" s="1"/>
      <x:c r="P1818" s="1"/>
      <x:c r="Q1818" s="1"/>
      <x:c r="R1818" s="1"/>
      <x:c r="S1818" s="1"/>
      <x:c r="T1818" s="1"/>
      <x:c r="U1818" s="1"/>
      <x:c r="V1818" s="1"/>
    </x:row>
    <x:row r="1819">
      <x:c r="A1819" s="1"/>
      <x:c r="B1819" s="1"/>
      <x:c r="C1819" s="1"/>
      <x:c r="D1819" s="1"/>
      <x:c r="E1819" s="1"/>
      <x:c r="F1819" s="1"/>
      <x:c r="G1819" s="1"/>
      <x:c r="H1819" s="1"/>
      <x:c r="I1819" s="1"/>
      <x:c r="J1819" s="1"/>
      <x:c r="K1819" s="1"/>
      <x:c r="L1819" s="1"/>
      <x:c r="M1819" s="1"/>
      <x:c r="N1819" s="1"/>
      <x:c r="O1819" s="1"/>
      <x:c r="P1819" s="1"/>
      <x:c r="Q1819" s="1"/>
      <x:c r="R1819" s="1"/>
      <x:c r="S1819" s="1"/>
      <x:c r="T1819" s="1"/>
      <x:c r="U1819" s="1"/>
      <x:c r="V1819" s="1"/>
    </x:row>
    <x:row r="1820">
      <x:c r="A1820" s="1"/>
      <x:c r="B1820" s="1"/>
      <x:c r="C1820" s="1"/>
      <x:c r="D1820" s="1"/>
      <x:c r="E1820" s="1"/>
      <x:c r="F1820" s="1"/>
      <x:c r="G1820" s="1"/>
      <x:c r="H1820" s="1"/>
      <x:c r="I1820" s="1"/>
      <x:c r="J1820" s="1"/>
      <x:c r="K1820" s="1"/>
      <x:c r="L1820" s="1"/>
      <x:c r="M1820" s="1"/>
      <x:c r="N1820" s="1"/>
      <x:c r="O1820" s="1"/>
      <x:c r="P1820" s="1"/>
      <x:c r="Q1820" s="1"/>
      <x:c r="R1820" s="1"/>
      <x:c r="S1820" s="1"/>
      <x:c r="T1820" s="1"/>
      <x:c r="U1820" s="1"/>
      <x:c r="V1820" s="1"/>
    </x:row>
    <x:row r="1821">
      <x:c r="A1821" s="1"/>
      <x:c r="B1821" s="1"/>
      <x:c r="C1821" s="1"/>
      <x:c r="D1821" s="1"/>
      <x:c r="E1821" s="1"/>
      <x:c r="F1821" s="1"/>
      <x:c r="G1821" s="1"/>
      <x:c r="H1821" s="1"/>
      <x:c r="I1821" s="1"/>
      <x:c r="J1821" s="1"/>
      <x:c r="K1821" s="1"/>
      <x:c r="L1821" s="1"/>
      <x:c r="M1821" s="1"/>
      <x:c r="N1821" s="1"/>
      <x:c r="O1821" s="1"/>
      <x:c r="P1821" s="1"/>
      <x:c r="Q1821" s="1"/>
      <x:c r="R1821" s="1"/>
      <x:c r="S1821" s="1"/>
      <x:c r="T1821" s="1"/>
      <x:c r="U1821" s="1"/>
      <x:c r="V1821" s="1"/>
    </x:row>
    <x:row r="1822">
      <x:c r="A1822" s="1"/>
      <x:c r="B1822" s="1"/>
      <x:c r="C1822" s="1"/>
      <x:c r="D1822" s="1"/>
      <x:c r="E1822" s="1"/>
      <x:c r="F1822" s="1"/>
      <x:c r="G1822" s="1"/>
      <x:c r="H1822" s="1"/>
      <x:c r="I1822" s="1"/>
      <x:c r="J1822" s="1"/>
      <x:c r="K1822" s="1"/>
      <x:c r="L1822" s="1"/>
      <x:c r="M1822" s="1"/>
      <x:c r="N1822" s="1"/>
      <x:c r="O1822" s="1"/>
      <x:c r="P1822" s="1"/>
      <x:c r="Q1822" s="1"/>
      <x:c r="R1822" s="1"/>
      <x:c r="S1822" s="1"/>
      <x:c r="T1822" s="1"/>
      <x:c r="U1822" s="1"/>
      <x:c r="V1822" s="1"/>
    </x:row>
    <x:row r="1823">
      <x:c r="A1823" s="1"/>
      <x:c r="B1823" s="1"/>
      <x:c r="C1823" s="1"/>
      <x:c r="D1823" s="1"/>
      <x:c r="E1823" s="1"/>
      <x:c r="F1823" s="1"/>
      <x:c r="G1823" s="1"/>
      <x:c r="H1823" s="1"/>
      <x:c r="I1823" s="1"/>
      <x:c r="J1823" s="1"/>
      <x:c r="K1823" s="1"/>
      <x:c r="L1823" s="1"/>
      <x:c r="M1823" s="1"/>
      <x:c r="N1823" s="1"/>
      <x:c r="O1823" s="1"/>
      <x:c r="P1823" s="1"/>
      <x:c r="Q1823" s="1"/>
      <x:c r="R1823" s="1"/>
      <x:c r="S1823" s="1"/>
      <x:c r="T1823" s="1"/>
      <x:c r="U1823" s="1"/>
      <x:c r="V1823" s="1"/>
    </x:row>
    <x:row r="1824">
      <x:c r="A1824" s="1"/>
      <x:c r="B1824" s="1"/>
      <x:c r="C1824" s="1"/>
      <x:c r="D1824" s="1"/>
      <x:c r="E1824" s="1"/>
      <x:c r="F1824" s="1"/>
      <x:c r="G1824" s="1"/>
      <x:c r="H1824" s="1"/>
      <x:c r="I1824" s="1"/>
      <x:c r="J1824" s="1"/>
      <x:c r="K1824" s="1"/>
      <x:c r="L1824" s="1"/>
      <x:c r="M1824" s="1"/>
      <x:c r="N1824" s="1"/>
      <x:c r="O1824" s="1"/>
      <x:c r="P1824" s="1"/>
      <x:c r="Q1824" s="1"/>
      <x:c r="R1824" s="1"/>
      <x:c r="S1824" s="1"/>
      <x:c r="T1824" s="1"/>
      <x:c r="U1824" s="1"/>
      <x:c r="V1824" s="1"/>
    </x:row>
    <x:row r="1825">
      <x:c r="A1825" s="1"/>
      <x:c r="B1825" s="1"/>
      <x:c r="C1825" s="1"/>
      <x:c r="D1825" s="1"/>
      <x:c r="E1825" s="1"/>
      <x:c r="F1825" s="1"/>
      <x:c r="G1825" s="1"/>
      <x:c r="H1825" s="1"/>
      <x:c r="I1825" s="1"/>
      <x:c r="J1825" s="1"/>
      <x:c r="K1825" s="1"/>
      <x:c r="L1825" s="1"/>
      <x:c r="M1825" s="1"/>
      <x:c r="N1825" s="1"/>
      <x:c r="O1825" s="1"/>
      <x:c r="P1825" s="1"/>
      <x:c r="Q1825" s="1"/>
      <x:c r="R1825" s="1"/>
      <x:c r="S1825" s="1"/>
      <x:c r="T1825" s="1"/>
      <x:c r="U1825" s="1"/>
      <x:c r="V1825" s="1"/>
    </x:row>
    <x:row r="1826">
      <x:c r="A1826" s="1"/>
      <x:c r="B1826" s="1"/>
      <x:c r="C1826" s="1"/>
      <x:c r="D1826" s="1"/>
      <x:c r="E1826" s="1"/>
      <x:c r="F1826" s="1"/>
      <x:c r="G1826" s="1"/>
      <x:c r="H1826" s="1"/>
      <x:c r="I1826" s="1"/>
      <x:c r="J1826" s="1"/>
      <x:c r="K1826" s="1"/>
      <x:c r="L1826" s="1"/>
      <x:c r="M1826" s="1"/>
      <x:c r="N1826" s="1"/>
      <x:c r="O1826" s="1"/>
      <x:c r="P1826" s="1"/>
      <x:c r="Q1826" s="1"/>
      <x:c r="R1826" s="1"/>
      <x:c r="S1826" s="1"/>
      <x:c r="T1826" s="1"/>
      <x:c r="U1826" s="1"/>
      <x:c r="V1826" s="1"/>
    </x:row>
    <x:row r="1827">
      <x:c r="A1827" s="1"/>
      <x:c r="B1827" s="1"/>
      <x:c r="C1827" s="1"/>
      <x:c r="D1827" s="1"/>
      <x:c r="E1827" s="1"/>
      <x:c r="F1827" s="1"/>
      <x:c r="G1827" s="1"/>
      <x:c r="H1827" s="1"/>
      <x:c r="I1827" s="1"/>
      <x:c r="J1827" s="1"/>
      <x:c r="K1827" s="1"/>
      <x:c r="L1827" s="1"/>
      <x:c r="M1827" s="1"/>
      <x:c r="N1827" s="1"/>
      <x:c r="O1827" s="1"/>
      <x:c r="P1827" s="1"/>
      <x:c r="Q1827" s="1"/>
      <x:c r="R1827" s="1"/>
      <x:c r="S1827" s="1"/>
      <x:c r="T1827" s="1"/>
      <x:c r="U1827" s="1"/>
      <x:c r="V1827" s="1"/>
    </x:row>
    <x:row r="1828">
      <x:c r="A1828" s="1"/>
      <x:c r="B1828" s="1"/>
      <x:c r="C1828" s="1"/>
      <x:c r="D1828" s="1"/>
      <x:c r="E1828" s="1"/>
      <x:c r="F1828" s="1"/>
      <x:c r="G1828" s="1"/>
      <x:c r="H1828" s="1"/>
      <x:c r="I1828" s="1"/>
      <x:c r="J1828" s="1"/>
      <x:c r="K1828" s="1"/>
      <x:c r="L1828" s="1"/>
      <x:c r="M1828" s="1"/>
      <x:c r="N1828" s="1"/>
      <x:c r="O1828" s="1"/>
      <x:c r="P1828" s="1"/>
      <x:c r="Q1828" s="1"/>
      <x:c r="R1828" s="1"/>
      <x:c r="S1828" s="1"/>
      <x:c r="T1828" s="1"/>
      <x:c r="U1828" s="1"/>
      <x:c r="V1828" s="1"/>
    </x:row>
    <x:row r="1829">
      <x:c r="A1829" s="1"/>
      <x:c r="B1829" s="1"/>
      <x:c r="C1829" s="1"/>
      <x:c r="D1829" s="1"/>
      <x:c r="E1829" s="1"/>
      <x:c r="F1829" s="1"/>
      <x:c r="G1829" s="1"/>
      <x:c r="H1829" s="1"/>
      <x:c r="I1829" s="1"/>
      <x:c r="J1829" s="1"/>
      <x:c r="K1829" s="1"/>
      <x:c r="L1829" s="1"/>
      <x:c r="M1829" s="1"/>
      <x:c r="N1829" s="1"/>
      <x:c r="O1829" s="1"/>
      <x:c r="P1829" s="1"/>
      <x:c r="Q1829" s="1"/>
      <x:c r="R1829" s="1"/>
      <x:c r="S1829" s="1"/>
      <x:c r="T1829" s="1"/>
      <x:c r="U1829" s="1"/>
      <x:c r="V1829" s="1"/>
    </x:row>
    <x:row r="1830">
      <x:c r="A1830" s="1"/>
      <x:c r="B1830" s="1"/>
      <x:c r="C1830" s="1"/>
      <x:c r="D1830" s="1"/>
      <x:c r="E1830" s="1"/>
      <x:c r="F1830" s="1"/>
      <x:c r="G1830" s="1"/>
      <x:c r="H1830" s="1"/>
      <x:c r="I1830" s="1"/>
      <x:c r="J1830" s="1"/>
      <x:c r="K1830" s="1"/>
      <x:c r="L1830" s="1"/>
      <x:c r="M1830" s="1"/>
      <x:c r="N1830" s="1"/>
      <x:c r="O1830" s="1"/>
      <x:c r="P1830" s="1"/>
      <x:c r="Q1830" s="1"/>
      <x:c r="R1830" s="1"/>
      <x:c r="S1830" s="1"/>
      <x:c r="T1830" s="1"/>
      <x:c r="U1830" s="1"/>
      <x:c r="V1830" s="1"/>
    </x:row>
    <x:row r="1831">
      <x:c r="A1831" s="1"/>
      <x:c r="B1831" s="1"/>
      <x:c r="C1831" s="1"/>
      <x:c r="D1831" s="1"/>
      <x:c r="E1831" s="1"/>
      <x:c r="F1831" s="1"/>
      <x:c r="G1831" s="1"/>
      <x:c r="H1831" s="1"/>
      <x:c r="I1831" s="1"/>
      <x:c r="J1831" s="1"/>
      <x:c r="K1831" s="1"/>
      <x:c r="L1831" s="1"/>
      <x:c r="M1831" s="1"/>
      <x:c r="N1831" s="1"/>
      <x:c r="O1831" s="1"/>
      <x:c r="P1831" s="1"/>
      <x:c r="Q1831" s="1"/>
      <x:c r="R1831" s="1"/>
      <x:c r="S1831" s="1"/>
      <x:c r="T1831" s="1"/>
      <x:c r="U1831" s="1"/>
      <x:c r="V1831" s="1"/>
    </x:row>
    <x:row r="1832">
      <x:c r="A1832" s="1"/>
      <x:c r="B1832" s="1"/>
      <x:c r="C1832" s="1"/>
      <x:c r="D1832" s="1"/>
      <x:c r="E1832" s="1"/>
      <x:c r="F1832" s="1"/>
      <x:c r="G1832" s="1"/>
      <x:c r="H1832" s="1"/>
      <x:c r="I1832" s="1"/>
      <x:c r="J1832" s="1"/>
      <x:c r="K1832" s="1"/>
      <x:c r="L1832" s="1"/>
      <x:c r="M1832" s="1"/>
      <x:c r="N1832" s="1"/>
      <x:c r="O1832" s="1"/>
      <x:c r="P1832" s="1"/>
      <x:c r="Q1832" s="1"/>
      <x:c r="R1832" s="1"/>
      <x:c r="S1832" s="1"/>
      <x:c r="T1832" s="1"/>
      <x:c r="U1832" s="1"/>
      <x:c r="V1832" s="1"/>
    </x:row>
    <x:row r="1833">
      <x:c r="A1833" s="1"/>
      <x:c r="B1833" s="1"/>
      <x:c r="C1833" s="1"/>
      <x:c r="D1833" s="1"/>
      <x:c r="E1833" s="1"/>
      <x:c r="F1833" s="1"/>
      <x:c r="G1833" s="1"/>
      <x:c r="H1833" s="1"/>
      <x:c r="I1833" s="1"/>
      <x:c r="J1833" s="1"/>
      <x:c r="K1833" s="1"/>
      <x:c r="L1833" s="1"/>
      <x:c r="M1833" s="1"/>
      <x:c r="N1833" s="1"/>
      <x:c r="O1833" s="1"/>
      <x:c r="P1833" s="1"/>
      <x:c r="Q1833" s="1"/>
      <x:c r="R1833" s="1"/>
      <x:c r="S1833" s="1"/>
      <x:c r="T1833" s="1"/>
      <x:c r="U1833" s="1"/>
      <x:c r="V1833" s="1"/>
    </x:row>
    <x:row r="1834">
      <x:c r="A1834" s="1"/>
      <x:c r="B1834" s="1"/>
      <x:c r="C1834" s="1"/>
      <x:c r="D1834" s="1"/>
      <x:c r="E1834" s="1"/>
      <x:c r="F1834" s="1"/>
      <x:c r="G1834" s="1"/>
      <x:c r="H1834" s="1"/>
      <x:c r="I1834" s="1"/>
      <x:c r="J1834" s="1"/>
      <x:c r="K1834" s="1"/>
      <x:c r="L1834" s="1"/>
      <x:c r="M1834" s="1"/>
      <x:c r="N1834" s="1"/>
      <x:c r="O1834" s="1"/>
      <x:c r="P1834" s="1"/>
      <x:c r="Q1834" s="1"/>
      <x:c r="R1834" s="1"/>
      <x:c r="S1834" s="1"/>
      <x:c r="T1834" s="1"/>
      <x:c r="U1834" s="1"/>
      <x:c r="V1834" s="1"/>
    </x:row>
    <x:row r="1835">
      <x:c r="A1835" s="1"/>
      <x:c r="B1835" s="1"/>
      <x:c r="C1835" s="1"/>
      <x:c r="D1835" s="1"/>
      <x:c r="E1835" s="1"/>
      <x:c r="F1835" s="1"/>
      <x:c r="G1835" s="1"/>
      <x:c r="H1835" s="1"/>
      <x:c r="I1835" s="1"/>
      <x:c r="J1835" s="1"/>
      <x:c r="K1835" s="1"/>
      <x:c r="L1835" s="1"/>
      <x:c r="M1835" s="1"/>
      <x:c r="N1835" s="1"/>
      <x:c r="O1835" s="1"/>
      <x:c r="P1835" s="1"/>
      <x:c r="Q1835" s="1"/>
      <x:c r="R1835" s="1"/>
      <x:c r="S1835" s="1"/>
      <x:c r="T1835" s="1"/>
      <x:c r="U1835" s="1"/>
      <x:c r="V1835" s="1"/>
    </x:row>
    <x:row r="1836">
      <x:c r="A1836" s="1"/>
      <x:c r="B1836" s="1"/>
      <x:c r="C1836" s="1"/>
      <x:c r="D1836" s="1"/>
      <x:c r="E1836" s="1"/>
      <x:c r="F1836" s="1"/>
      <x:c r="G1836" s="1"/>
      <x:c r="H1836" s="1"/>
      <x:c r="I1836" s="1"/>
      <x:c r="J1836" s="1"/>
      <x:c r="K1836" s="1"/>
      <x:c r="L1836" s="1"/>
      <x:c r="M1836" s="1"/>
      <x:c r="N1836" s="1"/>
      <x:c r="O1836" s="1"/>
      <x:c r="P1836" s="1"/>
      <x:c r="Q1836" s="1"/>
      <x:c r="R1836" s="1"/>
      <x:c r="S1836" s="1"/>
      <x:c r="T1836" s="1"/>
      <x:c r="U1836" s="1"/>
      <x:c r="V1836" s="1"/>
    </x:row>
    <x:row r="1837">
      <x:c r="A1837" s="1"/>
      <x:c r="B1837" s="1"/>
      <x:c r="C1837" s="1"/>
      <x:c r="D1837" s="1"/>
      <x:c r="E1837" s="1"/>
      <x:c r="F1837" s="1"/>
      <x:c r="G1837" s="1"/>
      <x:c r="H1837" s="1"/>
      <x:c r="I1837" s="1"/>
      <x:c r="J1837" s="1"/>
      <x:c r="K1837" s="1"/>
      <x:c r="L1837" s="1"/>
      <x:c r="M1837" s="1"/>
      <x:c r="N1837" s="1"/>
      <x:c r="O1837" s="1"/>
      <x:c r="P1837" s="1"/>
      <x:c r="Q1837" s="1"/>
      <x:c r="R1837" s="1"/>
      <x:c r="S1837" s="1"/>
      <x:c r="T1837" s="1"/>
      <x:c r="U1837" s="1"/>
      <x:c r="V1837" s="1"/>
    </x:row>
    <x:row r="1838">
      <x:c r="A1838" s="1"/>
      <x:c r="B1838" s="1"/>
      <x:c r="C1838" s="1"/>
      <x:c r="D1838" s="1"/>
      <x:c r="E1838" s="1"/>
      <x:c r="F1838" s="1"/>
      <x:c r="G1838" s="1"/>
      <x:c r="H1838" s="1"/>
      <x:c r="I1838" s="1"/>
      <x:c r="J1838" s="1"/>
      <x:c r="K1838" s="1"/>
      <x:c r="L1838" s="1"/>
      <x:c r="M1838" s="1"/>
      <x:c r="N1838" s="1"/>
      <x:c r="O1838" s="1"/>
      <x:c r="P1838" s="1"/>
      <x:c r="Q1838" s="1"/>
      <x:c r="R1838" s="1"/>
      <x:c r="S1838" s="1"/>
      <x:c r="T1838" s="1"/>
      <x:c r="U1838" s="1"/>
      <x:c r="V1838" s="1"/>
    </x:row>
    <x:row r="1839">
      <x:c r="A1839" s="1"/>
      <x:c r="B1839" s="1"/>
      <x:c r="C1839" s="1"/>
      <x:c r="D1839" s="1"/>
      <x:c r="E1839" s="1"/>
      <x:c r="F1839" s="1"/>
      <x:c r="G1839" s="1"/>
      <x:c r="H1839" s="1"/>
      <x:c r="I1839" s="1"/>
      <x:c r="J1839" s="1"/>
      <x:c r="K1839" s="1"/>
      <x:c r="L1839" s="1"/>
      <x:c r="M1839" s="1"/>
      <x:c r="N1839" s="1"/>
      <x:c r="O1839" s="1"/>
      <x:c r="P1839" s="1"/>
      <x:c r="Q1839" s="1"/>
      <x:c r="R1839" s="1"/>
      <x:c r="S1839" s="1"/>
      <x:c r="T1839" s="1"/>
      <x:c r="U1839" s="1"/>
      <x:c r="V1839" s="1"/>
    </x:row>
    <x:row r="1840">
      <x:c r="A1840" s="1"/>
      <x:c r="B1840" s="1"/>
      <x:c r="C1840" s="1"/>
      <x:c r="D1840" s="1"/>
      <x:c r="E1840" s="1"/>
      <x:c r="F1840" s="1"/>
      <x:c r="G1840" s="1"/>
      <x:c r="H1840" s="1"/>
      <x:c r="I1840" s="1"/>
      <x:c r="J1840" s="1"/>
      <x:c r="K1840" s="1"/>
      <x:c r="L1840" s="1"/>
      <x:c r="M1840" s="1"/>
      <x:c r="N1840" s="1"/>
      <x:c r="O1840" s="1"/>
      <x:c r="P1840" s="1"/>
      <x:c r="Q1840" s="1"/>
      <x:c r="R1840" s="1"/>
      <x:c r="S1840" s="1"/>
      <x:c r="T1840" s="1"/>
      <x:c r="U1840" s="1"/>
      <x:c r="V1840" s="1"/>
    </x:row>
    <x:row r="1841">
      <x:c r="A1841" s="1"/>
      <x:c r="B1841" s="1"/>
      <x:c r="C1841" s="1"/>
      <x:c r="D1841" s="1"/>
      <x:c r="E1841" s="1"/>
      <x:c r="F1841" s="1"/>
      <x:c r="G1841" s="1"/>
      <x:c r="H1841" s="1"/>
      <x:c r="I1841" s="1"/>
      <x:c r="J1841" s="1"/>
      <x:c r="K1841" s="1"/>
      <x:c r="L1841" s="1"/>
      <x:c r="M1841" s="1"/>
      <x:c r="N1841" s="1"/>
      <x:c r="O1841" s="1"/>
      <x:c r="P1841" s="1"/>
      <x:c r="Q1841" s="1"/>
      <x:c r="R1841" s="1"/>
      <x:c r="S1841" s="1"/>
      <x:c r="T1841" s="1"/>
      <x:c r="U1841" s="1"/>
      <x:c r="V1841" s="1"/>
    </x:row>
    <x:row r="1842">
      <x:c r="A1842" s="1"/>
      <x:c r="B1842" s="1"/>
      <x:c r="C1842" s="1"/>
      <x:c r="D1842" s="1"/>
      <x:c r="E1842" s="1"/>
      <x:c r="F1842" s="1"/>
      <x:c r="G1842" s="1"/>
      <x:c r="H1842" s="1"/>
      <x:c r="I1842" s="1"/>
      <x:c r="J1842" s="1"/>
      <x:c r="K1842" s="1"/>
      <x:c r="L1842" s="1"/>
      <x:c r="M1842" s="1"/>
      <x:c r="N1842" s="1"/>
      <x:c r="O1842" s="1"/>
      <x:c r="P1842" s="1"/>
      <x:c r="Q1842" s="1"/>
      <x:c r="R1842" s="1"/>
      <x:c r="S1842" s="1"/>
      <x:c r="T1842" s="1"/>
      <x:c r="U1842" s="1"/>
      <x:c r="V1842" s="1"/>
    </x:row>
    <x:row r="1843">
      <x:c r="A1843" s="1"/>
      <x:c r="B1843" s="1"/>
      <x:c r="C1843" s="1"/>
      <x:c r="D1843" s="1"/>
      <x:c r="E1843" s="1"/>
      <x:c r="F1843" s="1"/>
      <x:c r="G1843" s="1"/>
      <x:c r="H1843" s="1"/>
      <x:c r="I1843" s="1"/>
      <x:c r="J1843" s="1"/>
      <x:c r="K1843" s="1"/>
      <x:c r="L1843" s="1"/>
      <x:c r="M1843" s="1"/>
      <x:c r="N1843" s="1"/>
      <x:c r="O1843" s="1"/>
      <x:c r="P1843" s="1"/>
      <x:c r="Q1843" s="1"/>
      <x:c r="R1843" s="1"/>
      <x:c r="S1843" s="1"/>
      <x:c r="T1843" s="1"/>
      <x:c r="U1843" s="1"/>
      <x:c r="V1843" s="1"/>
    </x:row>
    <x:row r="1844">
      <x:c r="A1844" s="1"/>
      <x:c r="B1844" s="1"/>
      <x:c r="C1844" s="1"/>
      <x:c r="D1844" s="1"/>
      <x:c r="E1844" s="1"/>
      <x:c r="F1844" s="1"/>
      <x:c r="G1844" s="1"/>
      <x:c r="H1844" s="1"/>
      <x:c r="I1844" s="1"/>
      <x:c r="J1844" s="1"/>
      <x:c r="K1844" s="1"/>
      <x:c r="L1844" s="1"/>
      <x:c r="M1844" s="1"/>
      <x:c r="N1844" s="1"/>
      <x:c r="O1844" s="1"/>
      <x:c r="P1844" s="1"/>
      <x:c r="Q1844" s="1"/>
      <x:c r="R1844" s="1"/>
      <x:c r="S1844" s="1"/>
      <x:c r="T1844" s="1"/>
      <x:c r="U1844" s="1"/>
      <x:c r="V1844" s="1"/>
    </x:row>
    <x:row r="1845">
      <x:c r="A1845" s="1"/>
      <x:c r="B1845" s="1"/>
      <x:c r="C1845" s="1"/>
      <x:c r="D1845" s="1"/>
      <x:c r="E1845" s="1"/>
      <x:c r="F1845" s="1"/>
      <x:c r="G1845" s="1"/>
      <x:c r="H1845" s="1"/>
      <x:c r="I1845" s="1"/>
      <x:c r="J1845" s="1"/>
      <x:c r="K1845" s="1"/>
      <x:c r="L1845" s="1"/>
      <x:c r="M1845" s="1"/>
      <x:c r="N1845" s="1"/>
      <x:c r="O1845" s="1"/>
      <x:c r="P1845" s="1"/>
      <x:c r="Q1845" s="1"/>
      <x:c r="R1845" s="1"/>
      <x:c r="S1845" s="1"/>
      <x:c r="T1845" s="1"/>
      <x:c r="U1845" s="1"/>
      <x:c r="V1845" s="1"/>
    </x:row>
    <x:row r="1846">
      <x:c r="A1846" s="1"/>
      <x:c r="B1846" s="1"/>
      <x:c r="C1846" s="1"/>
      <x:c r="D1846" s="1"/>
      <x:c r="E1846" s="1"/>
      <x:c r="F1846" s="1"/>
      <x:c r="G1846" s="1"/>
      <x:c r="H1846" s="1"/>
      <x:c r="I1846" s="1"/>
      <x:c r="J1846" s="1"/>
      <x:c r="K1846" s="1"/>
      <x:c r="L1846" s="1"/>
      <x:c r="M1846" s="1"/>
      <x:c r="N1846" s="1"/>
      <x:c r="O1846" s="1"/>
      <x:c r="P1846" s="1"/>
      <x:c r="Q1846" s="1"/>
      <x:c r="R1846" s="1"/>
      <x:c r="S1846" s="1"/>
      <x:c r="T1846" s="1"/>
      <x:c r="U1846" s="1"/>
      <x:c r="V1846" s="1"/>
    </x:row>
    <x:row r="1847">
      <x:c r="A1847" s="1"/>
      <x:c r="B1847" s="1"/>
      <x:c r="C1847" s="1"/>
      <x:c r="D1847" s="1"/>
      <x:c r="E1847" s="1"/>
      <x:c r="F1847" s="1"/>
      <x:c r="G1847" s="1"/>
      <x:c r="H1847" s="1"/>
      <x:c r="I1847" s="1"/>
      <x:c r="J1847" s="1"/>
      <x:c r="K1847" s="1"/>
      <x:c r="L1847" s="1"/>
      <x:c r="M1847" s="1"/>
      <x:c r="N1847" s="1"/>
      <x:c r="O1847" s="1"/>
      <x:c r="P1847" s="1"/>
      <x:c r="Q1847" s="1"/>
      <x:c r="R1847" s="1"/>
      <x:c r="S1847" s="1"/>
      <x:c r="T1847" s="1"/>
      <x:c r="U1847" s="1"/>
      <x:c r="V1847" s="1"/>
    </x:row>
    <x:row r="1848">
      <x:c r="A1848" s="1"/>
      <x:c r="B1848" s="1"/>
      <x:c r="C1848" s="1"/>
      <x:c r="D1848" s="1"/>
      <x:c r="E1848" s="1"/>
      <x:c r="F1848" s="1"/>
      <x:c r="G1848" s="1"/>
      <x:c r="H1848" s="1"/>
      <x:c r="I1848" s="1"/>
      <x:c r="J1848" s="1"/>
      <x:c r="K1848" s="1"/>
      <x:c r="L1848" s="1"/>
      <x:c r="M1848" s="1"/>
      <x:c r="N1848" s="1"/>
      <x:c r="O1848" s="1"/>
      <x:c r="P1848" s="1"/>
      <x:c r="Q1848" s="1"/>
      <x:c r="R1848" s="1"/>
      <x:c r="S1848" s="1"/>
      <x:c r="T1848" s="1"/>
      <x:c r="U1848" s="1"/>
      <x:c r="V1848" s="1"/>
    </x:row>
    <x:row r="1849">
      <x:c r="A1849" s="1"/>
      <x:c r="B1849" s="1"/>
      <x:c r="C1849" s="1"/>
      <x:c r="D1849" s="1"/>
      <x:c r="E1849" s="1"/>
      <x:c r="F1849" s="1"/>
      <x:c r="G1849" s="1"/>
      <x:c r="H1849" s="1"/>
      <x:c r="I1849" s="1"/>
      <x:c r="J1849" s="1"/>
      <x:c r="K1849" s="1"/>
      <x:c r="L1849" s="1"/>
      <x:c r="M1849" s="1"/>
      <x:c r="N1849" s="1"/>
      <x:c r="O1849" s="1"/>
      <x:c r="P1849" s="1"/>
      <x:c r="Q1849" s="1"/>
      <x:c r="R1849" s="1"/>
      <x:c r="S1849" s="1"/>
      <x:c r="T1849" s="1"/>
      <x:c r="U1849" s="1"/>
      <x:c r="V1849" s="1"/>
    </x:row>
    <x:row r="1850">
      <x:c r="A1850" s="1"/>
      <x:c r="B1850" s="1"/>
      <x:c r="C1850" s="1"/>
      <x:c r="D1850" s="1"/>
      <x:c r="E1850" s="1"/>
      <x:c r="F1850" s="1"/>
      <x:c r="G1850" s="1"/>
      <x:c r="H1850" s="1"/>
      <x:c r="I1850" s="1"/>
      <x:c r="J1850" s="1"/>
      <x:c r="K1850" s="1"/>
      <x:c r="L1850" s="1"/>
      <x:c r="M1850" s="1"/>
      <x:c r="N1850" s="1"/>
      <x:c r="O1850" s="1"/>
      <x:c r="P1850" s="1"/>
      <x:c r="Q1850" s="1"/>
      <x:c r="R1850" s="1"/>
      <x:c r="S1850" s="1"/>
      <x:c r="T1850" s="1"/>
      <x:c r="U1850" s="1"/>
      <x:c r="V1850" s="1"/>
    </x:row>
    <x:row r="1851">
      <x:c r="A1851" s="1"/>
      <x:c r="B1851" s="1"/>
      <x:c r="C1851" s="1"/>
      <x:c r="D1851" s="1"/>
      <x:c r="E1851" s="1"/>
      <x:c r="F1851" s="1"/>
      <x:c r="G1851" s="1"/>
      <x:c r="H1851" s="1"/>
      <x:c r="I1851" s="1"/>
      <x:c r="J1851" s="1"/>
      <x:c r="K1851" s="1"/>
      <x:c r="L1851" s="1"/>
      <x:c r="M1851" s="1"/>
      <x:c r="N1851" s="1"/>
      <x:c r="O1851" s="1"/>
      <x:c r="P1851" s="1"/>
      <x:c r="Q1851" s="1"/>
      <x:c r="R1851" s="1"/>
      <x:c r="S1851" s="1"/>
      <x:c r="T1851" s="1"/>
      <x:c r="U1851" s="1"/>
      <x:c r="V1851" s="1"/>
    </x:row>
    <x:row r="1852">
      <x:c r="A1852" s="1"/>
      <x:c r="B1852" s="1"/>
      <x:c r="C1852" s="1"/>
      <x:c r="D1852" s="1"/>
      <x:c r="E1852" s="1"/>
      <x:c r="F1852" s="1"/>
      <x:c r="G1852" s="1"/>
      <x:c r="H1852" s="1"/>
      <x:c r="I1852" s="1"/>
      <x:c r="J1852" s="1"/>
      <x:c r="K1852" s="1"/>
      <x:c r="L1852" s="1"/>
      <x:c r="M1852" s="1"/>
      <x:c r="N1852" s="1"/>
      <x:c r="O1852" s="1"/>
      <x:c r="P1852" s="1"/>
      <x:c r="Q1852" s="1"/>
      <x:c r="R1852" s="1"/>
      <x:c r="S1852" s="1"/>
      <x:c r="T1852" s="1"/>
      <x:c r="U1852" s="1"/>
      <x:c r="V1852" s="1"/>
    </x:row>
    <x:row r="1853">
      <x:c r="A1853" s="1"/>
      <x:c r="B1853" s="1"/>
      <x:c r="C1853" s="1"/>
      <x:c r="D1853" s="1"/>
      <x:c r="E1853" s="1"/>
      <x:c r="F1853" s="1"/>
      <x:c r="G1853" s="1"/>
      <x:c r="H1853" s="1"/>
      <x:c r="I1853" s="1"/>
      <x:c r="J1853" s="1"/>
      <x:c r="K1853" s="1"/>
      <x:c r="L1853" s="1"/>
      <x:c r="M1853" s="1"/>
      <x:c r="N1853" s="1"/>
      <x:c r="O1853" s="1"/>
      <x:c r="P1853" s="1"/>
      <x:c r="Q1853" s="1"/>
      <x:c r="R1853" s="1"/>
      <x:c r="S1853" s="1"/>
      <x:c r="T1853" s="1"/>
      <x:c r="U1853" s="1"/>
      <x:c r="V1853" s="1"/>
    </x:row>
    <x:row r="1854">
      <x:c r="A1854" s="1"/>
      <x:c r="B1854" s="1"/>
      <x:c r="C1854" s="1"/>
      <x:c r="D1854" s="1"/>
      <x:c r="E1854" s="1"/>
      <x:c r="F1854" s="1"/>
      <x:c r="G1854" s="1"/>
      <x:c r="H1854" s="1"/>
      <x:c r="I1854" s="1"/>
      <x:c r="J1854" s="1"/>
      <x:c r="K1854" s="1"/>
      <x:c r="L1854" s="1"/>
      <x:c r="M1854" s="1"/>
      <x:c r="N1854" s="1"/>
      <x:c r="O1854" s="1"/>
      <x:c r="P1854" s="1"/>
      <x:c r="Q1854" s="1"/>
      <x:c r="R1854" s="1"/>
      <x:c r="S1854" s="1"/>
      <x:c r="T1854" s="1"/>
      <x:c r="U1854" s="1"/>
      <x:c r="V1854" s="1"/>
    </x:row>
    <x:row r="1855">
      <x:c r="A1855" s="1"/>
      <x:c r="B1855" s="1"/>
      <x:c r="C1855" s="1"/>
      <x:c r="D1855" s="1"/>
      <x:c r="E1855" s="1"/>
      <x:c r="F1855" s="1"/>
      <x:c r="G1855" s="1"/>
      <x:c r="H1855" s="1"/>
      <x:c r="I1855" s="1"/>
      <x:c r="J1855" s="1"/>
      <x:c r="K1855" s="1"/>
      <x:c r="L1855" s="1"/>
      <x:c r="M1855" s="1"/>
      <x:c r="N1855" s="1"/>
      <x:c r="O1855" s="1"/>
      <x:c r="P1855" s="1"/>
      <x:c r="Q1855" s="1"/>
      <x:c r="R1855" s="1"/>
      <x:c r="S1855" s="1"/>
      <x:c r="T1855" s="1"/>
      <x:c r="U1855" s="1"/>
      <x:c r="V1855" s="1"/>
    </x:row>
    <x:row r="1856">
      <x:c r="A1856" s="1"/>
      <x:c r="B1856" s="1"/>
      <x:c r="C1856" s="1"/>
      <x:c r="D1856" s="1"/>
      <x:c r="E1856" s="1"/>
      <x:c r="F1856" s="1"/>
      <x:c r="G1856" s="1"/>
      <x:c r="H1856" s="1"/>
      <x:c r="I1856" s="1"/>
      <x:c r="J1856" s="1"/>
      <x:c r="K1856" s="1"/>
      <x:c r="L1856" s="1"/>
      <x:c r="M1856" s="1"/>
      <x:c r="N1856" s="1"/>
      <x:c r="O1856" s="1"/>
      <x:c r="P1856" s="1"/>
      <x:c r="Q1856" s="1"/>
      <x:c r="R1856" s="1"/>
      <x:c r="S1856" s="1"/>
      <x:c r="T1856" s="1"/>
      <x:c r="U1856" s="1"/>
      <x:c r="V1856" s="1"/>
    </x:row>
    <x:row r="1857">
      <x:c r="A1857" s="1"/>
      <x:c r="B1857" s="1"/>
      <x:c r="C1857" s="1"/>
      <x:c r="D1857" s="1"/>
      <x:c r="E1857" s="1"/>
      <x:c r="F1857" s="1"/>
      <x:c r="G1857" s="1"/>
      <x:c r="H1857" s="1"/>
      <x:c r="I1857" s="1"/>
      <x:c r="J1857" s="1"/>
      <x:c r="K1857" s="1"/>
      <x:c r="L1857" s="1"/>
      <x:c r="M1857" s="1"/>
      <x:c r="N1857" s="1"/>
      <x:c r="O1857" s="1"/>
      <x:c r="P1857" s="1"/>
      <x:c r="Q1857" s="1"/>
      <x:c r="R1857" s="1"/>
      <x:c r="S1857" s="1"/>
      <x:c r="T1857" s="1"/>
      <x:c r="U1857" s="1"/>
      <x:c r="V1857" s="1"/>
    </x:row>
    <x:row r="1858">
      <x:c r="A1858" s="1"/>
      <x:c r="B1858" s="1"/>
      <x:c r="C1858" s="1"/>
      <x:c r="D1858" s="1"/>
      <x:c r="E1858" s="1"/>
      <x:c r="F1858" s="1"/>
      <x:c r="G1858" s="1"/>
      <x:c r="H1858" s="1"/>
      <x:c r="I1858" s="1"/>
      <x:c r="J1858" s="1"/>
      <x:c r="K1858" s="1"/>
      <x:c r="L1858" s="1"/>
      <x:c r="M1858" s="1"/>
      <x:c r="N1858" s="1"/>
      <x:c r="O1858" s="1"/>
      <x:c r="P1858" s="1"/>
      <x:c r="Q1858" s="1"/>
      <x:c r="R1858" s="1"/>
      <x:c r="S1858" s="1"/>
      <x:c r="T1858" s="1"/>
      <x:c r="U1858" s="1"/>
      <x:c r="V1858" s="1"/>
    </x:row>
    <x:row r="1859">
      <x:c r="A1859" s="1"/>
      <x:c r="B1859" s="1"/>
      <x:c r="C1859" s="1"/>
      <x:c r="D1859" s="1"/>
      <x:c r="E1859" s="1"/>
      <x:c r="F1859" s="1"/>
      <x:c r="G1859" s="1"/>
      <x:c r="H1859" s="1"/>
      <x:c r="I1859" s="1"/>
      <x:c r="J1859" s="1"/>
      <x:c r="K1859" s="1"/>
      <x:c r="L1859" s="1"/>
      <x:c r="M1859" s="1"/>
      <x:c r="N1859" s="1"/>
      <x:c r="O1859" s="1"/>
      <x:c r="P1859" s="1"/>
      <x:c r="Q1859" s="1"/>
      <x:c r="R1859" s="1"/>
      <x:c r="S1859" s="1"/>
      <x:c r="T1859" s="1"/>
      <x:c r="U1859" s="1"/>
      <x:c r="V1859" s="1"/>
    </x:row>
    <x:row r="1860">
      <x:c r="A1860" s="1"/>
      <x:c r="B1860" s="1"/>
      <x:c r="C1860" s="1"/>
      <x:c r="D1860" s="1"/>
      <x:c r="E1860" s="1"/>
      <x:c r="F1860" s="1"/>
      <x:c r="G1860" s="1"/>
      <x:c r="H1860" s="1"/>
      <x:c r="I1860" s="1"/>
      <x:c r="J1860" s="1"/>
      <x:c r="K1860" s="1"/>
      <x:c r="L1860" s="1"/>
      <x:c r="M1860" s="1"/>
      <x:c r="N1860" s="1"/>
      <x:c r="O1860" s="1"/>
      <x:c r="P1860" s="1"/>
      <x:c r="Q1860" s="1"/>
      <x:c r="R1860" s="1"/>
      <x:c r="S1860" s="1"/>
      <x:c r="T1860" s="1"/>
      <x:c r="U1860" s="1"/>
      <x:c r="V1860" s="1"/>
    </x:row>
    <x:row r="1861">
      <x:c r="A1861" s="1"/>
      <x:c r="B1861" s="1"/>
      <x:c r="C1861" s="1"/>
      <x:c r="D1861" s="1"/>
      <x:c r="E1861" s="1"/>
      <x:c r="F1861" s="1"/>
      <x:c r="G1861" s="1"/>
      <x:c r="H1861" s="1"/>
      <x:c r="I1861" s="1"/>
      <x:c r="J1861" s="1"/>
      <x:c r="K1861" s="1"/>
      <x:c r="L1861" s="1"/>
      <x:c r="M1861" s="1"/>
      <x:c r="N1861" s="1"/>
      <x:c r="O1861" s="1"/>
      <x:c r="P1861" s="1"/>
      <x:c r="Q1861" s="1"/>
      <x:c r="R1861" s="1"/>
      <x:c r="S1861" s="1"/>
      <x:c r="T1861" s="1"/>
      <x:c r="U1861" s="1"/>
      <x:c r="V1861" s="1"/>
    </x:row>
    <x:row r="1862">
      <x:c r="A1862" s="1"/>
      <x:c r="B1862" s="1"/>
      <x:c r="C1862" s="1"/>
      <x:c r="D1862" s="1"/>
      <x:c r="E1862" s="1"/>
      <x:c r="F1862" s="1"/>
      <x:c r="G1862" s="1"/>
      <x:c r="H1862" s="1"/>
      <x:c r="I1862" s="1"/>
      <x:c r="J1862" s="1"/>
      <x:c r="K1862" s="1"/>
      <x:c r="L1862" s="1"/>
      <x:c r="M1862" s="1"/>
      <x:c r="N1862" s="1"/>
      <x:c r="O1862" s="1"/>
      <x:c r="P1862" s="1"/>
      <x:c r="Q1862" s="1"/>
      <x:c r="R1862" s="1"/>
      <x:c r="S1862" s="1"/>
      <x:c r="T1862" s="1"/>
      <x:c r="U1862" s="1"/>
      <x:c r="V1862" s="1"/>
    </x:row>
    <x:row r="1863">
      <x:c r="A1863" s="1"/>
      <x:c r="B1863" s="1"/>
      <x:c r="C1863" s="1"/>
      <x:c r="D1863" s="1"/>
      <x:c r="E1863" s="1"/>
      <x:c r="F1863" s="1"/>
      <x:c r="G1863" s="1"/>
      <x:c r="H1863" s="1"/>
      <x:c r="I1863" s="1"/>
      <x:c r="J1863" s="1"/>
      <x:c r="K1863" s="1"/>
      <x:c r="L1863" s="1"/>
      <x:c r="M1863" s="1"/>
      <x:c r="N1863" s="1"/>
      <x:c r="O1863" s="1"/>
      <x:c r="P1863" s="1"/>
      <x:c r="Q1863" s="1"/>
      <x:c r="R1863" s="1"/>
      <x:c r="S1863" s="1"/>
      <x:c r="T1863" s="1"/>
      <x:c r="U1863" s="1"/>
      <x:c r="V1863" s="1"/>
    </x:row>
    <x:row r="1864">
      <x:c r="A1864" s="1"/>
      <x:c r="B1864" s="1"/>
      <x:c r="C1864" s="1"/>
      <x:c r="D1864" s="1"/>
      <x:c r="E1864" s="1"/>
      <x:c r="F1864" s="1"/>
      <x:c r="G1864" s="1"/>
      <x:c r="H1864" s="1"/>
      <x:c r="I1864" s="1"/>
      <x:c r="J1864" s="1"/>
      <x:c r="K1864" s="1"/>
      <x:c r="L1864" s="1"/>
      <x:c r="M1864" s="1"/>
      <x:c r="N1864" s="1"/>
      <x:c r="O1864" s="1"/>
      <x:c r="P1864" s="1"/>
      <x:c r="Q1864" s="1"/>
      <x:c r="R1864" s="1"/>
      <x:c r="S1864" s="1"/>
      <x:c r="T1864" s="1"/>
      <x:c r="U1864" s="1"/>
      <x:c r="V1864" s="1"/>
    </x:row>
    <x:row r="1865">
      <x:c r="A1865" s="1"/>
      <x:c r="B1865" s="1"/>
      <x:c r="C1865" s="1"/>
      <x:c r="D1865" s="1"/>
      <x:c r="E1865" s="1"/>
      <x:c r="F1865" s="1"/>
      <x:c r="G1865" s="1"/>
      <x:c r="H1865" s="1"/>
      <x:c r="I1865" s="1"/>
      <x:c r="J1865" s="1"/>
      <x:c r="K1865" s="1"/>
      <x:c r="L1865" s="1"/>
      <x:c r="M1865" s="1"/>
      <x:c r="N1865" s="1"/>
      <x:c r="O1865" s="1"/>
      <x:c r="P1865" s="1"/>
      <x:c r="Q1865" s="1"/>
      <x:c r="R1865" s="1"/>
      <x:c r="S1865" s="1"/>
      <x:c r="T1865" s="1"/>
      <x:c r="U1865" s="1"/>
      <x:c r="V1865" s="1"/>
    </x:row>
    <x:row r="1866">
      <x:c r="A1866" s="1"/>
      <x:c r="B1866" s="1"/>
      <x:c r="C1866" s="1"/>
      <x:c r="D1866" s="1"/>
      <x:c r="E1866" s="1"/>
      <x:c r="F1866" s="1"/>
      <x:c r="G1866" s="1"/>
      <x:c r="H1866" s="1"/>
      <x:c r="I1866" s="1"/>
      <x:c r="J1866" s="1"/>
      <x:c r="K1866" s="1"/>
      <x:c r="L1866" s="1"/>
      <x:c r="M1866" s="1"/>
      <x:c r="N1866" s="1"/>
      <x:c r="O1866" s="1"/>
      <x:c r="P1866" s="1"/>
      <x:c r="Q1866" s="1"/>
      <x:c r="R1866" s="1"/>
      <x:c r="S1866" s="1"/>
      <x:c r="T1866" s="1"/>
      <x:c r="U1866" s="1"/>
      <x:c r="V1866" s="1"/>
    </x:row>
    <x:row r="1867">
      <x:c r="A1867" s="1"/>
      <x:c r="B1867" s="1"/>
      <x:c r="C1867" s="1"/>
      <x:c r="D1867" s="1"/>
      <x:c r="E1867" s="1"/>
      <x:c r="F1867" s="1"/>
      <x:c r="G1867" s="1"/>
      <x:c r="H1867" s="1"/>
      <x:c r="I1867" s="1"/>
      <x:c r="J1867" s="1"/>
      <x:c r="K1867" s="1"/>
      <x:c r="L1867" s="1"/>
      <x:c r="M1867" s="1"/>
      <x:c r="N1867" s="1"/>
      <x:c r="O1867" s="1"/>
      <x:c r="P1867" s="1"/>
      <x:c r="Q1867" s="1"/>
      <x:c r="R1867" s="1"/>
      <x:c r="S1867" s="1"/>
      <x:c r="T1867" s="1"/>
      <x:c r="U1867" s="1"/>
      <x:c r="V1867" s="1"/>
    </x:row>
    <x:row r="1868">
      <x:c r="A1868" s="1"/>
      <x:c r="B1868" s="1"/>
      <x:c r="C1868" s="1"/>
      <x:c r="D1868" s="1"/>
      <x:c r="E1868" s="1"/>
      <x:c r="F1868" s="1"/>
      <x:c r="G1868" s="1"/>
      <x:c r="H1868" s="1"/>
      <x:c r="I1868" s="1"/>
      <x:c r="J1868" s="1"/>
      <x:c r="K1868" s="1"/>
      <x:c r="L1868" s="1"/>
      <x:c r="M1868" s="1"/>
      <x:c r="N1868" s="1"/>
      <x:c r="O1868" s="1"/>
      <x:c r="P1868" s="1"/>
      <x:c r="Q1868" s="1"/>
      <x:c r="R1868" s="1"/>
      <x:c r="S1868" s="1"/>
      <x:c r="T1868" s="1"/>
      <x:c r="U1868" s="1"/>
      <x:c r="V1868" s="1"/>
    </x:row>
    <x:row r="1869">
      <x:c r="A1869" s="1"/>
      <x:c r="B1869" s="1"/>
      <x:c r="C1869" s="1"/>
      <x:c r="D1869" s="1"/>
      <x:c r="E1869" s="1"/>
      <x:c r="F1869" s="1"/>
      <x:c r="G1869" s="1"/>
      <x:c r="H1869" s="1"/>
      <x:c r="I1869" s="1"/>
      <x:c r="J1869" s="1"/>
      <x:c r="K1869" s="1"/>
      <x:c r="L1869" s="1"/>
      <x:c r="M1869" s="1"/>
      <x:c r="N1869" s="1"/>
      <x:c r="O1869" s="1"/>
      <x:c r="P1869" s="1"/>
      <x:c r="Q1869" s="1"/>
      <x:c r="R1869" s="1"/>
      <x:c r="S1869" s="1"/>
      <x:c r="T1869" s="1"/>
      <x:c r="U1869" s="1"/>
      <x:c r="V1869" s="1"/>
    </x:row>
    <x:row r="1870">
      <x:c r="A1870" s="1"/>
      <x:c r="B1870" s="1"/>
      <x:c r="C1870" s="1"/>
      <x:c r="D1870" s="1"/>
      <x:c r="E1870" s="1"/>
      <x:c r="F1870" s="1"/>
      <x:c r="G1870" s="1"/>
      <x:c r="H1870" s="1"/>
      <x:c r="I1870" s="1"/>
      <x:c r="J1870" s="1"/>
      <x:c r="K1870" s="1"/>
      <x:c r="L1870" s="1"/>
      <x:c r="M1870" s="1"/>
      <x:c r="N1870" s="1"/>
      <x:c r="O1870" s="1"/>
      <x:c r="P1870" s="1"/>
      <x:c r="Q1870" s="1"/>
      <x:c r="R1870" s="1"/>
      <x:c r="S1870" s="1"/>
      <x:c r="T1870" s="1"/>
      <x:c r="U1870" s="1"/>
      <x:c r="V1870" s="1"/>
    </x:row>
    <x:row r="1871">
      <x:c r="A1871" s="1"/>
      <x:c r="B1871" s="1"/>
      <x:c r="C1871" s="1"/>
      <x:c r="D1871" s="1"/>
      <x:c r="E1871" s="1"/>
      <x:c r="F1871" s="1"/>
      <x:c r="G1871" s="1"/>
      <x:c r="H1871" s="1"/>
      <x:c r="I1871" s="1"/>
      <x:c r="J1871" s="1"/>
      <x:c r="K1871" s="1"/>
      <x:c r="L1871" s="1"/>
      <x:c r="M1871" s="1"/>
      <x:c r="N1871" s="1"/>
      <x:c r="O1871" s="1"/>
      <x:c r="P1871" s="1"/>
      <x:c r="Q1871" s="1"/>
      <x:c r="R1871" s="1"/>
      <x:c r="S1871" s="1"/>
      <x:c r="T1871" s="1"/>
      <x:c r="U1871" s="1"/>
      <x:c r="V1871" s="1"/>
    </x:row>
    <x:row r="1872">
      <x:c r="A1872" s="1"/>
      <x:c r="B1872" s="1"/>
      <x:c r="C1872" s="1"/>
      <x:c r="D1872" s="1"/>
      <x:c r="E1872" s="1"/>
      <x:c r="F1872" s="1"/>
      <x:c r="G1872" s="1"/>
      <x:c r="H1872" s="1"/>
      <x:c r="I1872" s="1"/>
      <x:c r="J1872" s="1"/>
      <x:c r="K1872" s="1"/>
      <x:c r="L1872" s="1"/>
      <x:c r="M1872" s="1"/>
      <x:c r="N1872" s="1"/>
      <x:c r="O1872" s="1"/>
      <x:c r="P1872" s="1"/>
      <x:c r="Q1872" s="1"/>
      <x:c r="R1872" s="1"/>
      <x:c r="S1872" s="1"/>
      <x:c r="T1872" s="1"/>
      <x:c r="U1872" s="1"/>
      <x:c r="V1872" s="1"/>
    </x:row>
    <x:row r="1873">
      <x:c r="A1873" s="1"/>
      <x:c r="B1873" s="1"/>
      <x:c r="C1873" s="1"/>
      <x:c r="D1873" s="1"/>
      <x:c r="E1873" s="1"/>
      <x:c r="F1873" s="1"/>
      <x:c r="G1873" s="1"/>
      <x:c r="H1873" s="1"/>
      <x:c r="I1873" s="1"/>
      <x:c r="J1873" s="1"/>
      <x:c r="K1873" s="1"/>
      <x:c r="L1873" s="1"/>
      <x:c r="M1873" s="1"/>
      <x:c r="N1873" s="1"/>
      <x:c r="O1873" s="1"/>
      <x:c r="P1873" s="1"/>
      <x:c r="Q1873" s="1"/>
      <x:c r="R1873" s="1"/>
      <x:c r="S1873" s="1"/>
      <x:c r="T1873" s="1"/>
      <x:c r="U1873" s="1"/>
      <x:c r="V1873" s="1"/>
    </x:row>
    <x:row r="1874">
      <x:c r="A1874" s="1"/>
      <x:c r="B1874" s="1"/>
      <x:c r="C1874" s="1"/>
      <x:c r="D1874" s="1"/>
      <x:c r="E1874" s="1"/>
      <x:c r="F1874" s="1"/>
      <x:c r="G1874" s="1"/>
      <x:c r="H1874" s="1"/>
      <x:c r="I1874" s="1"/>
      <x:c r="J1874" s="1"/>
      <x:c r="K1874" s="1"/>
      <x:c r="L1874" s="1"/>
      <x:c r="M1874" s="1"/>
      <x:c r="N1874" s="1"/>
      <x:c r="O1874" s="1"/>
      <x:c r="P1874" s="1"/>
      <x:c r="Q1874" s="1"/>
      <x:c r="R1874" s="1"/>
      <x:c r="S1874" s="1"/>
      <x:c r="T1874" s="1"/>
      <x:c r="U1874" s="1"/>
      <x:c r="V1874" s="1"/>
    </x:row>
    <x:row r="1875">
      <x:c r="A1875" s="1"/>
      <x:c r="B1875" s="1"/>
      <x:c r="C1875" s="1"/>
      <x:c r="D1875" s="1"/>
      <x:c r="E1875" s="1"/>
      <x:c r="F1875" s="1"/>
      <x:c r="G1875" s="1"/>
      <x:c r="H1875" s="1"/>
      <x:c r="I1875" s="1"/>
      <x:c r="J1875" s="1"/>
      <x:c r="K1875" s="1"/>
      <x:c r="L1875" s="1"/>
      <x:c r="M1875" s="1"/>
      <x:c r="N1875" s="1"/>
      <x:c r="O1875" s="1"/>
      <x:c r="P1875" s="1"/>
      <x:c r="Q1875" s="1"/>
      <x:c r="R1875" s="1"/>
      <x:c r="S1875" s="1"/>
      <x:c r="T1875" s="1"/>
      <x:c r="U1875" s="1"/>
      <x:c r="V1875" s="1"/>
    </x:row>
    <x:row r="1876">
      <x:c r="A1876" s="1"/>
      <x:c r="B1876" s="1"/>
      <x:c r="C1876" s="1"/>
      <x:c r="D1876" s="1"/>
      <x:c r="E1876" s="1"/>
      <x:c r="F1876" s="1"/>
      <x:c r="G1876" s="1"/>
      <x:c r="H1876" s="1"/>
      <x:c r="I1876" s="1"/>
      <x:c r="J1876" s="1"/>
      <x:c r="K1876" s="1"/>
      <x:c r="L1876" s="1"/>
      <x:c r="M1876" s="1"/>
      <x:c r="N1876" s="1"/>
      <x:c r="O1876" s="1"/>
      <x:c r="P1876" s="1"/>
      <x:c r="Q1876" s="1"/>
      <x:c r="R1876" s="1"/>
      <x:c r="S1876" s="1"/>
      <x:c r="T1876" s="1"/>
      <x:c r="U1876" s="1"/>
      <x:c r="V1876" s="1"/>
    </x:row>
    <x:row r="1877">
      <x:c r="A1877" s="1"/>
      <x:c r="B1877" s="1"/>
      <x:c r="C1877" s="1"/>
      <x:c r="D1877" s="1"/>
      <x:c r="E1877" s="1"/>
      <x:c r="F1877" s="1"/>
      <x:c r="G1877" s="1"/>
      <x:c r="H1877" s="1"/>
      <x:c r="I1877" s="1"/>
      <x:c r="J1877" s="1"/>
      <x:c r="K1877" s="1"/>
      <x:c r="L1877" s="1"/>
      <x:c r="M1877" s="1"/>
      <x:c r="N1877" s="1"/>
      <x:c r="O1877" s="1"/>
      <x:c r="P1877" s="1"/>
      <x:c r="Q1877" s="1"/>
      <x:c r="R1877" s="1"/>
      <x:c r="S1877" s="1"/>
      <x:c r="T1877" s="1"/>
      <x:c r="U1877" s="1"/>
      <x:c r="V1877" s="1"/>
    </x:row>
    <x:row r="1878">
      <x:c r="A1878" s="1"/>
      <x:c r="B1878" s="1"/>
      <x:c r="C1878" s="1"/>
      <x:c r="D1878" s="1"/>
      <x:c r="E1878" s="1"/>
      <x:c r="F1878" s="1"/>
      <x:c r="G1878" s="1"/>
      <x:c r="H1878" s="1"/>
      <x:c r="I1878" s="1"/>
      <x:c r="J1878" s="1"/>
      <x:c r="K1878" s="1"/>
      <x:c r="L1878" s="1"/>
      <x:c r="M1878" s="1"/>
      <x:c r="N1878" s="1"/>
      <x:c r="O1878" s="1"/>
      <x:c r="P1878" s="1"/>
      <x:c r="Q1878" s="1"/>
      <x:c r="R1878" s="1"/>
      <x:c r="S1878" s="1"/>
      <x:c r="T1878" s="1"/>
      <x:c r="U1878" s="1"/>
      <x:c r="V1878" s="1"/>
    </x:row>
    <x:row r="1879">
      <x:c r="A1879" s="1"/>
      <x:c r="B1879" s="1"/>
      <x:c r="C1879" s="1"/>
      <x:c r="D1879" s="1"/>
      <x:c r="E1879" s="1"/>
      <x:c r="F1879" s="1"/>
      <x:c r="G1879" s="1"/>
      <x:c r="H1879" s="1"/>
      <x:c r="I1879" s="1"/>
      <x:c r="J1879" s="1"/>
      <x:c r="K1879" s="1"/>
      <x:c r="L1879" s="1"/>
      <x:c r="M1879" s="1"/>
      <x:c r="N1879" s="1"/>
      <x:c r="O1879" s="1"/>
      <x:c r="P1879" s="1"/>
      <x:c r="Q1879" s="1"/>
      <x:c r="R1879" s="1"/>
      <x:c r="S1879" s="1"/>
      <x:c r="T1879" s="1"/>
      <x:c r="U1879" s="1"/>
      <x:c r="V1879" s="1"/>
    </x:row>
    <x:row r="1880">
      <x:c r="A1880" s="1"/>
      <x:c r="B1880" s="1"/>
      <x:c r="C1880" s="1"/>
      <x:c r="D1880" s="1"/>
      <x:c r="E1880" s="1"/>
      <x:c r="F1880" s="1"/>
      <x:c r="G1880" s="1"/>
      <x:c r="H1880" s="1"/>
      <x:c r="I1880" s="1"/>
      <x:c r="J1880" s="1"/>
      <x:c r="K1880" s="1"/>
      <x:c r="L1880" s="1"/>
      <x:c r="M1880" s="1"/>
      <x:c r="N1880" s="1"/>
      <x:c r="O1880" s="1"/>
      <x:c r="P1880" s="1"/>
      <x:c r="Q1880" s="1"/>
      <x:c r="R1880" s="1"/>
      <x:c r="S1880" s="1"/>
      <x:c r="T1880" s="1"/>
      <x:c r="U1880" s="1"/>
      <x:c r="V1880" s="1"/>
    </x:row>
    <x:row r="1881">
      <x:c r="A1881" s="1"/>
      <x:c r="B1881" s="1"/>
      <x:c r="C1881" s="1"/>
      <x:c r="D1881" s="1"/>
      <x:c r="E1881" s="1"/>
      <x:c r="F1881" s="1"/>
      <x:c r="G1881" s="1"/>
      <x:c r="H1881" s="1"/>
      <x:c r="I1881" s="1"/>
      <x:c r="J1881" s="1"/>
      <x:c r="K1881" s="1"/>
      <x:c r="L1881" s="1"/>
      <x:c r="M1881" s="1"/>
      <x:c r="N1881" s="1"/>
      <x:c r="O1881" s="1"/>
      <x:c r="P1881" s="1"/>
      <x:c r="Q1881" s="1"/>
      <x:c r="R1881" s="1"/>
      <x:c r="S1881" s="1"/>
      <x:c r="T1881" s="1"/>
      <x:c r="U1881" s="1"/>
      <x:c r="V1881" s="1"/>
    </x:row>
    <x:row r="1882">
      <x:c r="A1882" s="1"/>
      <x:c r="B1882" s="1"/>
      <x:c r="C1882" s="1"/>
      <x:c r="D1882" s="1"/>
      <x:c r="E1882" s="1"/>
      <x:c r="F1882" s="1"/>
      <x:c r="G1882" s="1"/>
      <x:c r="H1882" s="1"/>
      <x:c r="I1882" s="1"/>
      <x:c r="J1882" s="1"/>
      <x:c r="K1882" s="1"/>
      <x:c r="L1882" s="1"/>
      <x:c r="M1882" s="1"/>
      <x:c r="N1882" s="1"/>
      <x:c r="O1882" s="1"/>
      <x:c r="P1882" s="1"/>
      <x:c r="Q1882" s="1"/>
      <x:c r="R1882" s="1"/>
      <x:c r="S1882" s="1"/>
      <x:c r="T1882" s="1"/>
      <x:c r="U1882" s="1"/>
      <x:c r="V1882" s="1"/>
    </x:row>
    <x:row r="1883">
      <x:c r="A1883" s="1"/>
      <x:c r="B1883" s="1"/>
      <x:c r="C1883" s="1"/>
      <x:c r="D1883" s="1"/>
      <x:c r="E1883" s="1"/>
      <x:c r="F1883" s="1"/>
      <x:c r="G1883" s="1"/>
      <x:c r="H1883" s="1"/>
      <x:c r="I1883" s="1"/>
      <x:c r="J1883" s="1"/>
      <x:c r="K1883" s="1"/>
      <x:c r="L1883" s="1"/>
      <x:c r="M1883" s="1"/>
      <x:c r="N1883" s="1"/>
      <x:c r="O1883" s="1"/>
      <x:c r="P1883" s="1"/>
      <x:c r="Q1883" s="1"/>
      <x:c r="R1883" s="1"/>
      <x:c r="S1883" s="1"/>
      <x:c r="T1883" s="1"/>
      <x:c r="U1883" s="1"/>
      <x:c r="V1883" s="1"/>
    </x:row>
    <x:row r="1884">
      <x:c r="A1884" s="1"/>
      <x:c r="B1884" s="1"/>
      <x:c r="C1884" s="1"/>
      <x:c r="D1884" s="1"/>
      <x:c r="E1884" s="1"/>
      <x:c r="F1884" s="1"/>
      <x:c r="G1884" s="1"/>
      <x:c r="H1884" s="1"/>
      <x:c r="I1884" s="1"/>
      <x:c r="J1884" s="1"/>
      <x:c r="K1884" s="1"/>
      <x:c r="L1884" s="1"/>
      <x:c r="M1884" s="1"/>
      <x:c r="N1884" s="1"/>
      <x:c r="O1884" s="1"/>
      <x:c r="P1884" s="1"/>
      <x:c r="Q1884" s="1"/>
      <x:c r="R1884" s="1"/>
      <x:c r="S1884" s="1"/>
      <x:c r="T1884" s="1"/>
      <x:c r="U1884" s="1"/>
      <x:c r="V1884" s="1"/>
    </x:row>
    <x:row r="1885">
      <x:c r="A1885" s="1"/>
      <x:c r="B1885" s="1"/>
      <x:c r="C1885" s="1"/>
      <x:c r="D1885" s="1"/>
      <x:c r="E1885" s="1"/>
      <x:c r="F1885" s="1"/>
      <x:c r="G1885" s="1"/>
      <x:c r="H1885" s="1"/>
      <x:c r="I1885" s="1"/>
      <x:c r="J1885" s="1"/>
      <x:c r="K1885" s="1"/>
      <x:c r="L1885" s="1"/>
      <x:c r="M1885" s="1"/>
      <x:c r="N1885" s="1"/>
      <x:c r="O1885" s="1"/>
      <x:c r="P1885" s="1"/>
      <x:c r="Q1885" s="1"/>
      <x:c r="R1885" s="1"/>
      <x:c r="S1885" s="1"/>
      <x:c r="T1885" s="1"/>
      <x:c r="U1885" s="1"/>
      <x:c r="V1885" s="1"/>
    </x:row>
    <x:row r="1886">
      <x:c r="A1886" s="1"/>
      <x:c r="B1886" s="1"/>
      <x:c r="C1886" s="1"/>
      <x:c r="D1886" s="1"/>
      <x:c r="E1886" s="1"/>
      <x:c r="F1886" s="1"/>
      <x:c r="G1886" s="1"/>
      <x:c r="H1886" s="1"/>
      <x:c r="I1886" s="1"/>
      <x:c r="J1886" s="1"/>
      <x:c r="K1886" s="1"/>
      <x:c r="L1886" s="1"/>
      <x:c r="M1886" s="1"/>
      <x:c r="N1886" s="1"/>
      <x:c r="O1886" s="1"/>
      <x:c r="P1886" s="1"/>
      <x:c r="Q1886" s="1"/>
      <x:c r="R1886" s="1"/>
      <x:c r="S1886" s="1"/>
      <x:c r="T1886" s="1"/>
      <x:c r="U1886" s="1"/>
      <x:c r="V1886" s="1"/>
    </x:row>
    <x:row r="1887">
      <x:c r="A1887" s="1"/>
      <x:c r="B1887" s="1"/>
      <x:c r="C1887" s="1"/>
      <x:c r="D1887" s="1"/>
      <x:c r="E1887" s="1"/>
      <x:c r="F1887" s="1"/>
      <x:c r="G1887" s="1"/>
      <x:c r="H1887" s="1"/>
      <x:c r="I1887" s="1"/>
      <x:c r="J1887" s="1"/>
      <x:c r="K1887" s="1"/>
      <x:c r="L1887" s="1"/>
      <x:c r="M1887" s="1"/>
      <x:c r="N1887" s="1"/>
      <x:c r="O1887" s="1"/>
      <x:c r="P1887" s="1"/>
      <x:c r="Q1887" s="1"/>
      <x:c r="R1887" s="1"/>
      <x:c r="S1887" s="1"/>
      <x:c r="T1887" s="1"/>
      <x:c r="U1887" s="1"/>
      <x:c r="V1887" s="1"/>
    </x:row>
    <x:row r="1888">
      <x:c r="A1888" s="1"/>
      <x:c r="B1888" s="1"/>
      <x:c r="C1888" s="1"/>
      <x:c r="D1888" s="1"/>
      <x:c r="E1888" s="1"/>
      <x:c r="F1888" s="1"/>
      <x:c r="G1888" s="1"/>
      <x:c r="H1888" s="1"/>
      <x:c r="I1888" s="1"/>
      <x:c r="J1888" s="1"/>
      <x:c r="K1888" s="1"/>
      <x:c r="L1888" s="1"/>
      <x:c r="M1888" s="1"/>
      <x:c r="N1888" s="1"/>
      <x:c r="O1888" s="1"/>
      <x:c r="P1888" s="1"/>
      <x:c r="Q1888" s="1"/>
      <x:c r="R1888" s="1"/>
      <x:c r="S1888" s="1"/>
      <x:c r="T1888" s="1"/>
      <x:c r="U1888" s="1"/>
      <x:c r="V1888" s="1"/>
    </x:row>
    <x:row r="1889">
      <x:c r="A1889" s="1"/>
      <x:c r="B1889" s="1"/>
      <x:c r="C1889" s="1"/>
      <x:c r="D1889" s="1"/>
      <x:c r="E1889" s="1"/>
      <x:c r="F1889" s="1"/>
      <x:c r="G1889" s="1"/>
      <x:c r="H1889" s="1"/>
      <x:c r="I1889" s="1"/>
      <x:c r="J1889" s="1"/>
      <x:c r="K1889" s="1"/>
      <x:c r="L1889" s="1"/>
      <x:c r="M1889" s="1"/>
      <x:c r="N1889" s="1"/>
      <x:c r="O1889" s="1"/>
      <x:c r="P1889" s="1"/>
      <x:c r="Q1889" s="1"/>
      <x:c r="R1889" s="1"/>
      <x:c r="S1889" s="1"/>
      <x:c r="T1889" s="1"/>
      <x:c r="U1889" s="1"/>
      <x:c r="V1889" s="1"/>
    </x:row>
    <x:row r="1890">
      <x:c r="A1890" s="1"/>
      <x:c r="B1890" s="1"/>
      <x:c r="C1890" s="1"/>
      <x:c r="D1890" s="1"/>
      <x:c r="E1890" s="1"/>
      <x:c r="F1890" s="1"/>
      <x:c r="G1890" s="1"/>
      <x:c r="H1890" s="1"/>
      <x:c r="I1890" s="1"/>
      <x:c r="J1890" s="1"/>
      <x:c r="K1890" s="1"/>
      <x:c r="L1890" s="1"/>
      <x:c r="M1890" s="1"/>
      <x:c r="N1890" s="1"/>
      <x:c r="O1890" s="1"/>
      <x:c r="P1890" s="1"/>
      <x:c r="Q1890" s="1"/>
      <x:c r="R1890" s="1"/>
      <x:c r="S1890" s="1"/>
      <x:c r="T1890" s="1"/>
      <x:c r="U1890" s="1"/>
      <x:c r="V1890" s="1"/>
    </x:row>
    <x:row r="1891">
      <x:c r="A1891" s="1"/>
      <x:c r="B1891" s="1"/>
      <x:c r="C1891" s="1"/>
      <x:c r="D1891" s="1"/>
      <x:c r="E1891" s="1"/>
      <x:c r="F1891" s="1"/>
      <x:c r="G1891" s="1"/>
      <x:c r="H1891" s="1"/>
      <x:c r="I1891" s="1"/>
      <x:c r="J1891" s="1"/>
      <x:c r="K1891" s="1"/>
      <x:c r="L1891" s="1"/>
      <x:c r="M1891" s="1"/>
      <x:c r="N1891" s="1"/>
      <x:c r="O1891" s="1"/>
      <x:c r="P1891" s="1"/>
      <x:c r="Q1891" s="1"/>
      <x:c r="R1891" s="1"/>
      <x:c r="S1891" s="1"/>
      <x:c r="T1891" s="1"/>
      <x:c r="U1891" s="1"/>
      <x:c r="V1891" s="1"/>
    </x:row>
    <x:row r="1892">
      <x:c r="A1892" s="1"/>
      <x:c r="B1892" s="1"/>
      <x:c r="C1892" s="1"/>
      <x:c r="D1892" s="1"/>
      <x:c r="E1892" s="1"/>
      <x:c r="F1892" s="1"/>
      <x:c r="G1892" s="1"/>
      <x:c r="H1892" s="1"/>
      <x:c r="I1892" s="1"/>
      <x:c r="J1892" s="1"/>
      <x:c r="K1892" s="1"/>
      <x:c r="L1892" s="1"/>
      <x:c r="M1892" s="1"/>
      <x:c r="N1892" s="1"/>
      <x:c r="O1892" s="1"/>
      <x:c r="P1892" s="1"/>
      <x:c r="Q1892" s="1"/>
      <x:c r="R1892" s="1"/>
      <x:c r="S1892" s="1"/>
      <x:c r="T1892" s="1"/>
      <x:c r="U1892" s="1"/>
      <x:c r="V1892" s="1"/>
    </x:row>
    <x:row r="1893">
      <x:c r="A1893" s="1"/>
      <x:c r="B1893" s="1"/>
      <x:c r="C1893" s="1"/>
      <x:c r="D1893" s="1"/>
      <x:c r="E1893" s="1"/>
      <x:c r="F1893" s="1"/>
      <x:c r="G1893" s="1"/>
      <x:c r="H1893" s="1"/>
      <x:c r="I1893" s="1"/>
      <x:c r="J1893" s="1"/>
      <x:c r="K1893" s="1"/>
      <x:c r="L1893" s="1"/>
      <x:c r="M1893" s="1"/>
      <x:c r="N1893" s="1"/>
      <x:c r="O1893" s="1"/>
      <x:c r="P1893" s="1"/>
      <x:c r="Q1893" s="1"/>
      <x:c r="R1893" s="1"/>
      <x:c r="S1893" s="1"/>
      <x:c r="T1893" s="1"/>
      <x:c r="U1893" s="1"/>
      <x:c r="V1893" s="1"/>
    </x:row>
    <x:row r="1894">
      <x:c r="A1894" s="1"/>
      <x:c r="B1894" s="1"/>
      <x:c r="C1894" s="1"/>
      <x:c r="D1894" s="1"/>
      <x:c r="E1894" s="1"/>
      <x:c r="F1894" s="1"/>
      <x:c r="G1894" s="1"/>
      <x:c r="H1894" s="1"/>
      <x:c r="I1894" s="1"/>
      <x:c r="J1894" s="1"/>
      <x:c r="K1894" s="1"/>
      <x:c r="L1894" s="1"/>
      <x:c r="M1894" s="1"/>
      <x:c r="N1894" s="1"/>
      <x:c r="O1894" s="1"/>
      <x:c r="P1894" s="1"/>
      <x:c r="Q1894" s="1"/>
      <x:c r="R1894" s="1"/>
      <x:c r="S1894" s="1"/>
      <x:c r="T1894" s="1"/>
      <x:c r="U1894" s="1"/>
      <x:c r="V1894" s="1"/>
    </x:row>
    <x:row r="1895">
      <x:c r="A1895" s="1"/>
      <x:c r="B1895" s="1"/>
      <x:c r="C1895" s="1"/>
      <x:c r="D1895" s="1"/>
      <x:c r="E1895" s="1"/>
      <x:c r="F1895" s="1"/>
      <x:c r="G1895" s="1"/>
      <x:c r="H1895" s="1"/>
      <x:c r="I1895" s="1"/>
      <x:c r="J1895" s="1"/>
      <x:c r="K1895" s="1"/>
      <x:c r="L1895" s="1"/>
      <x:c r="M1895" s="1"/>
      <x:c r="N1895" s="1"/>
      <x:c r="O1895" s="1"/>
      <x:c r="P1895" s="1"/>
      <x:c r="Q1895" s="1"/>
      <x:c r="R1895" s="1"/>
      <x:c r="S1895" s="1"/>
      <x:c r="T1895" s="1"/>
      <x:c r="U1895" s="1"/>
      <x:c r="V1895" s="1"/>
    </x:row>
    <x:row r="1896">
      <x:c r="A1896" s="1"/>
      <x:c r="B1896" s="1"/>
      <x:c r="C1896" s="1"/>
      <x:c r="D1896" s="1"/>
      <x:c r="E1896" s="1"/>
      <x:c r="F1896" s="1"/>
      <x:c r="G1896" s="1"/>
      <x:c r="H1896" s="1"/>
      <x:c r="I1896" s="1"/>
      <x:c r="J1896" s="1"/>
      <x:c r="K1896" s="1"/>
      <x:c r="L1896" s="1"/>
      <x:c r="M1896" s="1"/>
      <x:c r="N1896" s="1"/>
      <x:c r="O1896" s="1"/>
      <x:c r="P1896" s="1"/>
      <x:c r="Q1896" s="1"/>
      <x:c r="R1896" s="1"/>
      <x:c r="S1896" s="1"/>
      <x:c r="T1896" s="1"/>
      <x:c r="U1896" s="1"/>
      <x:c r="V1896" s="1"/>
    </x:row>
    <x:row r="1897">
      <x:c r="A1897" s="1"/>
      <x:c r="B1897" s="1"/>
      <x:c r="C1897" s="1"/>
      <x:c r="D1897" s="1"/>
      <x:c r="E1897" s="1"/>
      <x:c r="F1897" s="1"/>
      <x:c r="G1897" s="1"/>
      <x:c r="H1897" s="1"/>
      <x:c r="I1897" s="1"/>
      <x:c r="J1897" s="1"/>
      <x:c r="K1897" s="1"/>
      <x:c r="L1897" s="1"/>
      <x:c r="M1897" s="1"/>
      <x:c r="N1897" s="1"/>
      <x:c r="O1897" s="1"/>
      <x:c r="P1897" s="1"/>
      <x:c r="Q1897" s="1"/>
      <x:c r="R1897" s="1"/>
      <x:c r="S1897" s="1"/>
      <x:c r="T1897" s="1"/>
      <x:c r="U1897" s="1"/>
      <x:c r="V1897" s="1"/>
    </x:row>
    <x:row r="1898">
      <x:c r="A1898" s="1"/>
      <x:c r="B1898" s="1"/>
      <x:c r="C1898" s="1"/>
      <x:c r="D1898" s="1"/>
      <x:c r="E1898" s="1"/>
      <x:c r="F1898" s="1"/>
      <x:c r="G1898" s="1"/>
      <x:c r="H1898" s="1"/>
      <x:c r="I1898" s="1"/>
      <x:c r="J1898" s="1"/>
      <x:c r="K1898" s="1"/>
      <x:c r="L1898" s="1"/>
      <x:c r="M1898" s="1"/>
      <x:c r="N1898" s="1"/>
      <x:c r="O1898" s="1"/>
      <x:c r="P1898" s="1"/>
      <x:c r="Q1898" s="1"/>
      <x:c r="R1898" s="1"/>
      <x:c r="S1898" s="1"/>
      <x:c r="T1898" s="1"/>
      <x:c r="U1898" s="1"/>
      <x:c r="V1898" s="1"/>
    </x:row>
    <x:row r="1899">
      <x:c r="A1899" s="1"/>
      <x:c r="B1899" s="1"/>
      <x:c r="C1899" s="1"/>
      <x:c r="D1899" s="1"/>
      <x:c r="E1899" s="1"/>
      <x:c r="F1899" s="1"/>
      <x:c r="G1899" s="1"/>
      <x:c r="H1899" s="1"/>
      <x:c r="I1899" s="1"/>
      <x:c r="J1899" s="1"/>
      <x:c r="K1899" s="1"/>
      <x:c r="L1899" s="1"/>
      <x:c r="M1899" s="1"/>
      <x:c r="N1899" s="1"/>
      <x:c r="O1899" s="1"/>
      <x:c r="P1899" s="1"/>
      <x:c r="Q1899" s="1"/>
      <x:c r="R1899" s="1"/>
      <x:c r="S1899" s="1"/>
      <x:c r="T1899" s="1"/>
      <x:c r="U1899" s="1"/>
      <x:c r="V1899" s="1"/>
    </x:row>
    <x:row r="1900">
      <x:c r="A1900" s="1"/>
      <x:c r="B1900" s="1"/>
      <x:c r="C1900" s="1"/>
      <x:c r="D1900" s="1"/>
      <x:c r="E1900" s="1"/>
      <x:c r="F1900" s="1"/>
      <x:c r="G1900" s="1"/>
      <x:c r="H1900" s="1"/>
      <x:c r="I1900" s="1"/>
      <x:c r="J1900" s="1"/>
      <x:c r="K1900" s="1"/>
      <x:c r="L1900" s="1"/>
      <x:c r="M1900" s="1"/>
      <x:c r="N1900" s="1"/>
      <x:c r="O1900" s="1"/>
      <x:c r="P1900" s="1"/>
      <x:c r="Q1900" s="1"/>
      <x:c r="R1900" s="1"/>
      <x:c r="S1900" s="1"/>
      <x:c r="T1900" s="1"/>
      <x:c r="U1900" s="1"/>
      <x:c r="V1900" s="1"/>
    </x:row>
    <x:row r="1901">
      <x:c r="A1901" s="1"/>
      <x:c r="B1901" s="1"/>
      <x:c r="C1901" s="1"/>
      <x:c r="D1901" s="1"/>
      <x:c r="E1901" s="1"/>
      <x:c r="F1901" s="1"/>
      <x:c r="G1901" s="1"/>
      <x:c r="H1901" s="1"/>
      <x:c r="I1901" s="1"/>
      <x:c r="J1901" s="1"/>
      <x:c r="K1901" s="1"/>
      <x:c r="L1901" s="1"/>
      <x:c r="M1901" s="1"/>
      <x:c r="N1901" s="1"/>
      <x:c r="O1901" s="1"/>
      <x:c r="P1901" s="1"/>
      <x:c r="Q1901" s="1"/>
      <x:c r="R1901" s="1"/>
      <x:c r="S1901" s="1"/>
      <x:c r="T1901" s="1"/>
      <x:c r="U1901" s="1"/>
      <x:c r="V1901" s="1"/>
    </x:row>
    <x:row r="1902">
      <x:c r="A1902" s="1"/>
      <x:c r="B1902" s="1"/>
      <x:c r="C1902" s="1"/>
      <x:c r="D1902" s="1"/>
      <x:c r="E1902" s="1"/>
      <x:c r="F1902" s="1"/>
      <x:c r="G1902" s="1"/>
      <x:c r="H1902" s="1"/>
      <x:c r="I1902" s="1"/>
      <x:c r="J1902" s="1"/>
      <x:c r="K1902" s="1"/>
      <x:c r="L1902" s="1"/>
      <x:c r="M1902" s="1"/>
      <x:c r="N1902" s="1"/>
      <x:c r="O1902" s="1"/>
      <x:c r="P1902" s="1"/>
      <x:c r="Q1902" s="1"/>
      <x:c r="R1902" s="1"/>
      <x:c r="S1902" s="1"/>
      <x:c r="T1902" s="1"/>
      <x:c r="U1902" s="1"/>
      <x:c r="V1902" s="1"/>
    </x:row>
    <x:row r="1903">
      <x:c r="A1903" s="1"/>
      <x:c r="B1903" s="1"/>
      <x:c r="C1903" s="1"/>
      <x:c r="D1903" s="1"/>
      <x:c r="E1903" s="1"/>
      <x:c r="F1903" s="1"/>
      <x:c r="G1903" s="1"/>
      <x:c r="H1903" s="1"/>
      <x:c r="I1903" s="1"/>
      <x:c r="J1903" s="1"/>
      <x:c r="K1903" s="1"/>
      <x:c r="L1903" s="1"/>
      <x:c r="M1903" s="1"/>
      <x:c r="N1903" s="1"/>
      <x:c r="O1903" s="1"/>
      <x:c r="P1903" s="1"/>
      <x:c r="Q1903" s="1"/>
      <x:c r="R1903" s="1"/>
      <x:c r="S1903" s="1"/>
      <x:c r="T1903" s="1"/>
      <x:c r="U1903" s="1"/>
      <x:c r="V1903" s="1"/>
    </x:row>
    <x:row r="1904">
      <x:c r="A1904" s="1"/>
      <x:c r="B1904" s="1"/>
      <x:c r="C1904" s="1"/>
      <x:c r="D1904" s="1"/>
      <x:c r="E1904" s="1"/>
      <x:c r="F1904" s="1"/>
      <x:c r="G1904" s="1"/>
      <x:c r="H1904" s="1"/>
      <x:c r="I1904" s="1"/>
      <x:c r="J1904" s="1"/>
      <x:c r="K1904" s="1"/>
      <x:c r="L1904" s="1"/>
      <x:c r="M1904" s="1"/>
      <x:c r="N1904" s="1"/>
      <x:c r="O1904" s="1"/>
      <x:c r="P1904" s="1"/>
      <x:c r="Q1904" s="1"/>
      <x:c r="R1904" s="1"/>
      <x:c r="S1904" s="1"/>
      <x:c r="T1904" s="1"/>
      <x:c r="U1904" s="1"/>
      <x:c r="V1904" s="1"/>
    </x:row>
    <x:row r="1905">
      <x:c r="A1905" s="1"/>
      <x:c r="B1905" s="1"/>
      <x:c r="C1905" s="1"/>
      <x:c r="D1905" s="1"/>
      <x:c r="E1905" s="1"/>
      <x:c r="F1905" s="1"/>
      <x:c r="G1905" s="1"/>
      <x:c r="H1905" s="1"/>
      <x:c r="I1905" s="1"/>
      <x:c r="J1905" s="1"/>
      <x:c r="K1905" s="1"/>
      <x:c r="L1905" s="1"/>
      <x:c r="M1905" s="1"/>
      <x:c r="N1905" s="1"/>
      <x:c r="O1905" s="1"/>
      <x:c r="P1905" s="1"/>
      <x:c r="Q1905" s="1"/>
      <x:c r="R1905" s="1"/>
      <x:c r="S1905" s="1"/>
      <x:c r="T1905" s="1"/>
      <x:c r="U1905" s="1"/>
      <x:c r="V1905" s="1"/>
    </x:row>
    <x:row r="1906">
      <x:c r="A1906" s="1"/>
      <x:c r="B1906" s="1"/>
      <x:c r="C1906" s="1"/>
      <x:c r="D1906" s="1"/>
      <x:c r="E1906" s="1"/>
      <x:c r="F1906" s="1"/>
      <x:c r="G1906" s="1"/>
      <x:c r="H1906" s="1"/>
      <x:c r="I1906" s="1"/>
      <x:c r="J1906" s="1"/>
      <x:c r="K1906" s="1"/>
      <x:c r="L1906" s="1"/>
      <x:c r="M1906" s="1"/>
      <x:c r="N1906" s="1"/>
      <x:c r="O1906" s="1"/>
      <x:c r="P1906" s="1"/>
      <x:c r="Q1906" s="1"/>
      <x:c r="R1906" s="1"/>
      <x:c r="S1906" s="1"/>
      <x:c r="T1906" s="1"/>
      <x:c r="U1906" s="1"/>
      <x:c r="V1906" s="1"/>
    </x:row>
    <x:row r="1907">
      <x:c r="A1907" s="1"/>
      <x:c r="B1907" s="1"/>
      <x:c r="C1907" s="1"/>
      <x:c r="D1907" s="1"/>
      <x:c r="E1907" s="1"/>
      <x:c r="F1907" s="1"/>
      <x:c r="G1907" s="1"/>
      <x:c r="H1907" s="1"/>
      <x:c r="I1907" s="1"/>
      <x:c r="J1907" s="1"/>
      <x:c r="K1907" s="1"/>
      <x:c r="L1907" s="1"/>
      <x:c r="M1907" s="1"/>
      <x:c r="N1907" s="1"/>
      <x:c r="O1907" s="1"/>
      <x:c r="P1907" s="1"/>
      <x:c r="Q1907" s="1"/>
      <x:c r="R1907" s="1"/>
      <x:c r="S1907" s="1"/>
      <x:c r="T1907" s="1"/>
      <x:c r="U1907" s="1"/>
      <x:c r="V1907" s="1"/>
    </x:row>
    <x:row r="1908">
      <x:c r="A1908" s="1"/>
      <x:c r="B1908" s="1"/>
      <x:c r="C1908" s="1"/>
      <x:c r="D1908" s="1"/>
      <x:c r="E1908" s="1"/>
      <x:c r="F1908" s="1"/>
      <x:c r="G1908" s="1"/>
      <x:c r="H1908" s="1"/>
      <x:c r="I1908" s="1"/>
      <x:c r="J1908" s="1"/>
      <x:c r="K1908" s="1"/>
      <x:c r="L1908" s="1"/>
      <x:c r="M1908" s="1"/>
      <x:c r="N1908" s="1"/>
      <x:c r="O1908" s="1"/>
      <x:c r="P1908" s="1"/>
      <x:c r="Q1908" s="1"/>
      <x:c r="R1908" s="1"/>
      <x:c r="S1908" s="1"/>
      <x:c r="T1908" s="1"/>
      <x:c r="U1908" s="1"/>
      <x:c r="V1908" s="1"/>
    </x:row>
    <x:row r="1909">
      <x:c r="A1909" s="1"/>
      <x:c r="B1909" s="1"/>
      <x:c r="C1909" s="1"/>
      <x:c r="D1909" s="1"/>
      <x:c r="E1909" s="1"/>
      <x:c r="F1909" s="1"/>
      <x:c r="G1909" s="1"/>
      <x:c r="H1909" s="1"/>
      <x:c r="I1909" s="1"/>
      <x:c r="J1909" s="1"/>
      <x:c r="K1909" s="1"/>
      <x:c r="L1909" s="1"/>
      <x:c r="M1909" s="1"/>
      <x:c r="N1909" s="1"/>
      <x:c r="O1909" s="1"/>
      <x:c r="P1909" s="1"/>
      <x:c r="Q1909" s="1"/>
      <x:c r="R1909" s="1"/>
      <x:c r="S1909" s="1"/>
      <x:c r="T1909" s="1"/>
      <x:c r="U1909" s="1"/>
      <x:c r="V1909" s="1"/>
    </x:row>
    <x:row r="1910">
      <x:c r="A1910" s="1"/>
      <x:c r="B1910" s="1"/>
      <x:c r="C1910" s="1"/>
      <x:c r="D1910" s="1"/>
      <x:c r="E1910" s="1"/>
      <x:c r="F1910" s="1"/>
      <x:c r="G1910" s="1"/>
      <x:c r="H1910" s="1"/>
      <x:c r="I1910" s="1"/>
      <x:c r="J1910" s="1"/>
      <x:c r="K1910" s="1"/>
      <x:c r="L1910" s="1"/>
      <x:c r="M1910" s="1"/>
      <x:c r="N1910" s="1"/>
      <x:c r="O1910" s="1"/>
      <x:c r="P1910" s="1"/>
      <x:c r="Q1910" s="1"/>
      <x:c r="R1910" s="1"/>
      <x:c r="S1910" s="1"/>
      <x:c r="T1910" s="1"/>
      <x:c r="U1910" s="1"/>
      <x:c r="V1910" s="1"/>
    </x:row>
    <x:row r="1911">
      <x:c r="A1911" s="1"/>
      <x:c r="B1911" s="1"/>
      <x:c r="C1911" s="1"/>
      <x:c r="D1911" s="1"/>
      <x:c r="E1911" s="1"/>
      <x:c r="F1911" s="1"/>
      <x:c r="G1911" s="1"/>
      <x:c r="H1911" s="1"/>
      <x:c r="I1911" s="1"/>
      <x:c r="J1911" s="1"/>
      <x:c r="K1911" s="1"/>
      <x:c r="L1911" s="1"/>
      <x:c r="M1911" s="1"/>
      <x:c r="N1911" s="1"/>
      <x:c r="O1911" s="1"/>
      <x:c r="P1911" s="1"/>
      <x:c r="Q1911" s="1"/>
      <x:c r="R1911" s="1"/>
      <x:c r="S1911" s="1"/>
      <x:c r="T1911" s="1"/>
      <x:c r="U1911" s="1"/>
      <x:c r="V1911" s="1"/>
    </x:row>
    <x:row r="1912">
      <x:c r="A1912" s="1"/>
      <x:c r="B1912" s="1"/>
      <x:c r="C1912" s="1"/>
      <x:c r="D1912" s="1"/>
      <x:c r="E1912" s="1"/>
      <x:c r="F1912" s="1"/>
      <x:c r="G1912" s="1"/>
      <x:c r="H1912" s="1"/>
      <x:c r="I1912" s="1"/>
      <x:c r="J1912" s="1"/>
      <x:c r="K1912" s="1"/>
      <x:c r="L1912" s="1"/>
      <x:c r="M1912" s="1"/>
      <x:c r="N1912" s="1"/>
      <x:c r="O1912" s="1"/>
      <x:c r="P1912" s="1"/>
      <x:c r="Q1912" s="1"/>
      <x:c r="R1912" s="1"/>
      <x:c r="S1912" s="1"/>
      <x:c r="T1912" s="1"/>
      <x:c r="U1912" s="1"/>
      <x:c r="V1912" s="1"/>
    </x:row>
    <x:row r="1913">
      <x:c r="A1913" s="1"/>
      <x:c r="B1913" s="1"/>
      <x:c r="C1913" s="1"/>
      <x:c r="D1913" s="1"/>
      <x:c r="E1913" s="1"/>
      <x:c r="F1913" s="1"/>
      <x:c r="G1913" s="1"/>
      <x:c r="H1913" s="1"/>
      <x:c r="I1913" s="1"/>
      <x:c r="J1913" s="1"/>
      <x:c r="K1913" s="1"/>
      <x:c r="L1913" s="1"/>
      <x:c r="M1913" s="1"/>
      <x:c r="N1913" s="1"/>
      <x:c r="O1913" s="1"/>
      <x:c r="P1913" s="1"/>
      <x:c r="Q1913" s="1"/>
      <x:c r="R1913" s="1"/>
      <x:c r="S1913" s="1"/>
      <x:c r="T1913" s="1"/>
      <x:c r="U1913" s="1"/>
      <x:c r="V1913" s="1"/>
    </x:row>
    <x:row r="1914">
      <x:c r="A1914" s="1"/>
      <x:c r="B1914" s="1"/>
      <x:c r="C1914" s="1"/>
      <x:c r="D1914" s="1"/>
      <x:c r="E1914" s="1"/>
      <x:c r="F1914" s="1"/>
      <x:c r="G1914" s="1"/>
      <x:c r="H1914" s="1"/>
      <x:c r="I1914" s="1"/>
      <x:c r="J1914" s="1"/>
      <x:c r="K1914" s="1"/>
      <x:c r="L1914" s="1"/>
      <x:c r="M1914" s="1"/>
      <x:c r="N1914" s="1"/>
      <x:c r="O1914" s="1"/>
      <x:c r="P1914" s="1"/>
      <x:c r="Q1914" s="1"/>
      <x:c r="R1914" s="1"/>
      <x:c r="S1914" s="1"/>
      <x:c r="T1914" s="1"/>
      <x:c r="U1914" s="1"/>
      <x:c r="V1914" s="1"/>
    </x:row>
    <x:row r="1915">
      <x:c r="A1915" s="1"/>
      <x:c r="B1915" s="1"/>
      <x:c r="C1915" s="1"/>
      <x:c r="D1915" s="1"/>
      <x:c r="E1915" s="1"/>
      <x:c r="F1915" s="1"/>
      <x:c r="G1915" s="1"/>
      <x:c r="H1915" s="1"/>
      <x:c r="I1915" s="1"/>
      <x:c r="J1915" s="1"/>
      <x:c r="K1915" s="1"/>
      <x:c r="L1915" s="1"/>
      <x:c r="M1915" s="1"/>
      <x:c r="N1915" s="1"/>
      <x:c r="O1915" s="1"/>
      <x:c r="P1915" s="1"/>
      <x:c r="Q1915" s="1"/>
      <x:c r="R1915" s="1"/>
      <x:c r="S1915" s="1"/>
      <x:c r="T1915" s="1"/>
      <x:c r="U1915" s="1"/>
      <x:c r="V1915" s="1"/>
    </x:row>
    <x:row r="1916">
      <x:c r="A1916" s="1"/>
      <x:c r="B1916" s="1"/>
      <x:c r="C1916" s="1"/>
      <x:c r="D1916" s="1"/>
      <x:c r="E1916" s="1"/>
      <x:c r="F1916" s="1"/>
      <x:c r="G1916" s="1"/>
      <x:c r="H1916" s="1"/>
      <x:c r="I1916" s="1"/>
      <x:c r="J1916" s="1"/>
      <x:c r="K1916" s="1"/>
      <x:c r="L1916" s="1"/>
      <x:c r="M1916" s="1"/>
      <x:c r="N1916" s="1"/>
      <x:c r="O1916" s="1"/>
      <x:c r="P1916" s="1"/>
      <x:c r="Q1916" s="1"/>
      <x:c r="R1916" s="1"/>
      <x:c r="S1916" s="1"/>
      <x:c r="T1916" s="1"/>
      <x:c r="U1916" s="1"/>
      <x:c r="V1916" s="1"/>
    </x:row>
    <x:row r="1917">
      <x:c r="A1917" s="1"/>
      <x:c r="B1917" s="1"/>
      <x:c r="C1917" s="1"/>
      <x:c r="D1917" s="1"/>
      <x:c r="E1917" s="1"/>
      <x:c r="F1917" s="1"/>
      <x:c r="G1917" s="1"/>
      <x:c r="H1917" s="1"/>
      <x:c r="I1917" s="1"/>
      <x:c r="J1917" s="1"/>
      <x:c r="K1917" s="1"/>
      <x:c r="L1917" s="1"/>
      <x:c r="M1917" s="1"/>
      <x:c r="N1917" s="1"/>
      <x:c r="O1917" s="1"/>
      <x:c r="P1917" s="1"/>
      <x:c r="Q1917" s="1"/>
      <x:c r="R1917" s="1"/>
      <x:c r="S1917" s="1"/>
      <x:c r="T1917" s="1"/>
      <x:c r="U1917" s="1"/>
      <x:c r="V1917" s="1"/>
    </x:row>
    <x:row r="1918">
      <x:c r="A1918" s="1"/>
      <x:c r="B1918" s="1"/>
      <x:c r="C1918" s="1"/>
      <x:c r="D1918" s="1"/>
      <x:c r="E1918" s="1"/>
      <x:c r="F1918" s="1"/>
      <x:c r="G1918" s="1"/>
      <x:c r="H1918" s="1"/>
      <x:c r="I1918" s="1"/>
      <x:c r="J1918" s="1"/>
      <x:c r="K1918" s="1"/>
      <x:c r="L1918" s="1"/>
      <x:c r="M1918" s="1"/>
      <x:c r="N1918" s="1"/>
      <x:c r="O1918" s="1"/>
      <x:c r="P1918" s="1"/>
      <x:c r="Q1918" s="1"/>
      <x:c r="R1918" s="1"/>
      <x:c r="S1918" s="1"/>
      <x:c r="T1918" s="1"/>
      <x:c r="U1918" s="1"/>
      <x:c r="V1918" s="1"/>
    </x:row>
    <x:row r="1919">
      <x:c r="A1919" s="1"/>
      <x:c r="B1919" s="1"/>
      <x:c r="C1919" s="1"/>
      <x:c r="D1919" s="1"/>
      <x:c r="E1919" s="1"/>
      <x:c r="F1919" s="1"/>
      <x:c r="G1919" s="1"/>
      <x:c r="H1919" s="1"/>
      <x:c r="I1919" s="1"/>
      <x:c r="J1919" s="1"/>
      <x:c r="K1919" s="1"/>
      <x:c r="L1919" s="1"/>
      <x:c r="M1919" s="1"/>
      <x:c r="N1919" s="1"/>
      <x:c r="O1919" s="1"/>
      <x:c r="P1919" s="1"/>
      <x:c r="Q1919" s="1"/>
      <x:c r="R1919" s="1"/>
      <x:c r="S1919" s="1"/>
      <x:c r="T1919" s="1"/>
      <x:c r="U1919" s="1"/>
      <x:c r="V1919" s="1"/>
    </x:row>
    <x:row r="1920">
      <x:c r="A1920" s="1"/>
      <x:c r="B1920" s="1"/>
      <x:c r="C1920" s="1"/>
      <x:c r="D1920" s="1"/>
      <x:c r="E1920" s="1"/>
      <x:c r="F1920" s="1"/>
      <x:c r="G1920" s="1"/>
      <x:c r="H1920" s="1"/>
      <x:c r="I1920" s="1"/>
      <x:c r="J1920" s="1"/>
      <x:c r="K1920" s="1"/>
      <x:c r="L1920" s="1"/>
      <x:c r="M1920" s="1"/>
      <x:c r="N1920" s="1"/>
      <x:c r="O1920" s="1"/>
      <x:c r="P1920" s="1"/>
      <x:c r="Q1920" s="1"/>
      <x:c r="R1920" s="1"/>
      <x:c r="S1920" s="1"/>
      <x:c r="T1920" s="1"/>
      <x:c r="U1920" s="1"/>
      <x:c r="V1920" s="1"/>
    </x:row>
    <x:row r="1921">
      <x:c r="A1921" s="1"/>
      <x:c r="B1921" s="1"/>
      <x:c r="C1921" s="1"/>
      <x:c r="D1921" s="1"/>
      <x:c r="E1921" s="1"/>
      <x:c r="F1921" s="1"/>
      <x:c r="G1921" s="1"/>
      <x:c r="H1921" s="1"/>
      <x:c r="I1921" s="1"/>
      <x:c r="J1921" s="1"/>
      <x:c r="K1921" s="1"/>
      <x:c r="L1921" s="1"/>
      <x:c r="M1921" s="1"/>
      <x:c r="N1921" s="1"/>
      <x:c r="O1921" s="1"/>
      <x:c r="P1921" s="1"/>
      <x:c r="Q1921" s="1"/>
      <x:c r="R1921" s="1"/>
      <x:c r="S1921" s="1"/>
      <x:c r="T1921" s="1"/>
      <x:c r="U1921" s="1"/>
      <x:c r="V1921" s="1"/>
    </x:row>
    <x:row r="1922">
      <x:c r="A1922" s="1"/>
      <x:c r="B1922" s="1"/>
      <x:c r="C1922" s="1"/>
      <x:c r="D1922" s="1"/>
      <x:c r="E1922" s="1"/>
      <x:c r="F1922" s="1"/>
      <x:c r="G1922" s="1"/>
      <x:c r="H1922" s="1"/>
      <x:c r="I1922" s="1"/>
      <x:c r="J1922" s="1"/>
      <x:c r="K1922" s="1"/>
      <x:c r="L1922" s="1"/>
      <x:c r="M1922" s="1"/>
      <x:c r="N1922" s="1"/>
      <x:c r="O1922" s="1"/>
      <x:c r="P1922" s="1"/>
      <x:c r="Q1922" s="1"/>
      <x:c r="R1922" s="1"/>
      <x:c r="S1922" s="1"/>
      <x:c r="T1922" s="1"/>
      <x:c r="U1922" s="1"/>
      <x:c r="V1922" s="1"/>
    </x:row>
    <x:row r="1923">
      <x:c r="A1923" s="1"/>
      <x:c r="B1923" s="1"/>
      <x:c r="C1923" s="1"/>
      <x:c r="D1923" s="1"/>
      <x:c r="E1923" s="1"/>
      <x:c r="F1923" s="1"/>
      <x:c r="G1923" s="1"/>
      <x:c r="H1923" s="1"/>
      <x:c r="I1923" s="1"/>
      <x:c r="J1923" s="1"/>
      <x:c r="K1923" s="1"/>
      <x:c r="L1923" s="1"/>
      <x:c r="M1923" s="1"/>
      <x:c r="N1923" s="1"/>
      <x:c r="O1923" s="1"/>
      <x:c r="P1923" s="1"/>
      <x:c r="Q1923" s="1"/>
      <x:c r="R1923" s="1"/>
      <x:c r="S1923" s="1"/>
      <x:c r="T1923" s="1"/>
      <x:c r="U1923" s="1"/>
      <x:c r="V1923" s="1"/>
    </x:row>
    <x:row r="1924">
      <x:c r="A1924" s="1"/>
      <x:c r="B1924" s="1"/>
      <x:c r="C1924" s="1"/>
      <x:c r="D1924" s="1"/>
      <x:c r="E1924" s="1"/>
      <x:c r="F1924" s="1"/>
      <x:c r="G1924" s="1"/>
      <x:c r="H1924" s="1"/>
      <x:c r="I1924" s="1"/>
      <x:c r="J1924" s="1"/>
      <x:c r="K1924" s="1"/>
      <x:c r="L1924" s="1"/>
      <x:c r="M1924" s="1"/>
      <x:c r="N1924" s="1"/>
      <x:c r="O1924" s="1"/>
      <x:c r="P1924" s="1"/>
      <x:c r="Q1924" s="1"/>
      <x:c r="R1924" s="1"/>
      <x:c r="S1924" s="1"/>
      <x:c r="T1924" s="1"/>
      <x:c r="U1924" s="1"/>
      <x:c r="V1924" s="1"/>
    </x:row>
    <x:row r="1925">
      <x:c r="A1925" s="1"/>
      <x:c r="B1925" s="1"/>
      <x:c r="C1925" s="1"/>
      <x:c r="D1925" s="1"/>
      <x:c r="E1925" s="1"/>
      <x:c r="F1925" s="1"/>
      <x:c r="G1925" s="1"/>
      <x:c r="H1925" s="1"/>
      <x:c r="I1925" s="1"/>
      <x:c r="J1925" s="1"/>
      <x:c r="K1925" s="1"/>
      <x:c r="L1925" s="1"/>
      <x:c r="M1925" s="1"/>
      <x:c r="N1925" s="1"/>
      <x:c r="O1925" s="1"/>
      <x:c r="P1925" s="1"/>
      <x:c r="Q1925" s="1"/>
      <x:c r="R1925" s="1"/>
      <x:c r="S1925" s="1"/>
      <x:c r="T1925" s="1"/>
      <x:c r="U1925" s="1"/>
      <x:c r="V1925" s="1"/>
    </x:row>
    <x:row r="1926">
      <x:c r="A1926" s="1"/>
      <x:c r="B1926" s="1"/>
      <x:c r="C1926" s="1"/>
      <x:c r="D1926" s="1"/>
      <x:c r="E1926" s="1"/>
      <x:c r="F1926" s="1"/>
      <x:c r="G1926" s="1"/>
      <x:c r="H1926" s="1"/>
      <x:c r="I1926" s="1"/>
      <x:c r="J1926" s="1"/>
      <x:c r="K1926" s="1"/>
      <x:c r="L1926" s="1"/>
      <x:c r="M1926" s="1"/>
      <x:c r="N1926" s="1"/>
      <x:c r="O1926" s="1"/>
      <x:c r="P1926" s="1"/>
      <x:c r="Q1926" s="1"/>
      <x:c r="R1926" s="1"/>
      <x:c r="S1926" s="1"/>
      <x:c r="T1926" s="1"/>
      <x:c r="U1926" s="1"/>
      <x:c r="V1926" s="1"/>
    </x:row>
    <x:row r="1927">
      <x:c r="A1927" s="1"/>
      <x:c r="B1927" s="1"/>
      <x:c r="C1927" s="1"/>
      <x:c r="D1927" s="1"/>
      <x:c r="E1927" s="1"/>
      <x:c r="F1927" s="1"/>
      <x:c r="G1927" s="1"/>
      <x:c r="H1927" s="1"/>
      <x:c r="I1927" s="1"/>
      <x:c r="J1927" s="1"/>
      <x:c r="K1927" s="1"/>
      <x:c r="L1927" s="1"/>
      <x:c r="M1927" s="1"/>
      <x:c r="N1927" s="1"/>
      <x:c r="O1927" s="1"/>
      <x:c r="P1927" s="1"/>
      <x:c r="Q1927" s="1"/>
      <x:c r="R1927" s="1"/>
      <x:c r="S1927" s="1"/>
      <x:c r="T1927" s="1"/>
      <x:c r="U1927" s="1"/>
      <x:c r="V1927" s="1"/>
    </x:row>
    <x:row r="1928">
      <x:c r="A1928" s="1"/>
      <x:c r="B1928" s="1"/>
      <x:c r="C1928" s="1"/>
      <x:c r="D1928" s="1"/>
      <x:c r="E1928" s="1"/>
      <x:c r="F1928" s="1"/>
      <x:c r="G1928" s="1"/>
      <x:c r="H1928" s="1"/>
      <x:c r="I1928" s="1"/>
      <x:c r="J1928" s="1"/>
      <x:c r="K1928" s="1"/>
      <x:c r="L1928" s="1"/>
      <x:c r="M1928" s="1"/>
      <x:c r="N1928" s="1"/>
      <x:c r="O1928" s="1"/>
      <x:c r="P1928" s="1"/>
      <x:c r="Q1928" s="1"/>
      <x:c r="R1928" s="1"/>
      <x:c r="S1928" s="1"/>
      <x:c r="T1928" s="1"/>
      <x:c r="U1928" s="1"/>
      <x:c r="V1928" s="1"/>
    </x:row>
    <x:row r="1929">
      <x:c r="A1929" s="1"/>
      <x:c r="B1929" s="1"/>
      <x:c r="C1929" s="1"/>
      <x:c r="D1929" s="1"/>
      <x:c r="E1929" s="1"/>
      <x:c r="F1929" s="1"/>
      <x:c r="G1929" s="1"/>
      <x:c r="H1929" s="1"/>
      <x:c r="I1929" s="1"/>
      <x:c r="J1929" s="1"/>
      <x:c r="K1929" s="1"/>
      <x:c r="L1929" s="1"/>
      <x:c r="M1929" s="1"/>
      <x:c r="N1929" s="1"/>
      <x:c r="O1929" s="1"/>
      <x:c r="P1929" s="1"/>
      <x:c r="Q1929" s="1"/>
      <x:c r="R1929" s="1"/>
      <x:c r="S1929" s="1"/>
      <x:c r="T1929" s="1"/>
      <x:c r="U1929" s="1"/>
      <x:c r="V1929" s="1"/>
    </x:row>
    <x:row r="1930">
      <x:c r="A1930" s="1"/>
      <x:c r="B1930" s="1"/>
      <x:c r="C1930" s="1"/>
      <x:c r="D1930" s="1"/>
      <x:c r="E1930" s="1"/>
      <x:c r="F1930" s="1"/>
      <x:c r="G1930" s="1"/>
      <x:c r="H1930" s="1"/>
      <x:c r="I1930" s="1"/>
      <x:c r="J1930" s="1"/>
      <x:c r="K1930" s="1"/>
      <x:c r="L1930" s="1"/>
      <x:c r="M1930" s="1"/>
      <x:c r="N1930" s="1"/>
      <x:c r="O1930" s="1"/>
      <x:c r="P1930" s="1"/>
      <x:c r="Q1930" s="1"/>
      <x:c r="R1930" s="1"/>
      <x:c r="S1930" s="1"/>
      <x:c r="T1930" s="1"/>
      <x:c r="U1930" s="1"/>
      <x:c r="V1930" s="1"/>
    </x:row>
    <x:row r="1931">
      <x:c r="A1931" s="1"/>
      <x:c r="B1931" s="1"/>
      <x:c r="C1931" s="1"/>
      <x:c r="D1931" s="1"/>
      <x:c r="E1931" s="1"/>
      <x:c r="F1931" s="1"/>
      <x:c r="G1931" s="1"/>
      <x:c r="H1931" s="1"/>
      <x:c r="I1931" s="1"/>
      <x:c r="J1931" s="1"/>
      <x:c r="K1931" s="1"/>
      <x:c r="L1931" s="1"/>
      <x:c r="M1931" s="1"/>
      <x:c r="N1931" s="1"/>
      <x:c r="O1931" s="1"/>
      <x:c r="P1931" s="1"/>
      <x:c r="Q1931" s="1"/>
      <x:c r="R1931" s="1"/>
      <x:c r="S1931" s="1"/>
      <x:c r="T1931" s="1"/>
      <x:c r="U1931" s="1"/>
      <x:c r="V1931" s="1"/>
    </x:row>
    <x:row r="1932">
      <x:c r="A1932" s="1"/>
      <x:c r="B1932" s="1"/>
      <x:c r="C1932" s="1"/>
      <x:c r="D1932" s="1"/>
      <x:c r="E1932" s="1"/>
      <x:c r="F1932" s="1"/>
      <x:c r="G1932" s="1"/>
      <x:c r="H1932" s="1"/>
      <x:c r="I1932" s="1"/>
      <x:c r="J1932" s="1"/>
      <x:c r="K1932" s="1"/>
      <x:c r="L1932" s="1"/>
      <x:c r="M1932" s="1"/>
      <x:c r="N1932" s="1"/>
      <x:c r="O1932" s="1"/>
      <x:c r="P1932" s="1"/>
      <x:c r="Q1932" s="1"/>
      <x:c r="R1932" s="1"/>
      <x:c r="S1932" s="1"/>
      <x:c r="T1932" s="1"/>
      <x:c r="U1932" s="1"/>
      <x:c r="V1932" s="1"/>
    </x:row>
    <x:row r="1933">
      <x:c r="A1933" s="1"/>
      <x:c r="B1933" s="1"/>
      <x:c r="C1933" s="1"/>
      <x:c r="D1933" s="1"/>
      <x:c r="E1933" s="1"/>
      <x:c r="F1933" s="1"/>
      <x:c r="G1933" s="1"/>
      <x:c r="H1933" s="1"/>
      <x:c r="I1933" s="1"/>
      <x:c r="J1933" s="1"/>
      <x:c r="K1933" s="1"/>
      <x:c r="L1933" s="1"/>
      <x:c r="M1933" s="1"/>
      <x:c r="N1933" s="1"/>
      <x:c r="O1933" s="1"/>
      <x:c r="P1933" s="1"/>
      <x:c r="Q1933" s="1"/>
      <x:c r="R1933" s="1"/>
      <x:c r="S1933" s="1"/>
      <x:c r="T1933" s="1"/>
      <x:c r="U1933" s="1"/>
      <x:c r="V1933" s="1"/>
    </x:row>
    <x:row r="1934">
      <x:c r="A1934" s="1"/>
      <x:c r="B1934" s="1"/>
      <x:c r="C1934" s="1"/>
      <x:c r="D1934" s="1"/>
      <x:c r="E1934" s="1"/>
      <x:c r="F1934" s="1"/>
      <x:c r="G1934" s="1"/>
      <x:c r="H1934" s="1"/>
      <x:c r="I1934" s="1"/>
      <x:c r="J1934" s="1"/>
      <x:c r="K1934" s="1"/>
      <x:c r="L1934" s="1"/>
      <x:c r="M1934" s="1"/>
      <x:c r="N1934" s="1"/>
      <x:c r="O1934" s="1"/>
      <x:c r="P1934" s="1"/>
      <x:c r="Q1934" s="1"/>
      <x:c r="R1934" s="1"/>
      <x:c r="S1934" s="1"/>
      <x:c r="T1934" s="1"/>
      <x:c r="U1934" s="1"/>
      <x:c r="V1934" s="1"/>
    </x:row>
    <x:row r="1935">
      <x:c r="A1935" s="1"/>
      <x:c r="B1935" s="1"/>
      <x:c r="C1935" s="1"/>
      <x:c r="D1935" s="1"/>
      <x:c r="E1935" s="1"/>
      <x:c r="F1935" s="1"/>
      <x:c r="G1935" s="1"/>
      <x:c r="H1935" s="1"/>
      <x:c r="I1935" s="1"/>
      <x:c r="J1935" s="1"/>
      <x:c r="K1935" s="1"/>
      <x:c r="L1935" s="1"/>
      <x:c r="M1935" s="1"/>
      <x:c r="N1935" s="1"/>
      <x:c r="O1935" s="1"/>
      <x:c r="P1935" s="1"/>
      <x:c r="Q1935" s="1"/>
      <x:c r="R1935" s="1"/>
      <x:c r="S1935" s="1"/>
      <x:c r="T1935" s="1"/>
      <x:c r="U1935" s="1"/>
      <x:c r="V1935" s="1"/>
    </x:row>
    <x:row r="1936">
      <x:c r="A1936" s="1"/>
      <x:c r="B1936" s="1"/>
      <x:c r="C1936" s="1"/>
      <x:c r="D1936" s="1"/>
      <x:c r="E1936" s="1"/>
      <x:c r="F1936" s="1"/>
      <x:c r="G1936" s="1"/>
      <x:c r="H1936" s="1"/>
      <x:c r="I1936" s="1"/>
      <x:c r="J1936" s="1"/>
      <x:c r="K1936" s="1"/>
      <x:c r="L1936" s="1"/>
      <x:c r="M1936" s="1"/>
      <x:c r="N1936" s="1"/>
      <x:c r="O1936" s="1"/>
      <x:c r="P1936" s="1"/>
      <x:c r="Q1936" s="1"/>
      <x:c r="R1936" s="1"/>
      <x:c r="S1936" s="1"/>
      <x:c r="T1936" s="1"/>
      <x:c r="U1936" s="1"/>
      <x:c r="V1936" s="1"/>
    </x:row>
    <x:row r="1937">
      <x:c r="A1937" s="1"/>
      <x:c r="B1937" s="1"/>
      <x:c r="C1937" s="1"/>
      <x:c r="D1937" s="1"/>
      <x:c r="E1937" s="1"/>
      <x:c r="F1937" s="1"/>
      <x:c r="G1937" s="1"/>
      <x:c r="H1937" s="1"/>
      <x:c r="I1937" s="1"/>
      <x:c r="J1937" s="1"/>
      <x:c r="K1937" s="1"/>
      <x:c r="L1937" s="1"/>
      <x:c r="M1937" s="1"/>
      <x:c r="N1937" s="1"/>
      <x:c r="O1937" s="1"/>
      <x:c r="P1937" s="1"/>
      <x:c r="Q1937" s="1"/>
      <x:c r="R1937" s="1"/>
      <x:c r="S1937" s="1"/>
      <x:c r="T1937" s="1"/>
      <x:c r="U1937" s="1"/>
      <x:c r="V1937" s="1"/>
    </x:row>
    <x:row r="1938">
      <x:c r="A1938" s="1"/>
      <x:c r="B1938" s="1"/>
      <x:c r="C1938" s="1"/>
      <x:c r="D1938" s="1"/>
      <x:c r="E1938" s="1"/>
      <x:c r="F1938" s="1"/>
      <x:c r="G1938" s="1"/>
      <x:c r="H1938" s="1"/>
      <x:c r="I1938" s="1"/>
      <x:c r="J1938" s="1"/>
      <x:c r="K1938" s="1"/>
      <x:c r="L1938" s="1"/>
      <x:c r="M1938" s="1"/>
      <x:c r="N1938" s="1"/>
      <x:c r="O1938" s="1"/>
      <x:c r="P1938" s="1"/>
      <x:c r="Q1938" s="1"/>
      <x:c r="R1938" s="1"/>
      <x:c r="S1938" s="1"/>
      <x:c r="T1938" s="1"/>
      <x:c r="U1938" s="1"/>
      <x:c r="V1938" s="1"/>
    </x:row>
    <x:row r="1939">
      <x:c r="A1939" s="1"/>
      <x:c r="B1939" s="1"/>
      <x:c r="C1939" s="1"/>
      <x:c r="D1939" s="1"/>
      <x:c r="E1939" s="1"/>
      <x:c r="F1939" s="1"/>
      <x:c r="G1939" s="1"/>
      <x:c r="H1939" s="1"/>
      <x:c r="I1939" s="1"/>
      <x:c r="J1939" s="1"/>
      <x:c r="K1939" s="1"/>
      <x:c r="L1939" s="1"/>
      <x:c r="M1939" s="1"/>
      <x:c r="N1939" s="1"/>
      <x:c r="O1939" s="1"/>
      <x:c r="P1939" s="1"/>
      <x:c r="Q1939" s="1"/>
      <x:c r="R1939" s="1"/>
      <x:c r="S1939" s="1"/>
      <x:c r="T1939" s="1"/>
      <x:c r="U1939" s="1"/>
      <x:c r="V1939" s="1"/>
    </x:row>
    <x:row r="1940">
      <x:c r="A1940" s="1"/>
      <x:c r="B1940" s="1"/>
      <x:c r="C1940" s="1"/>
      <x:c r="D1940" s="1"/>
      <x:c r="E1940" s="1"/>
      <x:c r="F1940" s="1"/>
      <x:c r="G1940" s="1"/>
      <x:c r="H1940" s="1"/>
      <x:c r="I1940" s="1"/>
      <x:c r="J1940" s="1"/>
      <x:c r="K1940" s="1"/>
      <x:c r="L1940" s="1"/>
      <x:c r="M1940" s="1"/>
      <x:c r="N1940" s="1"/>
      <x:c r="O1940" s="1"/>
      <x:c r="P1940" s="1"/>
      <x:c r="Q1940" s="1"/>
      <x:c r="R1940" s="1"/>
      <x:c r="S1940" s="1"/>
      <x:c r="T1940" s="1"/>
      <x:c r="U1940" s="1"/>
      <x:c r="V1940" s="1"/>
    </x:row>
    <x:row r="1941">
      <x:c r="A1941" s="1"/>
      <x:c r="B1941" s="1"/>
      <x:c r="C1941" s="1"/>
      <x:c r="D1941" s="1"/>
      <x:c r="E1941" s="1"/>
      <x:c r="F1941" s="1"/>
      <x:c r="G1941" s="1"/>
      <x:c r="H1941" s="1"/>
      <x:c r="I1941" s="1"/>
      <x:c r="J1941" s="1"/>
      <x:c r="K1941" s="1"/>
      <x:c r="L1941" s="1"/>
      <x:c r="M1941" s="1"/>
      <x:c r="N1941" s="1"/>
      <x:c r="O1941" s="1"/>
      <x:c r="P1941" s="1"/>
      <x:c r="Q1941" s="1"/>
      <x:c r="R1941" s="1"/>
      <x:c r="S1941" s="1"/>
      <x:c r="T1941" s="1"/>
      <x:c r="U1941" s="1"/>
      <x:c r="V1941" s="1"/>
    </x:row>
    <x:row r="1942">
      <x:c r="A1942" s="1"/>
      <x:c r="B1942" s="1"/>
      <x:c r="C1942" s="1"/>
      <x:c r="D1942" s="1"/>
      <x:c r="E1942" s="1"/>
      <x:c r="F1942" s="1"/>
      <x:c r="G1942" s="1"/>
      <x:c r="H1942" s="1"/>
      <x:c r="I1942" s="1"/>
      <x:c r="J1942" s="1"/>
      <x:c r="K1942" s="1"/>
      <x:c r="L1942" s="1"/>
      <x:c r="M1942" s="1"/>
      <x:c r="N1942" s="1"/>
      <x:c r="O1942" s="1"/>
      <x:c r="P1942" s="1"/>
      <x:c r="Q1942" s="1"/>
      <x:c r="R1942" s="1"/>
      <x:c r="S1942" s="1"/>
      <x:c r="T1942" s="1"/>
      <x:c r="U1942" s="1"/>
      <x:c r="V1942" s="1"/>
    </x:row>
    <x:row r="1943">
      <x:c r="A1943" s="1"/>
      <x:c r="B1943" s="1"/>
      <x:c r="C1943" s="1"/>
      <x:c r="D1943" s="1"/>
      <x:c r="E1943" s="1"/>
      <x:c r="F1943" s="1"/>
      <x:c r="G1943" s="1"/>
      <x:c r="H1943" s="1"/>
      <x:c r="I1943" s="1"/>
      <x:c r="J1943" s="1"/>
      <x:c r="K1943" s="1"/>
      <x:c r="L1943" s="1"/>
      <x:c r="M1943" s="1"/>
      <x:c r="N1943" s="1"/>
      <x:c r="O1943" s="1"/>
      <x:c r="P1943" s="1"/>
      <x:c r="Q1943" s="1"/>
      <x:c r="R1943" s="1"/>
      <x:c r="S1943" s="1"/>
      <x:c r="T1943" s="1"/>
      <x:c r="U1943" s="1"/>
      <x:c r="V1943" s="1"/>
    </x:row>
    <x:row r="1944">
      <x:c r="A1944" s="1"/>
      <x:c r="B1944" s="1"/>
      <x:c r="C1944" s="1"/>
      <x:c r="D1944" s="1"/>
      <x:c r="E1944" s="1"/>
      <x:c r="F1944" s="1"/>
      <x:c r="G1944" s="1"/>
      <x:c r="H1944" s="1"/>
      <x:c r="I1944" s="1"/>
      <x:c r="J1944" s="1"/>
      <x:c r="K1944" s="1"/>
      <x:c r="L1944" s="1"/>
      <x:c r="M1944" s="1"/>
      <x:c r="N1944" s="1"/>
      <x:c r="O1944" s="1"/>
      <x:c r="P1944" s="1"/>
      <x:c r="Q1944" s="1"/>
      <x:c r="R1944" s="1"/>
      <x:c r="S1944" s="1"/>
      <x:c r="T1944" s="1"/>
      <x:c r="U1944" s="1"/>
      <x:c r="V1944" s="1"/>
    </x:row>
    <x:row r="1945">
      <x:c r="A1945" s="1"/>
      <x:c r="B1945" s="1"/>
      <x:c r="C1945" s="1"/>
      <x:c r="D1945" s="1"/>
      <x:c r="E1945" s="1"/>
      <x:c r="F1945" s="1"/>
      <x:c r="G1945" s="1"/>
      <x:c r="H1945" s="1"/>
      <x:c r="I1945" s="1"/>
      <x:c r="J1945" s="1"/>
      <x:c r="K1945" s="1"/>
      <x:c r="L1945" s="1"/>
      <x:c r="M1945" s="1"/>
      <x:c r="N1945" s="1"/>
      <x:c r="O1945" s="1"/>
      <x:c r="P1945" s="1"/>
      <x:c r="Q1945" s="1"/>
      <x:c r="R1945" s="1"/>
      <x:c r="S1945" s="1"/>
      <x:c r="T1945" s="1"/>
      <x:c r="U1945" s="1"/>
      <x:c r="V1945" s="1"/>
    </x:row>
    <x:row r="1946">
      <x:c r="A1946" s="1"/>
      <x:c r="B1946" s="1"/>
      <x:c r="C1946" s="1"/>
      <x:c r="D1946" s="1"/>
      <x:c r="E1946" s="1"/>
      <x:c r="F1946" s="1"/>
      <x:c r="G1946" s="1"/>
      <x:c r="H1946" s="1"/>
      <x:c r="I1946" s="1"/>
      <x:c r="J1946" s="1"/>
      <x:c r="K1946" s="1"/>
      <x:c r="L1946" s="1"/>
      <x:c r="M1946" s="1"/>
      <x:c r="N1946" s="1"/>
      <x:c r="O1946" s="1"/>
      <x:c r="P1946" s="1"/>
      <x:c r="Q1946" s="1"/>
      <x:c r="R1946" s="1"/>
      <x:c r="S1946" s="1"/>
      <x:c r="T1946" s="1"/>
      <x:c r="U1946" s="1"/>
      <x:c r="V1946" s="1"/>
    </x:row>
    <x:row r="1947">
      <x:c r="A1947" s="1"/>
      <x:c r="B1947" s="1"/>
      <x:c r="C1947" s="1"/>
      <x:c r="D1947" s="1"/>
      <x:c r="E1947" s="1"/>
      <x:c r="F1947" s="1"/>
      <x:c r="G1947" s="1"/>
      <x:c r="H1947" s="1"/>
      <x:c r="I1947" s="1"/>
      <x:c r="J1947" s="1"/>
      <x:c r="K1947" s="1"/>
      <x:c r="L1947" s="1"/>
      <x:c r="M1947" s="1"/>
      <x:c r="N1947" s="1"/>
      <x:c r="O1947" s="1"/>
      <x:c r="P1947" s="1"/>
      <x:c r="Q1947" s="1"/>
      <x:c r="R1947" s="1"/>
      <x:c r="S1947" s="1"/>
      <x:c r="T1947" s="1"/>
      <x:c r="U1947" s="1"/>
      <x:c r="V1947" s="1"/>
    </x:row>
    <x:row r="1948">
      <x:c r="A1948" s="1"/>
      <x:c r="B1948" s="1"/>
      <x:c r="C1948" s="1"/>
      <x:c r="D1948" s="1"/>
      <x:c r="E1948" s="1"/>
      <x:c r="F1948" s="1"/>
      <x:c r="G1948" s="1"/>
      <x:c r="H1948" s="1"/>
      <x:c r="I1948" s="1"/>
      <x:c r="J1948" s="1"/>
      <x:c r="K1948" s="1"/>
      <x:c r="L1948" s="1"/>
      <x:c r="M1948" s="1"/>
      <x:c r="N1948" s="1"/>
      <x:c r="O1948" s="1"/>
      <x:c r="P1948" s="1"/>
      <x:c r="Q1948" s="1"/>
      <x:c r="R1948" s="1"/>
      <x:c r="S1948" s="1"/>
      <x:c r="T1948" s="1"/>
      <x:c r="U1948" s="1"/>
      <x:c r="V1948" s="1"/>
    </x:row>
    <x:row r="1949">
      <x:c r="A1949" s="1"/>
      <x:c r="B1949" s="1"/>
      <x:c r="C1949" s="1"/>
      <x:c r="D1949" s="1"/>
      <x:c r="E1949" s="1"/>
      <x:c r="F1949" s="1"/>
      <x:c r="G1949" s="1"/>
      <x:c r="H1949" s="1"/>
      <x:c r="I1949" s="1"/>
      <x:c r="J1949" s="1"/>
      <x:c r="K1949" s="1"/>
      <x:c r="L1949" s="1"/>
      <x:c r="M1949" s="1"/>
      <x:c r="N1949" s="1"/>
      <x:c r="O1949" s="1"/>
      <x:c r="P1949" s="1"/>
      <x:c r="Q1949" s="1"/>
      <x:c r="R1949" s="1"/>
      <x:c r="S1949" s="1"/>
      <x:c r="T1949" s="1"/>
      <x:c r="U1949" s="1"/>
      <x:c r="V1949" s="1"/>
    </x:row>
    <x:row r="1950">
      <x:c r="A1950" s="1"/>
      <x:c r="B1950" s="1"/>
      <x:c r="C1950" s="1"/>
      <x:c r="D1950" s="1"/>
      <x:c r="E1950" s="1"/>
      <x:c r="F1950" s="1"/>
      <x:c r="G1950" s="1"/>
      <x:c r="H1950" s="1"/>
      <x:c r="I1950" s="1"/>
      <x:c r="J1950" s="1"/>
      <x:c r="K1950" s="1"/>
      <x:c r="L1950" s="1"/>
      <x:c r="M1950" s="1"/>
      <x:c r="N1950" s="1"/>
      <x:c r="O1950" s="1"/>
      <x:c r="P1950" s="1"/>
      <x:c r="Q1950" s="1"/>
      <x:c r="R1950" s="1"/>
      <x:c r="S1950" s="1"/>
      <x:c r="T1950" s="1"/>
      <x:c r="U1950" s="1"/>
      <x:c r="V1950" s="1"/>
    </x:row>
    <x:row r="1951">
      <x:c r="A1951" s="1"/>
      <x:c r="B1951" s="1"/>
      <x:c r="C1951" s="1"/>
      <x:c r="D1951" s="1"/>
      <x:c r="E1951" s="1"/>
      <x:c r="F1951" s="1"/>
      <x:c r="G1951" s="1"/>
      <x:c r="H1951" s="1"/>
      <x:c r="I1951" s="1"/>
      <x:c r="J1951" s="1"/>
      <x:c r="K1951" s="1"/>
      <x:c r="L1951" s="1"/>
      <x:c r="M1951" s="1"/>
      <x:c r="N1951" s="1"/>
      <x:c r="O1951" s="1"/>
      <x:c r="P1951" s="1"/>
      <x:c r="Q1951" s="1"/>
      <x:c r="R1951" s="1"/>
      <x:c r="S1951" s="1"/>
      <x:c r="T1951" s="1"/>
      <x:c r="U1951" s="1"/>
      <x:c r="V1951" s="1"/>
    </x:row>
    <x:row r="1952">
      <x:c r="A1952" s="1"/>
      <x:c r="B1952" s="1"/>
      <x:c r="C1952" s="1"/>
      <x:c r="D1952" s="1"/>
      <x:c r="E1952" s="1"/>
      <x:c r="F1952" s="1"/>
      <x:c r="G1952" s="1"/>
      <x:c r="H1952" s="1"/>
      <x:c r="I1952" s="1"/>
      <x:c r="J1952" s="1"/>
      <x:c r="K1952" s="1"/>
      <x:c r="L1952" s="1"/>
      <x:c r="M1952" s="1"/>
      <x:c r="N1952" s="1"/>
      <x:c r="O1952" s="1"/>
      <x:c r="P1952" s="1"/>
      <x:c r="Q1952" s="1"/>
      <x:c r="R1952" s="1"/>
      <x:c r="S1952" s="1"/>
      <x:c r="T1952" s="1"/>
      <x:c r="U1952" s="1"/>
      <x:c r="V1952" s="1"/>
    </x:row>
    <x:row r="1953">
      <x:c r="A1953" s="1"/>
      <x:c r="B1953" s="1"/>
      <x:c r="C1953" s="1"/>
      <x:c r="D1953" s="1"/>
      <x:c r="E1953" s="1"/>
      <x:c r="F1953" s="1"/>
      <x:c r="G1953" s="1"/>
      <x:c r="H1953" s="1"/>
      <x:c r="I1953" s="1"/>
      <x:c r="J1953" s="1"/>
      <x:c r="K1953" s="1"/>
      <x:c r="L1953" s="1"/>
      <x:c r="M1953" s="1"/>
      <x:c r="N1953" s="1"/>
      <x:c r="O1953" s="1"/>
      <x:c r="P1953" s="1"/>
      <x:c r="Q1953" s="1"/>
      <x:c r="R1953" s="1"/>
      <x:c r="S1953" s="1"/>
      <x:c r="T1953" s="1"/>
      <x:c r="U1953" s="1"/>
      <x:c r="V1953" s="1"/>
    </x:row>
    <x:row r="1954">
      <x:c r="A1954" s="1"/>
      <x:c r="B1954" s="1"/>
      <x:c r="C1954" s="1"/>
      <x:c r="D1954" s="1"/>
      <x:c r="E1954" s="1"/>
      <x:c r="F1954" s="1"/>
      <x:c r="G1954" s="1"/>
      <x:c r="H1954" s="1"/>
      <x:c r="I1954" s="1"/>
      <x:c r="J1954" s="1"/>
      <x:c r="K1954" s="1"/>
      <x:c r="L1954" s="1"/>
      <x:c r="M1954" s="1"/>
      <x:c r="N1954" s="1"/>
      <x:c r="O1954" s="1"/>
      <x:c r="P1954" s="1"/>
      <x:c r="Q1954" s="1"/>
      <x:c r="R1954" s="1"/>
      <x:c r="S1954" s="1"/>
      <x:c r="T1954" s="1"/>
      <x:c r="U1954" s="1"/>
      <x:c r="V1954" s="1"/>
    </x:row>
    <x:row r="1955">
      <x:c r="A1955" s="1"/>
      <x:c r="B1955" s="1"/>
      <x:c r="C1955" s="1"/>
      <x:c r="D1955" s="1"/>
      <x:c r="E1955" s="1"/>
      <x:c r="F1955" s="1"/>
      <x:c r="G1955" s="1"/>
      <x:c r="H1955" s="1"/>
      <x:c r="I1955" s="1"/>
      <x:c r="J1955" s="1"/>
      <x:c r="K1955" s="1"/>
      <x:c r="L1955" s="1"/>
      <x:c r="M1955" s="1"/>
      <x:c r="N1955" s="1"/>
      <x:c r="O1955" s="1"/>
      <x:c r="P1955" s="1"/>
      <x:c r="Q1955" s="1"/>
      <x:c r="R1955" s="1"/>
      <x:c r="S1955" s="1"/>
      <x:c r="T1955" s="1"/>
      <x:c r="U1955" s="1"/>
      <x:c r="V1955" s="1"/>
    </x:row>
    <x:row r="1956">
      <x:c r="A1956" s="1"/>
      <x:c r="B1956" s="1"/>
      <x:c r="C1956" s="1"/>
      <x:c r="D1956" s="1"/>
      <x:c r="E1956" s="1"/>
      <x:c r="F1956" s="1"/>
      <x:c r="G1956" s="1"/>
      <x:c r="H1956" s="1"/>
      <x:c r="I1956" s="1"/>
      <x:c r="J1956" s="1"/>
      <x:c r="K1956" s="1"/>
      <x:c r="L1956" s="1"/>
      <x:c r="M1956" s="1"/>
      <x:c r="N1956" s="1"/>
      <x:c r="O1956" s="1"/>
      <x:c r="P1956" s="1"/>
      <x:c r="Q1956" s="1"/>
      <x:c r="R1956" s="1"/>
      <x:c r="S1956" s="1"/>
      <x:c r="T1956" s="1"/>
      <x:c r="U1956" s="1"/>
      <x:c r="V1956" s="1"/>
    </x:row>
    <x:row r="1957">
      <x:c r="A1957" s="1"/>
      <x:c r="B1957" s="1"/>
      <x:c r="C1957" s="1"/>
      <x:c r="D1957" s="1"/>
      <x:c r="E1957" s="1"/>
      <x:c r="F1957" s="1"/>
      <x:c r="G1957" s="1"/>
      <x:c r="H1957" s="1"/>
      <x:c r="I1957" s="1"/>
      <x:c r="J1957" s="1"/>
      <x:c r="K1957" s="1"/>
      <x:c r="L1957" s="1"/>
      <x:c r="M1957" s="1"/>
      <x:c r="N1957" s="1"/>
      <x:c r="O1957" s="1"/>
      <x:c r="P1957" s="1"/>
      <x:c r="Q1957" s="1"/>
      <x:c r="R1957" s="1"/>
      <x:c r="S1957" s="1"/>
      <x:c r="T1957" s="1"/>
      <x:c r="U1957" s="1"/>
      <x:c r="V1957" s="1"/>
    </x:row>
    <x:row r="1958">
      <x:c r="A1958" s="1"/>
      <x:c r="B1958" s="1"/>
      <x:c r="C1958" s="1"/>
      <x:c r="D1958" s="1"/>
      <x:c r="E1958" s="1"/>
      <x:c r="F1958" s="1"/>
      <x:c r="G1958" s="1"/>
      <x:c r="H1958" s="1"/>
      <x:c r="I1958" s="1"/>
      <x:c r="J1958" s="1"/>
      <x:c r="K1958" s="1"/>
      <x:c r="L1958" s="1"/>
      <x:c r="M1958" s="1"/>
      <x:c r="N1958" s="1"/>
      <x:c r="O1958" s="1"/>
      <x:c r="P1958" s="1"/>
      <x:c r="Q1958" s="1"/>
      <x:c r="R1958" s="1"/>
      <x:c r="S1958" s="1"/>
      <x:c r="T1958" s="1"/>
      <x:c r="U1958" s="1"/>
      <x:c r="V1958" s="1"/>
    </x:row>
    <x:row r="1959">
      <x:c r="A1959" s="1"/>
      <x:c r="B1959" s="1"/>
      <x:c r="C1959" s="1"/>
      <x:c r="D1959" s="1"/>
      <x:c r="E1959" s="1"/>
      <x:c r="F1959" s="1"/>
      <x:c r="G1959" s="1"/>
      <x:c r="H1959" s="1"/>
      <x:c r="I1959" s="1"/>
      <x:c r="J1959" s="1"/>
      <x:c r="K1959" s="1"/>
      <x:c r="L1959" s="1"/>
      <x:c r="M1959" s="1"/>
      <x:c r="N1959" s="1"/>
      <x:c r="O1959" s="1"/>
      <x:c r="P1959" s="1"/>
      <x:c r="Q1959" s="1"/>
      <x:c r="R1959" s="1"/>
      <x:c r="S1959" s="1"/>
      <x:c r="T1959" s="1"/>
      <x:c r="U1959" s="1"/>
      <x:c r="V1959" s="1"/>
    </x:row>
    <x:row r="1960">
      <x:c r="A1960" s="1"/>
      <x:c r="B1960" s="1"/>
      <x:c r="C1960" s="1"/>
      <x:c r="D1960" s="1"/>
      <x:c r="E1960" s="1"/>
      <x:c r="F1960" s="1"/>
      <x:c r="G1960" s="1"/>
      <x:c r="H1960" s="1"/>
      <x:c r="I1960" s="1"/>
      <x:c r="J1960" s="1"/>
      <x:c r="K1960" s="1"/>
      <x:c r="L1960" s="1"/>
      <x:c r="M1960" s="1"/>
      <x:c r="N1960" s="1"/>
      <x:c r="O1960" s="1"/>
      <x:c r="P1960" s="1"/>
      <x:c r="Q1960" s="1"/>
      <x:c r="R1960" s="1"/>
      <x:c r="S1960" s="1"/>
      <x:c r="T1960" s="1"/>
      <x:c r="U1960" s="1"/>
      <x:c r="V1960" s="1"/>
    </x:row>
    <x:row r="1961">
      <x:c r="A1961" s="1"/>
      <x:c r="B1961" s="1"/>
      <x:c r="C1961" s="1"/>
      <x:c r="D1961" s="1"/>
      <x:c r="E1961" s="1"/>
      <x:c r="F1961" s="1"/>
      <x:c r="G1961" s="1"/>
      <x:c r="H1961" s="1"/>
      <x:c r="I1961" s="1"/>
      <x:c r="J1961" s="1"/>
      <x:c r="K1961" s="1"/>
      <x:c r="L1961" s="1"/>
      <x:c r="M1961" s="1"/>
      <x:c r="N1961" s="1"/>
      <x:c r="O1961" s="1"/>
      <x:c r="P1961" s="1"/>
      <x:c r="Q1961" s="1"/>
      <x:c r="R1961" s="1"/>
      <x:c r="S1961" s="1"/>
      <x:c r="T1961" s="1"/>
      <x:c r="U1961" s="1"/>
      <x:c r="V1961" s="1"/>
    </x:row>
    <x:row r="1962">
      <x:c r="A1962" s="1"/>
      <x:c r="B1962" s="1"/>
      <x:c r="C1962" s="1"/>
      <x:c r="D1962" s="1"/>
      <x:c r="E1962" s="1"/>
      <x:c r="F1962" s="1"/>
      <x:c r="G1962" s="1"/>
      <x:c r="H1962" s="1"/>
      <x:c r="I1962" s="1"/>
      <x:c r="J1962" s="1"/>
      <x:c r="K1962" s="1"/>
      <x:c r="L1962" s="1"/>
      <x:c r="M1962" s="1"/>
      <x:c r="N1962" s="1"/>
      <x:c r="O1962" s="1"/>
      <x:c r="P1962" s="1"/>
      <x:c r="Q1962" s="1"/>
      <x:c r="R1962" s="1"/>
      <x:c r="S1962" s="1"/>
      <x:c r="T1962" s="1"/>
      <x:c r="U1962" s="1"/>
      <x:c r="V1962" s="1"/>
    </x:row>
    <x:row r="1963">
      <x:c r="A1963" s="1"/>
      <x:c r="B1963" s="1"/>
      <x:c r="C1963" s="1"/>
      <x:c r="D1963" s="1"/>
      <x:c r="E1963" s="1"/>
      <x:c r="F1963" s="1"/>
      <x:c r="G1963" s="1"/>
      <x:c r="H1963" s="1"/>
      <x:c r="I1963" s="1"/>
      <x:c r="J1963" s="1"/>
      <x:c r="K1963" s="1"/>
      <x:c r="L1963" s="1"/>
      <x:c r="M1963" s="1"/>
      <x:c r="N1963" s="1"/>
      <x:c r="O1963" s="1"/>
      <x:c r="P1963" s="1"/>
      <x:c r="Q1963" s="1"/>
      <x:c r="R1963" s="1"/>
      <x:c r="S1963" s="1"/>
      <x:c r="T1963" s="1"/>
      <x:c r="U1963" s="1"/>
      <x:c r="V1963" s="1"/>
    </x:row>
    <x:row r="1964">
      <x:c r="A1964" s="1"/>
      <x:c r="B1964" s="1"/>
      <x:c r="C1964" s="1"/>
      <x:c r="D1964" s="1"/>
      <x:c r="E1964" s="1"/>
      <x:c r="F1964" s="1"/>
      <x:c r="G1964" s="1"/>
      <x:c r="H1964" s="1"/>
      <x:c r="I1964" s="1"/>
      <x:c r="J1964" s="1"/>
      <x:c r="K1964" s="1"/>
      <x:c r="L1964" s="1"/>
      <x:c r="M1964" s="1"/>
      <x:c r="N1964" s="1"/>
      <x:c r="O1964" s="1"/>
      <x:c r="P1964" s="1"/>
      <x:c r="Q1964" s="1"/>
      <x:c r="R1964" s="1"/>
      <x:c r="S1964" s="1"/>
      <x:c r="T1964" s="1"/>
      <x:c r="U1964" s="1"/>
      <x:c r="V1964" s="1"/>
    </x:row>
    <x:row r="1965">
      <x:c r="A1965" s="1"/>
      <x:c r="B1965" s="1"/>
      <x:c r="C1965" s="1"/>
      <x:c r="D1965" s="1"/>
      <x:c r="E1965" s="1"/>
      <x:c r="F1965" s="1"/>
      <x:c r="G1965" s="1"/>
      <x:c r="H1965" s="1"/>
      <x:c r="I1965" s="1"/>
      <x:c r="J1965" s="1"/>
      <x:c r="K1965" s="1"/>
      <x:c r="L1965" s="1"/>
      <x:c r="M1965" s="1"/>
      <x:c r="N1965" s="1"/>
      <x:c r="O1965" s="1"/>
      <x:c r="P1965" s="1"/>
      <x:c r="Q1965" s="1"/>
      <x:c r="R1965" s="1"/>
      <x:c r="S1965" s="1"/>
      <x:c r="T1965" s="1"/>
      <x:c r="U1965" s="1"/>
      <x:c r="V1965" s="1"/>
    </x:row>
    <x:row r="1966">
      <x:c r="A1966" s="1"/>
      <x:c r="B1966" s="1"/>
      <x:c r="C1966" s="1"/>
      <x:c r="D1966" s="1"/>
      <x:c r="E1966" s="1"/>
      <x:c r="F1966" s="1"/>
      <x:c r="G1966" s="1"/>
      <x:c r="H1966" s="1"/>
      <x:c r="I1966" s="1"/>
      <x:c r="J1966" s="1"/>
      <x:c r="K1966" s="1"/>
      <x:c r="L1966" s="1"/>
      <x:c r="M1966" s="1"/>
      <x:c r="N1966" s="1"/>
      <x:c r="O1966" s="1"/>
      <x:c r="P1966" s="1"/>
      <x:c r="Q1966" s="1"/>
      <x:c r="R1966" s="1"/>
      <x:c r="S1966" s="1"/>
      <x:c r="T1966" s="1"/>
      <x:c r="U1966" s="1"/>
      <x:c r="V1966" s="1"/>
    </x:row>
    <x:row r="1967">
      <x:c r="A1967" s="1"/>
      <x:c r="B1967" s="1"/>
      <x:c r="C1967" s="1"/>
      <x:c r="D1967" s="1"/>
      <x:c r="E1967" s="1"/>
      <x:c r="F1967" s="1"/>
      <x:c r="G1967" s="1"/>
      <x:c r="H1967" s="1"/>
      <x:c r="I1967" s="1"/>
      <x:c r="J1967" s="1"/>
      <x:c r="K1967" s="1"/>
      <x:c r="L1967" s="1"/>
      <x:c r="M1967" s="1"/>
      <x:c r="N1967" s="1"/>
      <x:c r="O1967" s="1"/>
      <x:c r="P1967" s="1"/>
      <x:c r="Q1967" s="1"/>
      <x:c r="R1967" s="1"/>
      <x:c r="S1967" s="1"/>
      <x:c r="T1967" s="1"/>
      <x:c r="U1967" s="1"/>
      <x:c r="V1967" s="1"/>
    </x:row>
    <x:row r="1968">
      <x:c r="A1968" s="1"/>
      <x:c r="B1968" s="1"/>
      <x:c r="C1968" s="1"/>
      <x:c r="D1968" s="1"/>
      <x:c r="E1968" s="1"/>
      <x:c r="F1968" s="1"/>
      <x:c r="G1968" s="1"/>
      <x:c r="H1968" s="1"/>
      <x:c r="I1968" s="1"/>
      <x:c r="J1968" s="1"/>
      <x:c r="K1968" s="1"/>
      <x:c r="L1968" s="1"/>
      <x:c r="M1968" s="1"/>
      <x:c r="N1968" s="1"/>
      <x:c r="O1968" s="1"/>
      <x:c r="P1968" s="1"/>
      <x:c r="Q1968" s="1"/>
      <x:c r="R1968" s="1"/>
      <x:c r="S1968" s="1"/>
      <x:c r="T1968" s="1"/>
      <x:c r="U1968" s="1"/>
      <x:c r="V1968" s="1"/>
    </x:row>
    <x:row r="1969">
      <x:c r="A1969" s="1"/>
      <x:c r="B1969" s="1"/>
      <x:c r="C1969" s="1"/>
      <x:c r="D1969" s="1"/>
      <x:c r="E1969" s="1"/>
      <x:c r="F1969" s="1"/>
      <x:c r="G1969" s="1"/>
      <x:c r="H1969" s="1"/>
      <x:c r="I1969" s="1"/>
      <x:c r="J1969" s="1"/>
      <x:c r="K1969" s="1"/>
      <x:c r="L1969" s="1"/>
      <x:c r="M1969" s="1"/>
      <x:c r="N1969" s="1"/>
      <x:c r="O1969" s="1"/>
      <x:c r="P1969" s="1"/>
      <x:c r="Q1969" s="1"/>
      <x:c r="R1969" s="1"/>
      <x:c r="S1969" s="1"/>
      <x:c r="T1969" s="1"/>
      <x:c r="U1969" s="1"/>
      <x:c r="V1969" s="1"/>
    </x:row>
    <x:row r="1970">
      <x:c r="A1970" s="1"/>
      <x:c r="B1970" s="1"/>
      <x:c r="C1970" s="1"/>
      <x:c r="D1970" s="1"/>
      <x:c r="E1970" s="1"/>
      <x:c r="F1970" s="1"/>
      <x:c r="G1970" s="1"/>
      <x:c r="H1970" s="1"/>
      <x:c r="I1970" s="1"/>
      <x:c r="J1970" s="1"/>
      <x:c r="K1970" s="1"/>
      <x:c r="L1970" s="1"/>
      <x:c r="M1970" s="1"/>
      <x:c r="N1970" s="1"/>
      <x:c r="O1970" s="1"/>
      <x:c r="P1970" s="1"/>
      <x:c r="Q1970" s="1"/>
      <x:c r="R1970" s="1"/>
      <x:c r="S1970" s="1"/>
      <x:c r="T1970" s="1"/>
      <x:c r="U1970" s="1"/>
      <x:c r="V1970" s="1"/>
    </x:row>
    <x:row r="1971">
      <x:c r="A1971" s="1"/>
      <x:c r="B1971" s="1"/>
      <x:c r="C1971" s="1"/>
      <x:c r="D1971" s="1"/>
      <x:c r="E1971" s="1"/>
      <x:c r="F1971" s="1"/>
      <x:c r="G1971" s="1"/>
      <x:c r="H1971" s="1"/>
      <x:c r="I1971" s="1"/>
      <x:c r="J1971" s="1"/>
      <x:c r="K1971" s="1"/>
      <x:c r="L1971" s="1"/>
      <x:c r="M1971" s="1"/>
      <x:c r="N1971" s="1"/>
      <x:c r="O1971" s="1"/>
      <x:c r="P1971" s="1"/>
      <x:c r="Q1971" s="1"/>
      <x:c r="R1971" s="1"/>
      <x:c r="S1971" s="1"/>
      <x:c r="T1971" s="1"/>
      <x:c r="U1971" s="1"/>
      <x:c r="V1971" s="1"/>
    </x:row>
    <x:row r="1972">
      <x:c r="A1972" s="1"/>
      <x:c r="B1972" s="1"/>
      <x:c r="C1972" s="1"/>
      <x:c r="D1972" s="1"/>
      <x:c r="E1972" s="1"/>
      <x:c r="F1972" s="1"/>
      <x:c r="G1972" s="1"/>
      <x:c r="H1972" s="1"/>
      <x:c r="I1972" s="1"/>
      <x:c r="J1972" s="1"/>
      <x:c r="K1972" s="1"/>
      <x:c r="L1972" s="1"/>
      <x:c r="M1972" s="1"/>
      <x:c r="N1972" s="1"/>
      <x:c r="O1972" s="1"/>
      <x:c r="P1972" s="1"/>
      <x:c r="Q1972" s="1"/>
      <x:c r="R1972" s="1"/>
      <x:c r="S1972" s="1"/>
      <x:c r="T1972" s="1"/>
      <x:c r="U1972" s="1"/>
      <x:c r="V1972" s="1"/>
    </x:row>
    <x:row r="1973">
      <x:c r="A1973" s="1"/>
      <x:c r="B1973" s="1"/>
      <x:c r="C1973" s="1"/>
      <x:c r="D1973" s="1"/>
      <x:c r="E1973" s="1"/>
      <x:c r="F1973" s="1"/>
      <x:c r="G1973" s="1"/>
      <x:c r="H1973" s="1"/>
      <x:c r="I1973" s="1"/>
      <x:c r="J1973" s="1"/>
      <x:c r="K1973" s="1"/>
      <x:c r="L1973" s="1"/>
      <x:c r="M1973" s="1"/>
      <x:c r="N1973" s="1"/>
      <x:c r="O1973" s="1"/>
      <x:c r="P1973" s="1"/>
      <x:c r="Q1973" s="1"/>
      <x:c r="R1973" s="1"/>
      <x:c r="S1973" s="1"/>
      <x:c r="T1973" s="1"/>
      <x:c r="U1973" s="1"/>
      <x:c r="V1973" s="1"/>
    </x:row>
    <x:row r="1974">
      <x:c r="A1974" s="1"/>
      <x:c r="B1974" s="1"/>
      <x:c r="C1974" s="1"/>
      <x:c r="D1974" s="1"/>
      <x:c r="E1974" s="1"/>
      <x:c r="F1974" s="1"/>
      <x:c r="G1974" s="1"/>
      <x:c r="H1974" s="1"/>
      <x:c r="I1974" s="1"/>
      <x:c r="J1974" s="1"/>
      <x:c r="K1974" s="1"/>
      <x:c r="L1974" s="1"/>
      <x:c r="M1974" s="1"/>
      <x:c r="N1974" s="1"/>
      <x:c r="O1974" s="1"/>
      <x:c r="P1974" s="1"/>
      <x:c r="Q1974" s="1"/>
      <x:c r="R1974" s="1"/>
      <x:c r="S1974" s="1"/>
      <x:c r="T1974" s="1"/>
      <x:c r="U1974" s="1"/>
      <x:c r="V1974" s="1"/>
    </x:row>
    <x:row r="1975">
      <x:c r="A1975" s="1"/>
      <x:c r="B1975" s="1"/>
      <x:c r="C1975" s="1"/>
      <x:c r="D1975" s="1"/>
      <x:c r="E1975" s="1"/>
      <x:c r="F1975" s="1"/>
      <x:c r="G1975" s="1"/>
      <x:c r="H1975" s="1"/>
      <x:c r="I1975" s="1"/>
      <x:c r="J1975" s="1"/>
      <x:c r="K1975" s="1"/>
      <x:c r="L1975" s="1"/>
      <x:c r="M1975" s="1"/>
      <x:c r="N1975" s="1"/>
      <x:c r="O1975" s="1"/>
      <x:c r="P1975" s="1"/>
      <x:c r="Q1975" s="1"/>
      <x:c r="R1975" s="1"/>
      <x:c r="S1975" s="1"/>
      <x:c r="T1975" s="1"/>
      <x:c r="U1975" s="1"/>
      <x:c r="V1975" s="1"/>
    </x:row>
    <x:row r="1976">
      <x:c r="A1976" s="1"/>
      <x:c r="B1976" s="1"/>
      <x:c r="C1976" s="1"/>
      <x:c r="D1976" s="1"/>
      <x:c r="E1976" s="1"/>
      <x:c r="F1976" s="1"/>
      <x:c r="G1976" s="1"/>
      <x:c r="H1976" s="1"/>
      <x:c r="I1976" s="1"/>
      <x:c r="J1976" s="1"/>
      <x:c r="K1976" s="1"/>
      <x:c r="L1976" s="1"/>
      <x:c r="M1976" s="1"/>
      <x:c r="N1976" s="1"/>
      <x:c r="O1976" s="1"/>
      <x:c r="P1976" s="1"/>
      <x:c r="Q1976" s="1"/>
      <x:c r="R1976" s="1"/>
      <x:c r="S1976" s="1"/>
      <x:c r="T1976" s="1"/>
      <x:c r="U1976" s="1"/>
      <x:c r="V1976" s="1"/>
    </x:row>
    <x:row r="1977">
      <x:c r="A1977" s="1"/>
      <x:c r="B1977" s="1"/>
      <x:c r="C1977" s="1"/>
      <x:c r="D1977" s="1"/>
      <x:c r="E1977" s="1"/>
      <x:c r="F1977" s="1"/>
      <x:c r="G1977" s="1"/>
      <x:c r="H1977" s="1"/>
      <x:c r="I1977" s="1"/>
      <x:c r="J1977" s="1"/>
      <x:c r="K1977" s="1"/>
      <x:c r="L1977" s="1"/>
      <x:c r="M1977" s="1"/>
      <x:c r="N1977" s="1"/>
      <x:c r="O1977" s="1"/>
      <x:c r="P1977" s="1"/>
      <x:c r="Q1977" s="1"/>
      <x:c r="R1977" s="1"/>
      <x:c r="S1977" s="1"/>
      <x:c r="T1977" s="1"/>
      <x:c r="U1977" s="1"/>
      <x:c r="V1977" s="1"/>
    </x:row>
    <x:row r="1978">
      <x:c r="A1978" s="1"/>
      <x:c r="B1978" s="1"/>
      <x:c r="C1978" s="1"/>
      <x:c r="D1978" s="1"/>
      <x:c r="E1978" s="1"/>
      <x:c r="F1978" s="1"/>
      <x:c r="G1978" s="1"/>
      <x:c r="H1978" s="1"/>
      <x:c r="I1978" s="1"/>
      <x:c r="J1978" s="1"/>
      <x:c r="K1978" s="1"/>
      <x:c r="L1978" s="1"/>
      <x:c r="M1978" s="1"/>
      <x:c r="N1978" s="1"/>
      <x:c r="O1978" s="1"/>
      <x:c r="P1978" s="1"/>
      <x:c r="Q1978" s="1"/>
      <x:c r="R1978" s="1"/>
      <x:c r="S1978" s="1"/>
      <x:c r="T1978" s="1"/>
      <x:c r="U1978" s="1"/>
      <x:c r="V1978" s="1"/>
    </x:row>
    <x:row r="1979">
      <x:c r="A1979" s="1"/>
      <x:c r="B1979" s="1"/>
      <x:c r="C1979" s="1"/>
      <x:c r="D1979" s="1"/>
      <x:c r="E1979" s="1"/>
      <x:c r="F1979" s="1"/>
      <x:c r="G1979" s="1"/>
      <x:c r="H1979" s="1"/>
      <x:c r="I1979" s="1"/>
      <x:c r="J1979" s="1"/>
      <x:c r="K1979" s="1"/>
      <x:c r="L1979" s="1"/>
      <x:c r="M1979" s="1"/>
      <x:c r="N1979" s="1"/>
      <x:c r="O1979" s="1"/>
      <x:c r="P1979" s="1"/>
      <x:c r="Q1979" s="1"/>
      <x:c r="R1979" s="1"/>
      <x:c r="S1979" s="1"/>
      <x:c r="T1979" s="1"/>
      <x:c r="U1979" s="1"/>
      <x:c r="V1979" s="1"/>
    </x:row>
    <x:row r="1980">
      <x:c r="A1980" s="1"/>
      <x:c r="B1980" s="1"/>
      <x:c r="C1980" s="1"/>
      <x:c r="D1980" s="1"/>
      <x:c r="E1980" s="1"/>
      <x:c r="F1980" s="1"/>
      <x:c r="G1980" s="1"/>
      <x:c r="H1980" s="1"/>
      <x:c r="I1980" s="1"/>
      <x:c r="J1980" s="1"/>
      <x:c r="K1980" s="1"/>
      <x:c r="L1980" s="1"/>
      <x:c r="M1980" s="1"/>
      <x:c r="N1980" s="1"/>
      <x:c r="O1980" s="1"/>
      <x:c r="P1980" s="1"/>
      <x:c r="Q1980" s="1"/>
      <x:c r="R1980" s="1"/>
      <x:c r="S1980" s="1"/>
      <x:c r="T1980" s="1"/>
      <x:c r="U1980" s="1"/>
      <x:c r="V1980" s="1"/>
    </x:row>
    <x:row r="1981">
      <x:c r="A1981" s="1"/>
      <x:c r="B1981" s="1"/>
      <x:c r="C1981" s="1"/>
      <x:c r="D1981" s="1"/>
      <x:c r="E1981" s="1"/>
      <x:c r="F1981" s="1"/>
      <x:c r="G1981" s="1"/>
      <x:c r="H1981" s="1"/>
      <x:c r="I1981" s="1"/>
      <x:c r="J1981" s="1"/>
      <x:c r="K1981" s="1"/>
      <x:c r="L1981" s="1"/>
      <x:c r="M1981" s="1"/>
      <x:c r="N1981" s="1"/>
      <x:c r="O1981" s="1"/>
      <x:c r="P1981" s="1"/>
      <x:c r="Q1981" s="1"/>
      <x:c r="R1981" s="1"/>
      <x:c r="S1981" s="1"/>
      <x:c r="T1981" s="1"/>
      <x:c r="U1981" s="1"/>
      <x:c r="V1981" s="1"/>
    </x:row>
    <x:row r="1982">
      <x:c r="A1982" s="1"/>
      <x:c r="B1982" s="1"/>
      <x:c r="C1982" s="1"/>
      <x:c r="D1982" s="1"/>
      <x:c r="E1982" s="1"/>
      <x:c r="F1982" s="1"/>
      <x:c r="G1982" s="1"/>
      <x:c r="H1982" s="1"/>
      <x:c r="I1982" s="1"/>
      <x:c r="J1982" s="1"/>
      <x:c r="K1982" s="1"/>
      <x:c r="L1982" s="1"/>
      <x:c r="M1982" s="1"/>
      <x:c r="N1982" s="1"/>
      <x:c r="O1982" s="1"/>
      <x:c r="P1982" s="1"/>
      <x:c r="Q1982" s="1"/>
      <x:c r="R1982" s="1"/>
      <x:c r="S1982" s="1"/>
      <x:c r="T1982" s="1"/>
      <x:c r="U1982" s="1"/>
      <x:c r="V1982" s="1"/>
    </x:row>
    <x:row r="1983">
      <x:c r="A1983" s="1"/>
      <x:c r="B1983" s="1"/>
      <x:c r="C1983" s="1"/>
      <x:c r="D1983" s="1"/>
      <x:c r="E1983" s="1"/>
      <x:c r="F1983" s="1"/>
      <x:c r="G1983" s="1"/>
      <x:c r="H1983" s="1"/>
      <x:c r="I1983" s="1"/>
      <x:c r="J1983" s="1"/>
      <x:c r="K1983" s="1"/>
      <x:c r="L1983" s="1"/>
      <x:c r="M1983" s="1"/>
      <x:c r="N1983" s="1"/>
      <x:c r="O1983" s="1"/>
      <x:c r="P1983" s="1"/>
      <x:c r="Q1983" s="1"/>
      <x:c r="R1983" s="1"/>
      <x:c r="S1983" s="1"/>
      <x:c r="T1983" s="1"/>
      <x:c r="U1983" s="1"/>
      <x:c r="V1983" s="1"/>
    </x:row>
    <x:row r="1984">
      <x:c r="A1984" s="1"/>
      <x:c r="B1984" s="1"/>
      <x:c r="C1984" s="1"/>
      <x:c r="D1984" s="1"/>
      <x:c r="E1984" s="1"/>
      <x:c r="F1984" s="1"/>
      <x:c r="G1984" s="1"/>
      <x:c r="H1984" s="1"/>
      <x:c r="I1984" s="1"/>
      <x:c r="J1984" s="1"/>
      <x:c r="K1984" s="1"/>
      <x:c r="L1984" s="1"/>
      <x:c r="M1984" s="1"/>
      <x:c r="N1984" s="1"/>
      <x:c r="O1984" s="1"/>
      <x:c r="P1984" s="1"/>
      <x:c r="Q1984" s="1"/>
      <x:c r="R1984" s="1"/>
      <x:c r="S1984" s="1"/>
      <x:c r="T1984" s="1"/>
      <x:c r="U1984" s="1"/>
      <x:c r="V1984" s="1"/>
    </x:row>
    <x:row r="1985">
      <x:c r="A1985" s="1"/>
      <x:c r="B1985" s="1"/>
      <x:c r="C1985" s="1"/>
      <x:c r="D1985" s="1"/>
      <x:c r="E1985" s="1"/>
      <x:c r="F1985" s="1"/>
      <x:c r="G1985" s="1"/>
      <x:c r="H1985" s="1"/>
      <x:c r="I1985" s="1"/>
      <x:c r="J1985" s="1"/>
      <x:c r="K1985" s="1"/>
      <x:c r="L1985" s="1"/>
      <x:c r="M1985" s="1"/>
      <x:c r="N1985" s="1"/>
      <x:c r="O1985" s="1"/>
      <x:c r="P1985" s="1"/>
      <x:c r="Q1985" s="1"/>
      <x:c r="R1985" s="1"/>
      <x:c r="S1985" s="1"/>
      <x:c r="T1985" s="1"/>
      <x:c r="U1985" s="1"/>
      <x:c r="V1985" s="1"/>
    </x:row>
    <x:row r="1986">
      <x:c r="A1986" s="1"/>
      <x:c r="B1986" s="1"/>
      <x:c r="C1986" s="1"/>
      <x:c r="D1986" s="1"/>
      <x:c r="E1986" s="1"/>
      <x:c r="F1986" s="1"/>
      <x:c r="G1986" s="1"/>
      <x:c r="H1986" s="1"/>
      <x:c r="I1986" s="1"/>
      <x:c r="J1986" s="1"/>
      <x:c r="K1986" s="1"/>
      <x:c r="L1986" s="1"/>
      <x:c r="M1986" s="1"/>
      <x:c r="N1986" s="1"/>
      <x:c r="O1986" s="1"/>
      <x:c r="P1986" s="1"/>
      <x:c r="Q1986" s="1"/>
      <x:c r="R1986" s="1"/>
      <x:c r="S1986" s="1"/>
      <x:c r="T1986" s="1"/>
      <x:c r="U1986" s="1"/>
      <x:c r="V1986" s="1"/>
    </x:row>
    <x:row r="1987">
      <x:c r="A1987" s="1"/>
      <x:c r="B1987" s="1"/>
      <x:c r="C1987" s="1"/>
      <x:c r="D1987" s="1"/>
      <x:c r="E1987" s="1"/>
      <x:c r="F1987" s="1"/>
      <x:c r="G1987" s="1"/>
      <x:c r="H1987" s="1"/>
      <x:c r="I1987" s="1"/>
      <x:c r="J1987" s="1"/>
      <x:c r="K1987" s="1"/>
      <x:c r="L1987" s="1"/>
      <x:c r="M1987" s="1"/>
      <x:c r="N1987" s="1"/>
      <x:c r="O1987" s="1"/>
      <x:c r="P1987" s="1"/>
      <x:c r="Q1987" s="1"/>
      <x:c r="R1987" s="1"/>
      <x:c r="S1987" s="1"/>
      <x:c r="T1987" s="1"/>
      <x:c r="U1987" s="1"/>
      <x:c r="V1987" s="1"/>
    </x:row>
    <x:row r="1988">
      <x:c r="A1988" s="1"/>
      <x:c r="B1988" s="1"/>
      <x:c r="C1988" s="1"/>
      <x:c r="D1988" s="1"/>
      <x:c r="E1988" s="1"/>
      <x:c r="F1988" s="1"/>
      <x:c r="G1988" s="1"/>
      <x:c r="H1988" s="1"/>
      <x:c r="I1988" s="1"/>
      <x:c r="J1988" s="1"/>
      <x:c r="K1988" s="1"/>
      <x:c r="L1988" s="1"/>
      <x:c r="M1988" s="1"/>
      <x:c r="N1988" s="1"/>
      <x:c r="O1988" s="1"/>
      <x:c r="P1988" s="1"/>
      <x:c r="Q1988" s="1"/>
      <x:c r="R1988" s="1"/>
      <x:c r="S1988" s="1"/>
      <x:c r="T1988" s="1"/>
      <x:c r="U1988" s="1"/>
      <x:c r="V1988" s="1"/>
    </x:row>
    <x:row r="1989">
      <x:c r="A1989" s="1"/>
      <x:c r="B1989" s="1"/>
      <x:c r="C1989" s="1"/>
      <x:c r="D1989" s="1"/>
      <x:c r="E1989" s="1"/>
      <x:c r="F1989" s="1"/>
      <x:c r="G1989" s="1"/>
      <x:c r="H1989" s="1"/>
      <x:c r="I1989" s="1"/>
      <x:c r="J1989" s="1"/>
      <x:c r="K1989" s="1"/>
      <x:c r="L1989" s="1"/>
      <x:c r="M1989" s="1"/>
      <x:c r="N1989" s="1"/>
      <x:c r="O1989" s="1"/>
      <x:c r="P1989" s="1"/>
      <x:c r="Q1989" s="1"/>
      <x:c r="R1989" s="1"/>
      <x:c r="S1989" s="1"/>
      <x:c r="T1989" s="1"/>
      <x:c r="U1989" s="1"/>
      <x:c r="V1989" s="1"/>
    </x:row>
    <x:row r="1990">
      <x:c r="A1990" s="1"/>
      <x:c r="B1990" s="1"/>
      <x:c r="C1990" s="1"/>
      <x:c r="D1990" s="1"/>
      <x:c r="E1990" s="1"/>
      <x:c r="F1990" s="1"/>
      <x:c r="G1990" s="1"/>
      <x:c r="H1990" s="1"/>
      <x:c r="I1990" s="1"/>
      <x:c r="J1990" s="1"/>
      <x:c r="K1990" s="1"/>
      <x:c r="L1990" s="1"/>
      <x:c r="M1990" s="1"/>
      <x:c r="N1990" s="1"/>
      <x:c r="O1990" s="1"/>
      <x:c r="P1990" s="1"/>
      <x:c r="Q1990" s="1"/>
      <x:c r="R1990" s="1"/>
      <x:c r="S1990" s="1"/>
      <x:c r="T1990" s="1"/>
      <x:c r="U1990" s="1"/>
      <x:c r="V1990" s="1"/>
    </x:row>
    <x:row r="1991">
      <x:c r="A1991" s="1"/>
      <x:c r="B1991" s="1"/>
      <x:c r="C1991" s="1"/>
      <x:c r="D1991" s="1"/>
      <x:c r="E1991" s="1"/>
      <x:c r="F1991" s="1"/>
      <x:c r="G1991" s="1"/>
      <x:c r="H1991" s="1"/>
      <x:c r="I1991" s="1"/>
      <x:c r="J1991" s="1"/>
      <x:c r="K1991" s="1"/>
      <x:c r="L1991" s="1"/>
      <x:c r="M1991" s="1"/>
      <x:c r="N1991" s="1"/>
      <x:c r="O1991" s="1"/>
      <x:c r="P1991" s="1"/>
      <x:c r="Q1991" s="1"/>
      <x:c r="R1991" s="1"/>
      <x:c r="S1991" s="1"/>
      <x:c r="T1991" s="1"/>
      <x:c r="U1991" s="1"/>
      <x:c r="V1991" s="1"/>
    </x:row>
    <x:row r="1992">
      <x:c r="A1992" s="1"/>
      <x:c r="B1992" s="1"/>
      <x:c r="C1992" s="1"/>
      <x:c r="D1992" s="1"/>
      <x:c r="E1992" s="1"/>
      <x:c r="F1992" s="1"/>
      <x:c r="G1992" s="1"/>
      <x:c r="H1992" s="1"/>
      <x:c r="I1992" s="1"/>
      <x:c r="J1992" s="1"/>
      <x:c r="K1992" s="1"/>
      <x:c r="L1992" s="1"/>
      <x:c r="M1992" s="1"/>
      <x:c r="N1992" s="1"/>
      <x:c r="O1992" s="1"/>
      <x:c r="P1992" s="1"/>
      <x:c r="Q1992" s="1"/>
      <x:c r="R1992" s="1"/>
      <x:c r="S1992" s="1"/>
      <x:c r="T1992" s="1"/>
      <x:c r="U1992" s="1"/>
      <x:c r="V1992" s="1"/>
    </x:row>
    <x:row r="1993">
      <x:c r="A1993" s="1"/>
      <x:c r="B1993" s="1"/>
      <x:c r="C1993" s="1"/>
      <x:c r="D1993" s="1"/>
      <x:c r="E1993" s="1"/>
      <x:c r="F1993" s="1"/>
      <x:c r="G1993" s="1"/>
      <x:c r="H1993" s="1"/>
      <x:c r="I1993" s="1"/>
      <x:c r="J1993" s="1"/>
      <x:c r="K1993" s="1"/>
      <x:c r="L1993" s="1"/>
      <x:c r="M1993" s="1"/>
      <x:c r="N1993" s="1"/>
      <x:c r="O1993" s="1"/>
      <x:c r="P1993" s="1"/>
      <x:c r="Q1993" s="1"/>
      <x:c r="R1993" s="1"/>
      <x:c r="S1993" s="1"/>
      <x:c r="T1993" s="1"/>
      <x:c r="U1993" s="1"/>
      <x:c r="V1993" s="1"/>
    </x:row>
    <x:row r="1994">
      <x:c r="A1994" s="1"/>
      <x:c r="B1994" s="1"/>
      <x:c r="C1994" s="1"/>
      <x:c r="D1994" s="1"/>
      <x:c r="E1994" s="1"/>
      <x:c r="F1994" s="1"/>
      <x:c r="G1994" s="1"/>
      <x:c r="H1994" s="1"/>
      <x:c r="I1994" s="1"/>
      <x:c r="J1994" s="1"/>
      <x:c r="K1994" s="1"/>
      <x:c r="L1994" s="1"/>
      <x:c r="M1994" s="1"/>
      <x:c r="N1994" s="1"/>
      <x:c r="O1994" s="1"/>
      <x:c r="P1994" s="1"/>
      <x:c r="Q1994" s="1"/>
      <x:c r="R1994" s="1"/>
      <x:c r="S1994" s="1"/>
      <x:c r="T1994" s="1"/>
      <x:c r="U1994" s="1"/>
      <x:c r="V1994" s="1"/>
    </x:row>
    <x:row r="1995">
      <x:c r="A1995" s="1"/>
      <x:c r="B1995" s="1"/>
      <x:c r="C1995" s="1"/>
      <x:c r="D1995" s="1"/>
      <x:c r="E1995" s="1"/>
      <x:c r="F1995" s="1"/>
      <x:c r="G1995" s="1"/>
      <x:c r="H1995" s="1"/>
      <x:c r="I1995" s="1"/>
      <x:c r="J1995" s="1"/>
      <x:c r="K1995" s="1"/>
      <x:c r="L1995" s="1"/>
      <x:c r="M1995" s="1"/>
      <x:c r="N1995" s="1"/>
      <x:c r="O1995" s="1"/>
      <x:c r="P1995" s="1"/>
      <x:c r="Q1995" s="1"/>
      <x:c r="R1995" s="1"/>
      <x:c r="S1995" s="1"/>
      <x:c r="T1995" s="1"/>
      <x:c r="U1995" s="1"/>
      <x:c r="V1995" s="1"/>
    </x:row>
    <x:row r="1996">
      <x:c r="A1996" s="1"/>
      <x:c r="B1996" s="1"/>
      <x:c r="C1996" s="1"/>
      <x:c r="D1996" s="1"/>
      <x:c r="E1996" s="1"/>
      <x:c r="F1996" s="1"/>
      <x:c r="G1996" s="1"/>
      <x:c r="H1996" s="1"/>
      <x:c r="I1996" s="1"/>
      <x:c r="J1996" s="1"/>
      <x:c r="K1996" s="1"/>
      <x:c r="L1996" s="1"/>
      <x:c r="M1996" s="1"/>
      <x:c r="N1996" s="1"/>
      <x:c r="O1996" s="1"/>
      <x:c r="P1996" s="1"/>
      <x:c r="Q1996" s="1"/>
      <x:c r="R1996" s="1"/>
      <x:c r="S1996" s="1"/>
      <x:c r="T1996" s="1"/>
      <x:c r="U1996" s="1"/>
      <x:c r="V1996" s="1"/>
    </x:row>
    <x:row r="1997">
      <x:c r="A1997" s="1"/>
      <x:c r="B1997" s="1"/>
      <x:c r="C1997" s="1"/>
      <x:c r="D1997" s="1"/>
      <x:c r="E1997" s="1"/>
      <x:c r="F1997" s="1"/>
      <x:c r="G1997" s="1"/>
      <x:c r="H1997" s="1"/>
      <x:c r="I1997" s="1"/>
      <x:c r="J1997" s="1"/>
      <x:c r="K1997" s="1"/>
      <x:c r="L1997" s="1"/>
      <x:c r="M1997" s="1"/>
      <x:c r="N1997" s="1"/>
      <x:c r="O1997" s="1"/>
      <x:c r="P1997" s="1"/>
      <x:c r="Q1997" s="1"/>
      <x:c r="R1997" s="1"/>
      <x:c r="S1997" s="1"/>
      <x:c r="T1997" s="1"/>
      <x:c r="U1997" s="1"/>
      <x:c r="V1997" s="1"/>
    </x:row>
    <x:row r="1998">
      <x:c r="A1998" s="1"/>
      <x:c r="B1998" s="1"/>
      <x:c r="C1998" s="1"/>
      <x:c r="D1998" s="1"/>
      <x:c r="E1998" s="1"/>
      <x:c r="F1998" s="1"/>
      <x:c r="G1998" s="1"/>
      <x:c r="H1998" s="1"/>
      <x:c r="I1998" s="1"/>
      <x:c r="J1998" s="1"/>
      <x:c r="K1998" s="1"/>
      <x:c r="L1998" s="1"/>
      <x:c r="M1998" s="1"/>
      <x:c r="N1998" s="1"/>
      <x:c r="O1998" s="1"/>
      <x:c r="P1998" s="1"/>
      <x:c r="Q1998" s="1"/>
      <x:c r="R1998" s="1"/>
      <x:c r="S1998" s="1"/>
      <x:c r="T1998" s="1"/>
      <x:c r="U1998" s="1"/>
      <x:c r="V1998" s="1"/>
    </x:row>
    <x:row r="1999">
      <x:c r="A1999" s="1"/>
      <x:c r="B1999" s="1"/>
      <x:c r="C1999" s="1"/>
      <x:c r="D1999" s="1"/>
      <x:c r="E1999" s="1"/>
      <x:c r="F1999" s="1"/>
      <x:c r="G1999" s="1"/>
      <x:c r="H1999" s="1"/>
      <x:c r="I1999" s="1"/>
      <x:c r="J1999" s="1"/>
      <x:c r="K1999" s="1"/>
      <x:c r="L1999" s="1"/>
      <x:c r="M1999" s="1"/>
      <x:c r="N1999" s="1"/>
      <x:c r="O1999" s="1"/>
      <x:c r="P1999" s="1"/>
      <x:c r="Q1999" s="1"/>
      <x:c r="R1999" s="1"/>
      <x:c r="S1999" s="1"/>
      <x:c r="T1999" s="1"/>
      <x:c r="U1999" s="1"/>
      <x:c r="V1999" s="1"/>
    </x:row>
    <x:row r="2000">
      <x:c r="A2000" s="1"/>
      <x:c r="B2000" s="1"/>
      <x:c r="C2000" s="1"/>
      <x:c r="D2000" s="1"/>
      <x:c r="E2000" s="1"/>
      <x:c r="F2000" s="1"/>
      <x:c r="G2000" s="1"/>
      <x:c r="H2000" s="1"/>
      <x:c r="I2000" s="1"/>
      <x:c r="J2000" s="1"/>
      <x:c r="K2000" s="1"/>
      <x:c r="L2000" s="1"/>
      <x:c r="M2000" s="1"/>
      <x:c r="N2000" s="1"/>
      <x:c r="O2000" s="1"/>
      <x:c r="P2000" s="1"/>
      <x:c r="Q2000" s="1"/>
      <x:c r="R2000" s="1"/>
      <x:c r="S2000" s="1"/>
      <x:c r="T2000" s="1"/>
      <x:c r="U2000" s="1"/>
      <x:c r="V2000" s="1"/>
    </x:row>
  </x:sheetData>
  <x:pageMargins left="0.7" right="0.7" top="0.75" bottom="0.75" header="0.3" footer="0.3"/>
  <x:tableParts count="1">
    <x:tablePart xmlns:r="http://schemas.openxmlformats.org/officeDocument/2006/relationships" r:id="R919ca2c6fada4dfb"/>
  </x:tableParts>
</x:worksheet>
</file>

<file path=xl/worksheets/sheet2.xml><?xml version="1.0" encoding="utf-8"?>
<x:worksheet xmlns:x="http://schemas.openxmlformats.org/spreadsheetml/2006/main">
  <x:sheetViews>
    <x:sheetView showGridLines="0" workbookViewId="0">
      <x:pane xSplit="5" ySplit="4" topLeftCell="F5" activePane="bottomRight" state="frozen"/>
    </x:sheetView>
  </x:sheetViews>
  <x:sheetFormatPr defaultRowHeight="15"/>
  <x:cols>
    <x:col min="1" max="1" width="10" hidden="0" customWidth="1"/>
    <x:col min="2" max="2" width="18" hidden="0" customWidth="1"/>
    <x:col min="3" max="3" width="28" hidden="0" customWidth="1"/>
    <x:col min="4" max="4" width="14" hidden="0" customWidth="1"/>
    <x:col min="5" max="5" width="31" hidden="0" customWidth="1"/>
    <x:col min="6" max="6" width="27" hidden="0" customWidth="1"/>
    <x:col min="7" max="7" width="23" hidden="0" customWidth="1"/>
    <x:col min="8" max="8" width="21" hidden="0" customWidth="1"/>
    <x:col min="9" max="9" width="11" hidden="0" customWidth="1"/>
    <x:col min="10" max="10" width="10" hidden="0" customWidth="1"/>
    <x:col min="11" max="11" width="11" hidden="0" customWidth="1"/>
    <x:col min="12" max="12" width="17" hidden="0" customWidth="1"/>
    <x:col min="13" max="13" width="33" hidden="0" customWidth="1"/>
    <x:col min="14" max="14" width="34" hidden="0" customWidth="1"/>
    <x:col min="15" max="15" width="39" hidden="0" customWidth="1"/>
    <x:col min="16" max="16" width="46" hidden="0" customWidth="1"/>
    <x:col min="17" max="17" width="48" hidden="0" customWidth="1"/>
    <x:col min="18" max="18" width="48" hidden="0" customWidth="1"/>
    <x:col min="19" max="19" width="46" hidden="0" customWidth="1"/>
    <x:col min="20" max="20" width="18" hidden="0" customWidth="1"/>
    <x:col min="21" max="21" width="13" hidden="0" customWidth="1"/>
    <x:col min="22" max="22" width="11" hidden="0" customWidth="1"/>
  </x:cols>
  <x:sheetData>
    <x:row r="1" ht="26" customHeight="1">
      <x:c r="A1" s="4" t="str">
        <x:v>FeDril MVP Dependency-Aware Execution Plan</x:v>
      </x:c>
      <x:c r="B1" s="4"/>
      <x:c r="C1" s="4"/>
      <x:c r="D1" s="4"/>
      <x:c r="E1" s="4"/>
      <x:c r="F1" s="4"/>
      <x:c r="G1" s="4"/>
      <x:c r="H1" s="4"/>
      <x:c r="I1" s="4"/>
      <x:c r="J1" s="4"/>
      <x:c r="K1" s="4"/>
      <x:c r="L1" s="4"/>
      <x:c r="M1" s="4"/>
      <x:c r="N1" s="4"/>
      <x:c r="O1" s="4"/>
      <x:c r="P1" s="4"/>
      <x:c r="Q1" s="4"/>
      <x:c r="R1" s="4"/>
      <x:c r="S1" s="4"/>
      <x:c r="T1" s="4"/>
      <x:c r="U1" s="4"/>
      <x:c r="V1" s="4"/>
    </x:row>
    <x:row r="2" ht="34" customHeight="1">
      <x:c r="A2" s="7" t="str">
        <x:v>All roadmap stories/gates retained. Filter Remaining? = Yes for active work. Status as of 2026-09-07.</x:v>
      </x:c>
      <x:c r="B2" s="7"/>
      <x:c r="C2" s="7"/>
      <x:c r="D2" s="7"/>
      <x:c r="E2" s="7"/>
      <x:c r="F2" s="7"/>
      <x:c r="G2" s="7"/>
      <x:c r="H2" s="7"/>
      <x:c r="I2" s="7"/>
      <x:c r="J2" s="7"/>
      <x:c r="K2" s="7"/>
      <x:c r="L2" s="7"/>
      <x:c r="M2" s="7"/>
      <x:c r="N2" s="7"/>
      <x:c r="O2" s="7"/>
      <x:c r="P2" s="7"/>
      <x:c r="Q2" s="7"/>
      <x:c r="R2" s="7"/>
      <x:c r="S2" s="7"/>
      <x:c r="T2" s="7"/>
      <x:c r="U2" s="7"/>
      <x:c r="V2" s="7"/>
    </x:row>
    <x:row r="3">
      <x:c r="A3" s="1"/>
      <x:c r="B3" s="1"/>
      <x:c r="C3" s="1"/>
      <x:c r="D3" s="1"/>
      <x:c r="E3" s="1"/>
      <x:c r="F3" s="1"/>
      <x:c r="G3" s="1"/>
      <x:c r="H3" s="1"/>
      <x:c r="I3" s="1"/>
      <x:c r="J3" s="1"/>
      <x:c r="K3" s="1"/>
      <x:c r="L3" s="1"/>
      <x:c r="M3" s="1"/>
      <x:c r="N3" s="1"/>
      <x:c r="O3" s="1"/>
      <x:c r="P3" s="1"/>
      <x:c r="Q3" s="1"/>
      <x:c r="R3" s="1"/>
      <x:c r="S3" s="1"/>
      <x:c r="T3" s="1"/>
      <x:c r="U3" s="1"/>
      <x:c r="V3" s="1"/>
    </x:row>
    <x:row r="4" ht="32" customHeight="1">
      <x:c r="A4" s="12" t="str">
        <x:v>Overall sequence</x:v>
      </x:c>
      <x:c r="B4" s="12" t="str">
        <x:v>Phase/track</x:v>
      </x:c>
      <x:c r="C4" s="12" t="str">
        <x:v>Workstream</x:v>
      </x:c>
      <x:c r="D4" s="12" t="str">
        <x:v>Story or gate ID</x:v>
      </x:c>
      <x:c r="E4" s="12" t="str">
        <x:v>Exact title</x:v>
      </x:c>
      <x:c r="F4" s="12" t="str">
        <x:v>Outcome type</x:v>
      </x:c>
      <x:c r="G4" s="12" t="str">
        <x:v>Roadmap classification</x:v>
      </x:c>
      <x:c r="H4" s="12" t="str">
        <x:v>Evidence-based status</x:v>
      </x:c>
      <x:c r="I4" s="12" t="str">
        <x:v>Completed task count</x:v>
      </x:c>
      <x:c r="J4" s="12" t="str">
        <x:v>Total task count</x:v>
      </x:c>
      <x:c r="K4" s="12" t="str">
        <x:v>Remaining task count</x:v>
      </x:c>
      <x:c r="L4" s="12" t="str">
        <x:v>Predecessor IDs</x:v>
      </x:c>
      <x:c r="M4" s="12" t="str">
        <x:v>Gate/unblock condition</x:v>
      </x:c>
      <x:c r="N4" s="12" t="str">
        <x:v>Verification method</x:v>
      </x:c>
      <x:c r="O4" s="12" t="str">
        <x:v>Execution mechanism</x:v>
      </x:c>
      <x:c r="P4" s="12" t="str">
        <x:v>Next action</x:v>
      </x:c>
      <x:c r="Q4" s="12" t="str">
        <x:v>Evidence summary</x:v>
      </x:c>
      <x:c r="R4" s="12" t="str">
        <x:v>Evidence source</x:v>
      </x:c>
      <x:c r="S4" s="12" t="str">
        <x:v>Risk/limitation</x:v>
      </x:c>
      <x:c r="T4" s="12" t="str">
        <x:v>Owner</x:v>
      </x:c>
      <x:c r="U4" s="12" t="str">
        <x:v>Target date</x:v>
      </x:c>
      <x:c r="V4" s="12" t="str">
        <x:v>Remaining?</x:v>
      </x:c>
    </x:row>
    <x:row r="5" ht="55" customHeight="1">
      <x:c r="A5" s="1" t="n">
        <x:v>1</x:v>
      </x:c>
      <x:c r="B5" s="1" t="str">
        <x:v>Phase 0</x:v>
      </x:c>
      <x:c r="C5" s="22" t="str">
        <x:v>Discovery and validation</x:v>
      </x:c>
      <x:c r="D5" s="1" t="str">
        <x:v>0.1</x:v>
      </x:c>
      <x:c r="E5" s="22" t="str">
        <x:v>Persona Map</x:v>
      </x:c>
      <x:c r="F5" s="1" t="str">
        <x:v>Research / governed decision</x:v>
      </x:c>
      <x:c r="G5" s="1" t="str">
        <x:v>Planned</x:v>
      </x:c>
      <x:c r="H5" s="1" t="str">
        <x:v>External/Human Gate</x:v>
      </x:c>
      <x:c r="I5" s="1" t="n">
        <x:f>COUNTIFS('Task Tracker'!$C$5:$C$800,D5,'Task Tracker'!$I$5:$I$800,"Completed")</x:f>
        <x:v>0</x:v>
      </x:c>
      <x:c r="J5" s="1" t="n">
        <x:f>COUNTIF('Task Tracker'!$C$5:$C$800,D5)</x:f>
        <x:v>3</x:v>
      </x:c>
      <x:c r="K5" s="1" t="n">
        <x:f>J5-I5</x:f>
        <x:v>3</x:v>
      </x:c>
      <x:c r="L5" s="1" t="str"/>
      <x:c r="M5" s="22" t="str">
        <x:v>Governed human evidence, reviewer qualifications/conflicts, dated disposition, owner, and follow-up.</x:v>
      </x:c>
      <x:c r="N5" s="22" t="str">
        <x:v>Governed human-evidence review against canonical acceptance criteria and TC cases</x:v>
      </x:c>
      <x:c r="O5" s="22" t="str">
        <x:v>/Users/devups/Development/CodexProjects/Gccs/docs/development-story-test-prompts.md</x:v>
      </x:c>
      <x:c r="P5" s="22" t="str">
        <x:v>Execute the governed human-evidence review for Story 0.1; record artifact, reviewer, date, findings, and disposition.</x:v>
      </x:c>
      <x:c r="Q5" s="22" t="str">
        <x:v>Canonical governed research/decision story exists; required reviewed artifact and disposition were not located as authoritative completion evidence.</x:v>
      </x:c>
      <x:c r="R5" s="22" t="str">
        <x:v>/Users/devups/Development/CodexProjects/Gccs/docs/development-phase-use-cases.md (line 72)</x:v>
      </x:c>
      <x:c r="S5" s="22" t="str">
        <x:v>A document draft or internal analysis cannot substitute for qualified review and recorded gate disposition.</x:v>
      </x:c>
      <x:c r="T5" s="13" t="str"/>
      <x:c r="U5" s="15"/>
      <x:c r="V5" s="1" t="str">
        <x:f>IF(OR(H5="Completed",H5="Not Applicable"),"No","Yes")</x:f>
        <x:v>Yes</x:v>
      </x:c>
    </x:row>
    <x:row r="6" ht="55" customHeight="1">
      <x:c r="A6" s="1" t="n">
        <x:v>2</x:v>
      </x:c>
      <x:c r="B6" s="1" t="str">
        <x:v>Phase 0</x:v>
      </x:c>
      <x:c r="C6" s="22" t="str">
        <x:v>Discovery and validation</x:v>
      </x:c>
      <x:c r="D6" s="1" t="str">
        <x:v>0.2</x:v>
      </x:c>
      <x:c r="E6" s="22" t="str">
        <x:v>Regulatory Obligation Map</x:v>
      </x:c>
      <x:c r="F6" s="1" t="str">
        <x:v>Research / governed decision</x:v>
      </x:c>
      <x:c r="G6" s="1" t="str">
        <x:v>Planned</x:v>
      </x:c>
      <x:c r="H6" s="1" t="str">
        <x:v>External/Human Gate</x:v>
      </x:c>
      <x:c r="I6" s="1" t="n">
        <x:f>COUNTIFS('Task Tracker'!$C$5:$C$800,D6,'Task Tracker'!$I$5:$I$800,"Completed")</x:f>
        <x:v>0</x:v>
      </x:c>
      <x:c r="J6" s="1" t="n">
        <x:f>COUNTIF('Task Tracker'!$C$5:$C$800,D6)</x:f>
        <x:v>3</x:v>
      </x:c>
      <x:c r="K6" s="1" t="n">
        <x:f>J6-I6</x:f>
        <x:v>3</x:v>
      </x:c>
      <x:c r="L6" s="1" t="str">
        <x:v>0.1</x:v>
      </x:c>
      <x:c r="M6" s="22" t="str">
        <x:v>Governed human evidence, reviewer qualifications/conflicts, dated disposition, owner, and follow-up.</x:v>
      </x:c>
      <x:c r="N6" s="22" t="str">
        <x:v>Governed human-evidence review against canonical acceptance criteria and TC cases</x:v>
      </x:c>
      <x:c r="O6" s="22" t="str">
        <x:v>/Users/devups/Development/CodexProjects/Gccs/docs/development-story-test-prompts.md</x:v>
      </x:c>
      <x:c r="P6" s="22" t="str">
        <x:v>Execute the governed human-evidence review for Story 0.2; record artifact, reviewer, date, findings, and disposition.</x:v>
      </x:c>
      <x:c r="Q6" s="22" t="str">
        <x:v>Canonical governed research/decision story exists; required reviewed artifact and disposition were not located as authoritative completion evidence.</x:v>
      </x:c>
      <x:c r="R6" s="22" t="str">
        <x:v>/Users/devups/Development/CodexProjects/Gccs/docs/development-phase-use-cases.md (line 91)</x:v>
      </x:c>
      <x:c r="S6" s="22" t="str">
        <x:v>A document draft or internal analysis cannot substitute for qualified review and recorded gate disposition.</x:v>
      </x:c>
      <x:c r="T6" s="13" t="str"/>
      <x:c r="U6" s="15"/>
      <x:c r="V6" s="1" t="str">
        <x:f>IF(OR(H6="Completed",H6="Not Applicable"),"No","Yes")</x:f>
        <x:v>Yes</x:v>
      </x:c>
    </x:row>
    <x:row r="7" ht="55" customHeight="1">
      <x:c r="A7" s="1" t="n">
        <x:v>3</x:v>
      </x:c>
      <x:c r="B7" s="1" t="str">
        <x:v>Phase 0</x:v>
      </x:c>
      <x:c r="C7" s="22" t="str">
        <x:v>Discovery and validation</x:v>
      </x:c>
      <x:c r="D7" s="1" t="str">
        <x:v>0.3</x:v>
      </x:c>
      <x:c r="E7" s="22" t="str">
        <x:v>Competitive Matrix</x:v>
      </x:c>
      <x:c r="F7" s="1" t="str">
        <x:v>Research / governed decision</x:v>
      </x:c>
      <x:c r="G7" s="1" t="str">
        <x:v>Planned</x:v>
      </x:c>
      <x:c r="H7" s="1" t="str">
        <x:v>External/Human Gate</x:v>
      </x:c>
      <x:c r="I7" s="1" t="n">
        <x:f>COUNTIFS('Task Tracker'!$C$5:$C$800,D7,'Task Tracker'!$I$5:$I$800,"Completed")</x:f>
        <x:v>0</x:v>
      </x:c>
      <x:c r="J7" s="1" t="n">
        <x:f>COUNTIF('Task Tracker'!$C$5:$C$800,D7)</x:f>
        <x:v>3</x:v>
      </x:c>
      <x:c r="K7" s="1" t="n">
        <x:f>J7-I7</x:f>
        <x:v>3</x:v>
      </x:c>
      <x:c r="L7" s="1" t="str">
        <x:v>0.2</x:v>
      </x:c>
      <x:c r="M7" s="22" t="str">
        <x:v>Governed human evidence, reviewer qualifications/conflicts, dated disposition, owner, and follow-up.</x:v>
      </x:c>
      <x:c r="N7" s="22" t="str">
        <x:v>Governed human-evidence review against canonical acceptance criteria and TC cases</x:v>
      </x:c>
      <x:c r="O7" s="22" t="str">
        <x:v>/Users/devups/Development/CodexProjects/Gccs/docs/development-story-test-prompts.md</x:v>
      </x:c>
      <x:c r="P7" s="22" t="str">
        <x:v>Execute the governed human-evidence review for Story 0.3; record artifact, reviewer, date, findings, and disposition.</x:v>
      </x:c>
      <x:c r="Q7" s="22" t="str">
        <x:v>Canonical governed research/decision story exists; required reviewed artifact and disposition were not located as authoritative completion evidence.</x:v>
      </x:c>
      <x:c r="R7" s="22" t="str">
        <x:v>/Users/devups/Development/CodexProjects/Gccs/docs/development-phase-use-cases.md (line 110)</x:v>
      </x:c>
      <x:c r="S7" s="22" t="str">
        <x:v>A document draft or internal analysis cannot substitute for qualified review and recorded gate disposition.</x:v>
      </x:c>
      <x:c r="T7" s="13" t="str"/>
      <x:c r="U7" s="15"/>
      <x:c r="V7" s="1" t="str">
        <x:f>IF(OR(H7="Completed",H7="Not Applicable"),"No","Yes")</x:f>
        <x:v>Yes</x:v>
      </x:c>
    </x:row>
    <x:row r="8" ht="55" customHeight="1">
      <x:c r="A8" s="1" t="n">
        <x:v>4</x:v>
      </x:c>
      <x:c r="B8" s="1" t="str">
        <x:v>Phase 0</x:v>
      </x:c>
      <x:c r="C8" s="22" t="str">
        <x:v>Discovery and validation</x:v>
      </x:c>
      <x:c r="D8" s="1" t="str">
        <x:v>0.4</x:v>
      </x:c>
      <x:c r="E8" s="22" t="str">
        <x:v>Clickable Prototype Validation</x:v>
      </x:c>
      <x:c r="F8" s="1" t="str">
        <x:v>Research / governed decision</x:v>
      </x:c>
      <x:c r="G8" s="1" t="str">
        <x:v>Planned</x:v>
      </x:c>
      <x:c r="H8" s="1" t="str">
        <x:v>External/Human Gate</x:v>
      </x:c>
      <x:c r="I8" s="1" t="n">
        <x:f>COUNTIFS('Task Tracker'!$C$5:$C$800,D8,'Task Tracker'!$I$5:$I$800,"Completed")</x:f>
        <x:v>0</x:v>
      </x:c>
      <x:c r="J8" s="1" t="n">
        <x:f>COUNTIF('Task Tracker'!$C$5:$C$800,D8)</x:f>
        <x:v>3</x:v>
      </x:c>
      <x:c r="K8" s="1" t="n">
        <x:f>J8-I8</x:f>
        <x:v>3</x:v>
      </x:c>
      <x:c r="L8" s="1" t="str">
        <x:v>0.3</x:v>
      </x:c>
      <x:c r="M8" s="22" t="str">
        <x:v>Governed human evidence, reviewer qualifications/conflicts, dated disposition, owner, and follow-up.</x:v>
      </x:c>
      <x:c r="N8" s="22" t="str">
        <x:v>Governed human-evidence review against canonical acceptance criteria and TC cases</x:v>
      </x:c>
      <x:c r="O8" s="22" t="str">
        <x:v>/Users/devups/Development/CodexProjects/Gccs/docs/development-story-test-prompts.md</x:v>
      </x:c>
      <x:c r="P8" s="22" t="str">
        <x:v>Execute the governed human-evidence review for Story 0.4; record artifact, reviewer, date, findings, and disposition.</x:v>
      </x:c>
      <x:c r="Q8" s="22" t="str">
        <x:v>Canonical governed research/decision story exists; required reviewed artifact and disposition were not located as authoritative completion evidence.</x:v>
      </x:c>
      <x:c r="R8" s="22" t="str">
        <x:v>/Users/devups/Development/CodexProjects/Gccs/docs/development-phase-use-cases.md (line 129)</x:v>
      </x:c>
      <x:c r="S8" s="22" t="str">
        <x:v>A document draft or internal analysis cannot substitute for qualified review and recorded gate disposition.</x:v>
      </x:c>
      <x:c r="T8" s="13" t="str"/>
      <x:c r="U8" s="15"/>
      <x:c r="V8" s="1" t="str">
        <x:f>IF(OR(H8="Completed",H8="Not Applicable"),"No","Yes")</x:f>
        <x:v>Yes</x:v>
      </x:c>
    </x:row>
    <x:row r="9" ht="55" customHeight="1">
      <x:c r="A9" s="1" t="n">
        <x:v>5</x:v>
      </x:c>
      <x:c r="B9" s="1" t="str">
        <x:v>Phase 0</x:v>
      </x:c>
      <x:c r="C9" s="22" t="str">
        <x:v>Discovery and validation</x:v>
      </x:c>
      <x:c r="D9" s="1" t="str">
        <x:v>0.5</x:v>
      </x:c>
      <x:c r="E9" s="22" t="str">
        <x:v>Customer And Expert Interviews</x:v>
      </x:c>
      <x:c r="F9" s="1" t="str">
        <x:v>Research / governed decision</x:v>
      </x:c>
      <x:c r="G9" s="1" t="str">
        <x:v>Planned</x:v>
      </x:c>
      <x:c r="H9" s="1" t="str">
        <x:v>External/Human Gate</x:v>
      </x:c>
      <x:c r="I9" s="1" t="n">
        <x:f>COUNTIFS('Task Tracker'!$C$5:$C$800,D9,'Task Tracker'!$I$5:$I$800,"Completed")</x:f>
        <x:v>0</x:v>
      </x:c>
      <x:c r="J9" s="1" t="n">
        <x:f>COUNTIF('Task Tracker'!$C$5:$C$800,D9)</x:f>
        <x:v>3</x:v>
      </x:c>
      <x:c r="K9" s="1" t="n">
        <x:f>J9-I9</x:f>
        <x:v>3</x:v>
      </x:c>
      <x:c r="L9" s="1" t="str">
        <x:v>0.4</x:v>
      </x:c>
      <x:c r="M9" s="22" t="str">
        <x:v>Governed human evidence, reviewer qualifications/conflicts, dated disposition, owner, and follow-up.</x:v>
      </x:c>
      <x:c r="N9" s="22" t="str">
        <x:v>Governed human-evidence review against canonical acceptance criteria and TC cases</x:v>
      </x:c>
      <x:c r="O9" s="22" t="str">
        <x:v>/Users/devups/Development/CodexProjects/Gccs/docs/development-story-test-prompts.md</x:v>
      </x:c>
      <x:c r="P9" s="22" t="str">
        <x:v>Execute the governed human-evidence review for Story 0.5; record artifact, reviewer, date, findings, and disposition.</x:v>
      </x:c>
      <x:c r="Q9" s="22" t="str">
        <x:v>Canonical governed research/decision story exists; required reviewed artifact and disposition were not located as authoritative completion evidence.</x:v>
      </x:c>
      <x:c r="R9" s="22" t="str">
        <x:v>/Users/devups/Development/CodexProjects/Gccs/docs/development-phase-use-cases.md (line 148)</x:v>
      </x:c>
      <x:c r="S9" s="22" t="str">
        <x:v>A document draft or internal analysis cannot substitute for qualified review and recorded gate disposition.</x:v>
      </x:c>
      <x:c r="T9" s="13" t="str"/>
      <x:c r="U9" s="15"/>
      <x:c r="V9" s="1" t="str">
        <x:f>IF(OR(H9="Completed",H9="Not Applicable"),"No","Yes")</x:f>
        <x:v>Yes</x:v>
      </x:c>
    </x:row>
    <x:row r="10" ht="55" customHeight="1">
      <x:c r="A10" s="1" t="n">
        <x:v>6</x:v>
      </x:c>
      <x:c r="B10" s="1" t="str">
        <x:v>Phase 0</x:v>
      </x:c>
      <x:c r="C10" s="22" t="str">
        <x:v>Discovery and validation</x:v>
      </x:c>
      <x:c r="D10" s="1" t="str">
        <x:v>0.6</x:v>
      </x:c>
      <x:c r="E10" s="22" t="str">
        <x:v>Pricing Hypothesis</x:v>
      </x:c>
      <x:c r="F10" s="1" t="str">
        <x:v>Research / governed decision</x:v>
      </x:c>
      <x:c r="G10" s="1" t="str">
        <x:v>Planned</x:v>
      </x:c>
      <x:c r="H10" s="1" t="str">
        <x:v>External/Human Gate</x:v>
      </x:c>
      <x:c r="I10" s="1" t="n">
        <x:f>COUNTIFS('Task Tracker'!$C$5:$C$800,D10,'Task Tracker'!$I$5:$I$800,"Completed")</x:f>
        <x:v>0</x:v>
      </x:c>
      <x:c r="J10" s="1" t="n">
        <x:f>COUNTIF('Task Tracker'!$C$5:$C$800,D10)</x:f>
        <x:v>3</x:v>
      </x:c>
      <x:c r="K10" s="1" t="n">
        <x:f>J10-I10</x:f>
        <x:v>3</x:v>
      </x:c>
      <x:c r="L10" s="1" t="str">
        <x:v>0.5</x:v>
      </x:c>
      <x:c r="M10" s="22" t="str">
        <x:v>Governed human evidence, reviewer qualifications/conflicts, dated disposition, owner, and follow-up.</x:v>
      </x:c>
      <x:c r="N10" s="22" t="str">
        <x:v>Governed human-evidence review against canonical acceptance criteria and TC cases</x:v>
      </x:c>
      <x:c r="O10" s="22" t="str">
        <x:v>/Users/devups/Development/CodexProjects/Gccs/docs/development-story-test-prompts.md</x:v>
      </x:c>
      <x:c r="P10" s="22" t="str">
        <x:v>Execute the governed human-evidence review for Story 0.6; record artifact, reviewer, date, findings, and disposition.</x:v>
      </x:c>
      <x:c r="Q10" s="22" t="str">
        <x:v>Canonical governed research/decision story exists; required reviewed artifact and disposition were not located as authoritative completion evidence.</x:v>
      </x:c>
      <x:c r="R10" s="22" t="str">
        <x:v>/Users/devups/Development/CodexProjects/Gccs/docs/development-phase-use-cases.md (line 167)</x:v>
      </x:c>
      <x:c r="S10" s="22" t="str">
        <x:v>A document draft or internal analysis cannot substitute for qualified review and recorded gate disposition.</x:v>
      </x:c>
      <x:c r="T10" s="13" t="str"/>
      <x:c r="U10" s="15"/>
      <x:c r="V10" s="1" t="str">
        <x:f>IF(OR(H10="Completed",H10="Not Applicable"),"No","Yes")</x:f>
        <x:v>Yes</x:v>
      </x:c>
    </x:row>
    <x:row r="11" ht="55" customHeight="1">
      <x:c r="A11" s="1" t="n">
        <x:v>7</x:v>
      </x:c>
      <x:c r="B11" s="1" t="str">
        <x:v>Phase 0</x:v>
      </x:c>
      <x:c r="C11" s="22" t="str">
        <x:v>Discovery and validation</x:v>
      </x:c>
      <x:c r="D11" s="1" t="str">
        <x:v>0.7</x:v>
      </x:c>
      <x:c r="E11" s="22" t="str">
        <x:v>MVP Requirements Baseline</x:v>
      </x:c>
      <x:c r="F11" s="1" t="str">
        <x:v>Research / governed decision</x:v>
      </x:c>
      <x:c r="G11" s="1" t="str">
        <x:v>Planned</x:v>
      </x:c>
      <x:c r="H11" s="1" t="str">
        <x:v>External/Human Gate</x:v>
      </x:c>
      <x:c r="I11" s="1" t="n">
        <x:f>COUNTIFS('Task Tracker'!$C$5:$C$800,D11,'Task Tracker'!$I$5:$I$800,"Completed")</x:f>
        <x:v>0</x:v>
      </x:c>
      <x:c r="J11" s="1" t="n">
        <x:f>COUNTIF('Task Tracker'!$C$5:$C$800,D11)</x:f>
        <x:v>3</x:v>
      </x:c>
      <x:c r="K11" s="1" t="n">
        <x:f>J11-I11</x:f>
        <x:v>3</x:v>
      </x:c>
      <x:c r="L11" s="1" t="str">
        <x:v>0.6</x:v>
      </x:c>
      <x:c r="M11" s="22" t="str">
        <x:v>Governed human evidence, reviewer qualifications/conflicts, dated disposition, owner, and follow-up.</x:v>
      </x:c>
      <x:c r="N11" s="22" t="str">
        <x:v>Governed human-evidence review against canonical acceptance criteria and TC cases</x:v>
      </x:c>
      <x:c r="O11" s="22" t="str">
        <x:v>/Users/devups/Development/CodexProjects/Gccs/docs/development-story-test-prompts.md</x:v>
      </x:c>
      <x:c r="P11" s="22" t="str">
        <x:v>Execute the governed human-evidence review for Story 0.7; record artifact, reviewer, date, findings, and disposition.</x:v>
      </x:c>
      <x:c r="Q11" s="22" t="str">
        <x:v>Canonical governed research/decision story exists; required reviewed artifact and disposition were not located as authoritative completion evidence.</x:v>
      </x:c>
      <x:c r="R11" s="22" t="str">
        <x:v>/Users/devups/Development/CodexProjects/Gccs/docs/development-phase-use-cases.md (line 186)</x:v>
      </x:c>
      <x:c r="S11" s="22" t="str">
        <x:v>A document draft or internal analysis cannot substitute for qualified review and recorded gate disposition.</x:v>
      </x:c>
      <x:c r="T11" s="13" t="str"/>
      <x:c r="U11" s="15"/>
      <x:c r="V11" s="1" t="str">
        <x:f>IF(OR(H11="Completed",H11="Not Applicable"),"No","Yes")</x:f>
        <x:v>Yes</x:v>
      </x:c>
    </x:row>
    <x:row r="12" ht="55" customHeight="1">
      <x:c r="A12" s="1" t="n">
        <x:v>8</x:v>
      </x:c>
      <x:c r="B12" s="1" t="str">
        <x:v>Phase 0</x:v>
      </x:c>
      <x:c r="C12" s="22" t="str">
        <x:v>Discovery and validation</x:v>
      </x:c>
      <x:c r="D12" s="1" t="str">
        <x:v>0.8</x:v>
      </x:c>
      <x:c r="E12" s="22" t="str">
        <x:v>Advisor Review And Phase Gate</x:v>
      </x:c>
      <x:c r="F12" s="1" t="str">
        <x:v>Research / governed decision</x:v>
      </x:c>
      <x:c r="G12" s="1" t="str">
        <x:v>Planned</x:v>
      </x:c>
      <x:c r="H12" s="1" t="str">
        <x:v>External/Human Gate</x:v>
      </x:c>
      <x:c r="I12" s="1" t="n">
        <x:f>COUNTIFS('Task Tracker'!$C$5:$C$800,D12,'Task Tracker'!$I$5:$I$800,"Completed")</x:f>
        <x:v>0</x:v>
      </x:c>
      <x:c r="J12" s="1" t="n">
        <x:f>COUNTIF('Task Tracker'!$C$5:$C$800,D12)</x:f>
        <x:v>3</x:v>
      </x:c>
      <x:c r="K12" s="1" t="n">
        <x:f>J12-I12</x:f>
        <x:v>3</x:v>
      </x:c>
      <x:c r="L12" s="1" t="str">
        <x:v>0.7</x:v>
      </x:c>
      <x:c r="M12" s="22" t="str">
        <x:v>Governed human evidence, reviewer qualifications/conflicts, dated disposition, owner, and follow-up.</x:v>
      </x:c>
      <x:c r="N12" s="22" t="str">
        <x:v>Governed human-evidence review against canonical acceptance criteria and TC cases</x:v>
      </x:c>
      <x:c r="O12" s="22" t="str">
        <x:v>/Users/devups/Development/CodexProjects/Gccs/docs/development-story-test-prompts.md</x:v>
      </x:c>
      <x:c r="P12" s="22" t="str">
        <x:v>Execute the governed human-evidence review for Story 0.8; record artifact, reviewer, date, findings, and disposition.</x:v>
      </x:c>
      <x:c r="Q12" s="22" t="str">
        <x:v>Canonical governed research/decision story exists; required reviewed artifact and disposition were not located as authoritative completion evidence.</x:v>
      </x:c>
      <x:c r="R12" s="22" t="str">
        <x:v>/Users/devups/Development/CodexProjects/Gccs/docs/development-phase-use-cases.md (line 205)</x:v>
      </x:c>
      <x:c r="S12" s="22" t="str">
        <x:v>A document draft or internal analysis cannot substitute for qualified review and recorded gate disposition.</x:v>
      </x:c>
      <x:c r="T12" s="13" t="str"/>
      <x:c r="U12" s="15"/>
      <x:c r="V12" s="1" t="str">
        <x:f>IF(OR(H12="Completed",H12="Not Applicable"),"No","Yes")</x:f>
        <x:v>Yes</x:v>
      </x:c>
    </x:row>
    <x:row r="13" ht="55" customHeight="1">
      <x:c r="A13" s="1" t="n">
        <x:v>9</x:v>
      </x:c>
      <x:c r="B13" s="1" t="str">
        <x:v>Phase 1</x:v>
      </x:c>
      <x:c r="C13" s="22" t="str">
        <x:v>Repository And Project Structure</x:v>
      </x:c>
      <x:c r="D13" s="1" t="str">
        <x:v>1.1</x:v>
      </x:c>
      <x:c r="E13" s="22" t="str">
        <x:v>Repository And Project Structure</x:v>
      </x:c>
      <x:c r="F13" s="1" t="str">
        <x:v>Software implementation</x:v>
      </x:c>
      <x:c r="G13" s="1" t="str">
        <x:v>Planned</x:v>
      </x:c>
      <x:c r="H13" s="1" t="str">
        <x:v>Completed</x:v>
      </x:c>
      <x:c r="I13" s="1" t="n">
        <x:f>COUNTIFS('Task Tracker'!$C$5:$C$800,D13,'Task Tracker'!$I$5:$I$800,"Completed")</x:f>
        <x:v>4</x:v>
      </x:c>
      <x:c r="J13" s="1" t="n">
        <x:f>COUNTIF('Task Tracker'!$C$5:$C$800,D13)</x:f>
        <x:v>4</x:v>
      </x:c>
      <x:c r="K13" s="1" t="n">
        <x:f>J13-I13</x:f>
        <x:v>0</x:v>
      </x:c>
      <x:c r="L13" s="1" t="str"/>
      <x:c r="M13" s="22" t="str"/>
      <x:c r="N13" s="22" t="str">
        <x:v>Implementation trace plus focused smoke, automated, and story-level regression evidence</x:v>
      </x:c>
      <x:c r="O13" s="22" t="str">
        <x:v>/Users/devups/.codex/skills/gccs-story-sequence/SKILL.md</x:v>
      </x:c>
      <x:c r="P13" s="22" t="str">
        <x:v>Retain traceability; rerun focused verification if the affected boundary changes.</x:v>
      </x:c>
      <x:c r="Q13" s="22" t="str">
        <x:v>Story-labeled commit b536f2eb contains delivery and focused test/test-result files: Story 1.1: Repository And Project Structure</x:v>
      </x:c>
      <x:c r="R13" s="22" t="str">
        <x:v>git commit b536f2eb7dabf61c81a92c7998b4a685a638b9ae; /Users/devups/Development/CodexProjects/Gccs/docs/development-story-test-cases.md</x:v>
      </x:c>
      <x:c r="S13" s="22" t="str">
        <x:v>Completion is based on immutable repository evidence; tests were not rerun and current working-tree drift was not re-certified in this reporting-only task.</x:v>
      </x:c>
      <x:c r="T13" s="13" t="str"/>
      <x:c r="U13" s="15"/>
      <x:c r="V13" s="1" t="str">
        <x:f>IF(OR(H13="Completed",H13="Not Applicable"),"No","Yes")</x:f>
        <x:v>No</x:v>
      </x:c>
    </x:row>
    <x:row r="14" ht="55" customHeight="1">
      <x:c r="A14" s="1" t="n">
        <x:v>10</x:v>
      </x:c>
      <x:c r="B14" s="1" t="str">
        <x:v>Phase 1</x:v>
      </x:c>
      <x:c r="C14" s="22" t="str">
        <x:v>Local Development Services</x:v>
      </x:c>
      <x:c r="D14" s="1" t="str">
        <x:v>1.2</x:v>
      </x:c>
      <x:c r="E14" s="22" t="str">
        <x:v>Local Development Services</x:v>
      </x:c>
      <x:c r="F14" s="1" t="str">
        <x:v>Software implementation</x:v>
      </x:c>
      <x:c r="G14" s="1" t="str">
        <x:v>Planned</x:v>
      </x:c>
      <x:c r="H14" s="1" t="str">
        <x:v>Completed</x:v>
      </x:c>
      <x:c r="I14" s="1" t="n">
        <x:f>COUNTIFS('Task Tracker'!$C$5:$C$800,D14,'Task Tracker'!$I$5:$I$800,"Completed")</x:f>
        <x:v>4</x:v>
      </x:c>
      <x:c r="J14" s="1" t="n">
        <x:f>COUNTIF('Task Tracker'!$C$5:$C$800,D14)</x:f>
        <x:v>4</x:v>
      </x:c>
      <x:c r="K14" s="1" t="n">
        <x:f>J14-I14</x:f>
        <x:v>0</x:v>
      </x:c>
      <x:c r="L14" s="1" t="str">
        <x:v>1.1</x:v>
      </x:c>
      <x:c r="M14" s="22" t="str"/>
      <x:c r="N14" s="22" t="str">
        <x:v>Implementation trace plus focused smoke, automated, and story-level regression evidence</x:v>
      </x:c>
      <x:c r="O14" s="22" t="str">
        <x:v>/Users/devups/.codex/skills/gccs-story-sequence/SKILL.md</x:v>
      </x:c>
      <x:c r="P14" s="22" t="str">
        <x:v>Retain traceability; rerun focused verification if the affected boundary changes.</x:v>
      </x:c>
      <x:c r="Q14" s="22" t="str">
        <x:v>Story-labeled commit f509193b contains delivery and focused test/test-result files: Implement Story 1.2: Local Development Services</x:v>
      </x:c>
      <x:c r="R14" s="22" t="str">
        <x:v>git commit f509193b406e5a83c56173eb4d9652a6d5677b01; /Users/devups/Development/CodexProjects/Gccs/docs/development-story-test-cases.md</x:v>
      </x:c>
      <x:c r="S14" s="22" t="str">
        <x:v>Completion is based on immutable repository evidence; tests were not rerun and current working-tree drift was not re-certified in this reporting-only task.</x:v>
      </x:c>
      <x:c r="T14" s="13" t="str"/>
      <x:c r="U14" s="15"/>
      <x:c r="V14" s="1" t="str">
        <x:f>IF(OR(H14="Completed",H14="Not Applicable"),"No","Yes")</x:f>
        <x:v>No</x:v>
      </x:c>
    </x:row>
    <x:row r="15" ht="55" customHeight="1">
      <x:c r="A15" s="1" t="n">
        <x:v>11</x:v>
      </x:c>
      <x:c r="B15" s="1" t="str">
        <x:v>Phase 1</x:v>
      </x:c>
      <x:c r="C15" s="22" t="str">
        <x:v>Continuous Integration Baseline</x:v>
      </x:c>
      <x:c r="D15" s="1" t="str">
        <x:v>1.3</x:v>
      </x:c>
      <x:c r="E15" s="22" t="str">
        <x:v>Continuous Integration Baseline</x:v>
      </x:c>
      <x:c r="F15" s="1" t="str">
        <x:v>Software implementation</x:v>
      </x:c>
      <x:c r="G15" s="1" t="str">
        <x:v>Planned</x:v>
      </x:c>
      <x:c r="H15" s="1" t="str">
        <x:v>Completed</x:v>
      </x:c>
      <x:c r="I15" s="1" t="n">
        <x:f>COUNTIFS('Task Tracker'!$C$5:$C$800,D15,'Task Tracker'!$I$5:$I$800,"Completed")</x:f>
        <x:v>4</x:v>
      </x:c>
      <x:c r="J15" s="1" t="n">
        <x:f>COUNTIF('Task Tracker'!$C$5:$C$800,D15)</x:f>
        <x:v>4</x:v>
      </x:c>
      <x:c r="K15" s="1" t="n">
        <x:f>J15-I15</x:f>
        <x:v>0</x:v>
      </x:c>
      <x:c r="L15" s="1" t="str">
        <x:v>1.2</x:v>
      </x:c>
      <x:c r="M15" s="22" t="str"/>
      <x:c r="N15" s="22" t="str">
        <x:v>Implementation trace plus focused smoke, automated, and story-level regression evidence</x:v>
      </x:c>
      <x:c r="O15" s="22" t="str">
        <x:v>/Users/devups/.codex/skills/gccs-story-sequence/SKILL.md</x:v>
      </x:c>
      <x:c r="P15" s="22" t="str">
        <x:v>Retain traceability; rerun focused verification if the affected boundary changes.</x:v>
      </x:c>
      <x:c r="Q15" s="22" t="str">
        <x:v>Story-labeled commit 9ac44232 contains delivery and focused test/test-result files: Story 1.3: Continuous Integration Baseline</x:v>
      </x:c>
      <x:c r="R15" s="22" t="str">
        <x:v>git commit 9ac442321bd41e540a54943d86c4259b55d49e5b; /Users/devups/Development/CodexProjects/Gccs/docs/development-story-test-cases.md</x:v>
      </x:c>
      <x:c r="S15" s="22" t="str">
        <x:v>Completion is based on immutable repository evidence; tests were not rerun and current working-tree drift was not re-certified in this reporting-only task.</x:v>
      </x:c>
      <x:c r="T15" s="13" t="str"/>
      <x:c r="U15" s="15"/>
      <x:c r="V15" s="1" t="str">
        <x:f>IF(OR(H15="Completed",H15="Not Applicable"),"No","Yes")</x:f>
        <x:v>No</x:v>
      </x:c>
    </x:row>
    <x:row r="16" ht="55" customHeight="1">
      <x:c r="A16" s="1" t="n">
        <x:v>12</x:v>
      </x:c>
      <x:c r="B16" s="1" t="str">
        <x:v>Phase 1</x:v>
      </x:c>
      <x:c r="C16" s="22" t="str">
        <x:v>Tenant Creation</x:v>
      </x:c>
      <x:c r="D16" s="1" t="str">
        <x:v>2.1</x:v>
      </x:c>
      <x:c r="E16" s="22" t="str">
        <x:v>Tenant Creation</x:v>
      </x:c>
      <x:c r="F16" s="1" t="str">
        <x:v>Software implementation</x:v>
      </x:c>
      <x:c r="G16" s="1" t="str">
        <x:v>Planned</x:v>
      </x:c>
      <x:c r="H16" s="1" t="str">
        <x:v>Completed</x:v>
      </x:c>
      <x:c r="I16" s="1" t="n">
        <x:f>COUNTIFS('Task Tracker'!$C$5:$C$800,D16,'Task Tracker'!$I$5:$I$800,"Completed")</x:f>
        <x:v>5</x:v>
      </x:c>
      <x:c r="J16" s="1" t="n">
        <x:f>COUNTIF('Task Tracker'!$C$5:$C$800,D16)</x:f>
        <x:v>5</x:v>
      </x:c>
      <x:c r="K16" s="1" t="n">
        <x:f>J16-I16</x:f>
        <x:v>0</x:v>
      </x:c>
      <x:c r="L16" s="1" t="str">
        <x:v>1.3</x:v>
      </x:c>
      <x:c r="M16" s="22" t="str"/>
      <x:c r="N16" s="22" t="str">
        <x:v>Implementation trace plus focused smoke, automated, and story-level regression evidence</x:v>
      </x:c>
      <x:c r="O16" s="22" t="str">
        <x:v>/Users/devups/.codex/skills/gccs-story-sequence/SKILL.md</x:v>
      </x:c>
      <x:c r="P16" s="22" t="str">
        <x:v>Retain traceability; rerun focused verification if the affected boundary changes.</x:v>
      </x:c>
      <x:c r="Q16" s="22" t="str">
        <x:v>Story-labeled commit fcc3c399 contains delivery and focused test/test-result files: Story 2.1: Tenant Creation</x:v>
      </x:c>
      <x:c r="R16" s="22" t="str">
        <x:v>git commit fcc3c39944f096c55df1e1d73ee37a56a874ce0b; /Users/devups/Development/CodexProjects/Gccs/docs/development-story-test-cases.md</x:v>
      </x:c>
      <x:c r="S16" s="22" t="str">
        <x:v>Completion is based on immutable repository evidence; tests were not rerun and current working-tree drift was not re-certified in this reporting-only task.</x:v>
      </x:c>
      <x:c r="T16" s="13" t="str"/>
      <x:c r="U16" s="15"/>
      <x:c r="V16" s="1" t="str">
        <x:f>IF(OR(H16="Completed",H16="Not Applicable"),"No","Yes")</x:f>
        <x:v>No</x:v>
      </x:c>
    </x:row>
    <x:row r="17" ht="55" customHeight="1">
      <x:c r="A17" s="1" t="n">
        <x:v>13</x:v>
      </x:c>
      <x:c r="B17" s="1" t="str">
        <x:v>Phase 1</x:v>
      </x:c>
      <x:c r="C17" s="22" t="str">
        <x:v>User Memberships</x:v>
      </x:c>
      <x:c r="D17" s="1" t="str">
        <x:v>2.2</x:v>
      </x:c>
      <x:c r="E17" s="22" t="str">
        <x:v>User Memberships</x:v>
      </x:c>
      <x:c r="F17" s="1" t="str">
        <x:v>Software implementation</x:v>
      </x:c>
      <x:c r="G17" s="1" t="str">
        <x:v>Planned</x:v>
      </x:c>
      <x:c r="H17" s="1" t="str">
        <x:v>Completed</x:v>
      </x:c>
      <x:c r="I17" s="1" t="n">
        <x:f>COUNTIFS('Task Tracker'!$C$5:$C$800,D17,'Task Tracker'!$I$5:$I$800,"Completed")</x:f>
        <x:v>4</x:v>
      </x:c>
      <x:c r="J17" s="1" t="n">
        <x:f>COUNTIF('Task Tracker'!$C$5:$C$800,D17)</x:f>
        <x:v>4</x:v>
      </x:c>
      <x:c r="K17" s="1" t="n">
        <x:f>J17-I17</x:f>
        <x:v>0</x:v>
      </x:c>
      <x:c r="L17" s="1" t="str">
        <x:v>2.1</x:v>
      </x:c>
      <x:c r="M17" s="22" t="str"/>
      <x:c r="N17" s="22" t="str">
        <x:v>Implementation trace plus focused smoke, automated, and story-level regression evidence</x:v>
      </x:c>
      <x:c r="O17" s="22" t="str">
        <x:v>/Users/devups/.codex/skills/gccs-story-sequence/SKILL.md</x:v>
      </x:c>
      <x:c r="P17" s="22" t="str">
        <x:v>Retain traceability; rerun focused verification if the affected boundary changes.</x:v>
      </x:c>
      <x:c r="Q17" s="22" t="str">
        <x:v>Story-labeled commit 00f4c746 contains delivery and focused test/test-result files: Story 2.2: User Memberships</x:v>
      </x:c>
      <x:c r="R17" s="22" t="str">
        <x:v>git commit 00f4c746e1de2bf7213222c2bc6fb5ddb9d867cd; /Users/devups/Development/CodexProjects/Gccs/docs/development-story-test-cases.md</x:v>
      </x:c>
      <x:c r="S17" s="22" t="str">
        <x:v>Completion is based on immutable repository evidence; tests were not rerun and current working-tree drift was not re-certified in this reporting-only task.</x:v>
      </x:c>
      <x:c r="T17" s="13" t="str"/>
      <x:c r="U17" s="15"/>
      <x:c r="V17" s="1" t="str">
        <x:f>IF(OR(H17="Completed",H17="Not Applicable"),"No","Yes")</x:f>
        <x:v>No</x:v>
      </x:c>
    </x:row>
    <x:row r="18" ht="55" customHeight="1">
      <x:c r="A18" s="1" t="n">
        <x:v>14</x:v>
      </x:c>
      <x:c r="B18" s="1" t="str">
        <x:v>Phase 1</x:v>
      </x:c>
      <x:c r="C18" s="22" t="str">
        <x:v>User Invitations</x:v>
      </x:c>
      <x:c r="D18" s="1" t="str">
        <x:v>2.3</x:v>
      </x:c>
      <x:c r="E18" s="22" t="str">
        <x:v>User Invitations</x:v>
      </x:c>
      <x:c r="F18" s="1" t="str">
        <x:v>Software implementation</x:v>
      </x:c>
      <x:c r="G18" s="1" t="str">
        <x:v>Planned</x:v>
      </x:c>
      <x:c r="H18" s="1" t="str">
        <x:v>Completed</x:v>
      </x:c>
      <x:c r="I18" s="1" t="n">
        <x:f>COUNTIFS('Task Tracker'!$C$5:$C$800,D18,'Task Tracker'!$I$5:$I$800,"Completed")</x:f>
        <x:v>4</x:v>
      </x:c>
      <x:c r="J18" s="1" t="n">
        <x:f>COUNTIF('Task Tracker'!$C$5:$C$800,D18)</x:f>
        <x:v>4</x:v>
      </x:c>
      <x:c r="K18" s="1" t="n">
        <x:f>J18-I18</x:f>
        <x:v>0</x:v>
      </x:c>
      <x:c r="L18" s="1" t="str">
        <x:v>2.2</x:v>
      </x:c>
      <x:c r="M18" s="22" t="str"/>
      <x:c r="N18" s="22" t="str">
        <x:v>Implementation trace plus focused smoke, automated, and story-level regression evidence</x:v>
      </x:c>
      <x:c r="O18" s="22" t="str">
        <x:v>/Users/devups/.codex/skills/gccs-story-sequence/SKILL.md</x:v>
      </x:c>
      <x:c r="P18" s="22" t="str">
        <x:v>Retain traceability; rerun focused verification if the affected boundary changes.</x:v>
      </x:c>
      <x:c r="Q18" s="22" t="str">
        <x:v>Story-labeled commit bc1e2aa5 contains delivery and focused test/test-result files: implement Story 2.3: User Invitations and Story 2.4: Role-Based Permissions</x:v>
      </x:c>
      <x:c r="R18" s="22" t="str">
        <x:v>git commit bc1e2aa5f6ef162225f1e60eee93f7d7117c11b7; /Users/devups/Development/CodexProjects/Gccs/docs/development-story-test-cases.md</x:v>
      </x:c>
      <x:c r="S18" s="22" t="str">
        <x:v>Completion is based on immutable repository evidence; tests were not rerun and current working-tree drift was not re-certified in this reporting-only task.</x:v>
      </x:c>
      <x:c r="T18" s="13" t="str"/>
      <x:c r="U18" s="15"/>
      <x:c r="V18" s="1" t="str">
        <x:f>IF(OR(H18="Completed",H18="Not Applicable"),"No","Yes")</x:f>
        <x:v>No</x:v>
      </x:c>
    </x:row>
    <x:row r="19" ht="55" customHeight="1">
      <x:c r="A19" s="1" t="n">
        <x:v>15</x:v>
      </x:c>
      <x:c r="B19" s="1" t="str">
        <x:v>Phase 1</x:v>
      </x:c>
      <x:c r="C19" s="22" t="str">
        <x:v>Role-Based Permissions</x:v>
      </x:c>
      <x:c r="D19" s="1" t="str">
        <x:v>2.4</x:v>
      </x:c>
      <x:c r="E19" s="22" t="str">
        <x:v>Role-Based Permissions</x:v>
      </x:c>
      <x:c r="F19" s="1" t="str">
        <x:v>Software implementation</x:v>
      </x:c>
      <x:c r="G19" s="1" t="str">
        <x:v>Planned</x:v>
      </x:c>
      <x:c r="H19" s="1" t="str">
        <x:v>Completed</x:v>
      </x:c>
      <x:c r="I19" s="1" t="n">
        <x:f>COUNTIFS('Task Tracker'!$C$5:$C$800,D19,'Task Tracker'!$I$5:$I$800,"Completed")</x:f>
        <x:v>5</x:v>
      </x:c>
      <x:c r="J19" s="1" t="n">
        <x:f>COUNTIF('Task Tracker'!$C$5:$C$800,D19)</x:f>
        <x:v>5</x:v>
      </x:c>
      <x:c r="K19" s="1" t="n">
        <x:f>J19-I19</x:f>
        <x:v>0</x:v>
      </x:c>
      <x:c r="L19" s="1" t="str">
        <x:v>2.3</x:v>
      </x:c>
      <x:c r="M19" s="22" t="str"/>
      <x:c r="N19" s="22" t="str">
        <x:v>Implementation trace plus focused smoke, automated, and story-level regression evidence</x:v>
      </x:c>
      <x:c r="O19" s="22" t="str">
        <x:v>/Users/devups/.codex/skills/gccs-story-sequence/SKILL.md</x:v>
      </x:c>
      <x:c r="P19" s="22" t="str">
        <x:v>Retain traceability; rerun focused verification if the affected boundary changes.</x:v>
      </x:c>
      <x:c r="Q19" s="22" t="str">
        <x:v>Story-labeled commit bc1e2aa5 contains delivery and focused test/test-result files: implement Story 2.3: User Invitations and Story 2.4: Role-Based Permissions</x:v>
      </x:c>
      <x:c r="R19" s="22" t="str">
        <x:v>git commit bc1e2aa5f6ef162225f1e60eee93f7d7117c11b7; /Users/devups/Development/CodexProjects/Gccs/docs/development-story-test-cases.md</x:v>
      </x:c>
      <x:c r="S19" s="22" t="str">
        <x:v>Completion is based on immutable repository evidence; tests were not rerun and current working-tree drift was not re-certified in this reporting-only task.</x:v>
      </x:c>
      <x:c r="T19" s="13" t="str"/>
      <x:c r="U19" s="15"/>
      <x:c r="V19" s="1" t="str">
        <x:f>IF(OR(H19="Completed",H19="Not Applicable"),"No","Yes")</x:f>
        <x:v>No</x:v>
      </x:c>
    </x:row>
    <x:row r="20" ht="55" customHeight="1">
      <x:c r="A20" s="1" t="n">
        <x:v>16</x:v>
      </x:c>
      <x:c r="B20" s="1" t="str">
        <x:v>Phase 1</x:v>
      </x:c>
      <x:c r="C20" s="22" t="str">
        <x:v>Protected API Access</x:v>
      </x:c>
      <x:c r="D20" s="1" t="str">
        <x:v>3.1</x:v>
      </x:c>
      <x:c r="E20" s="22" t="str">
        <x:v>Protected API Access</x:v>
      </x:c>
      <x:c r="F20" s="1" t="str">
        <x:v>Software implementation</x:v>
      </x:c>
      <x:c r="G20" s="1" t="str">
        <x:v>Planned</x:v>
      </x:c>
      <x:c r="H20" s="1" t="str">
        <x:v>Not Verified</x:v>
      </x:c>
      <x:c r="I20" s="1" t="n">
        <x:f>COUNTIFS('Task Tracker'!$C$5:$C$800,D20,'Task Tracker'!$I$5:$I$800,"Completed")</x:f>
        <x:v>0</x:v>
      </x:c>
      <x:c r="J20" s="1" t="n">
        <x:f>COUNTIF('Task Tracker'!$C$5:$C$800,D20)</x:f>
        <x:v>4</x:v>
      </x:c>
      <x:c r="K20" s="1" t="n">
        <x:f>J20-I20</x:f>
        <x:v>4</x:v>
      </x:c>
      <x:c r="L20" s="1" t="str">
        <x:v>2.4</x:v>
      </x:c>
      <x:c r="M20" s="22" t="str"/>
      <x:c r="N20" s="22" t="str">
        <x:v>Implementation trace plus focused smoke, automated, and story-level regression evidence</x:v>
      </x:c>
      <x:c r="O20" s="22" t="str">
        <x:v>/Users/devups/.codex/skills/gccs-story-sequence/SKILL.md</x:v>
      </x:c>
      <x:c r="P20" s="22" t="str">
        <x:v>Run Story 3.1 smoke, automated, and regression prompts; attach passing results or fix gaps before changing status.</x:v>
      </x:c>
      <x:c r="Q20" s="22" t="str">
        <x:v>Current API contains tenant context, protected routes, correlation IDs, and standard error handling, but no story-specific immutable commit/test-result package was located.</x:v>
      </x:c>
      <x:c r="R20" s="22" t="str">
        <x:v>/Users/devups/Development/CodexProjects/Gccs/apps/api/Program.cs; /Users/devups/Development/CodexProjects/Gccs/docs/development-story-prompts.md</x:v>
      </x:c>
      <x:c r="S20" s="22" t="str">
        <x:v>Current behavior and focused test results were not rerun for this reporting-only review.</x:v>
      </x:c>
      <x:c r="T20" s="13" t="str"/>
      <x:c r="U20" s="15"/>
      <x:c r="V20" s="1" t="str">
        <x:f>IF(OR(H20="Completed",H20="Not Applicable"),"No","Yes")</x:f>
        <x:v>Yes</x:v>
      </x:c>
    </x:row>
    <x:row r="21" ht="55" customHeight="1">
      <x:c r="A21" s="1" t="n">
        <x:v>17</x:v>
      </x:c>
      <x:c r="B21" s="1" t="str">
        <x:v>Phase 1</x:v>
      </x:c>
      <x:c r="C21" s="22" t="str">
        <x:v>SaaS Navigation Shell</x:v>
      </x:c>
      <x:c r="D21" s="1" t="str">
        <x:v>3.2</x:v>
      </x:c>
      <x:c r="E21" s="22" t="str">
        <x:v>SaaS Navigation Shell</x:v>
      </x:c>
      <x:c r="F21" s="1" t="str">
        <x:v>Software implementation</x:v>
      </x:c>
      <x:c r="G21" s="1" t="str">
        <x:v>Planned</x:v>
      </x:c>
      <x:c r="H21" s="1" t="str">
        <x:v>Completed</x:v>
      </x:c>
      <x:c r="I21" s="1" t="n">
        <x:f>COUNTIFS('Task Tracker'!$C$5:$C$800,D21,'Task Tracker'!$I$5:$I$800,"Completed")</x:f>
        <x:v>4</x:v>
      </x:c>
      <x:c r="J21" s="1" t="n">
        <x:f>COUNTIF('Task Tracker'!$C$5:$C$800,D21)</x:f>
        <x:v>4</x:v>
      </x:c>
      <x:c r="K21" s="1" t="n">
        <x:f>J21-I21</x:f>
        <x:v>0</x:v>
      </x:c>
      <x:c r="L21" s="1" t="str">
        <x:v>3.1</x:v>
      </x:c>
      <x:c r="M21" s="22" t="str"/>
      <x:c r="N21" s="22" t="str">
        <x:v>Implementation trace plus focused smoke, automated, and story-level regression evidence</x:v>
      </x:c>
      <x:c r="O21" s="22" t="str">
        <x:v>/Users/devups/.codex/skills/gccs-story-sequence/SKILL.md</x:v>
      </x:c>
      <x:c r="P21" s="22" t="str">
        <x:v>Retain traceability; rerun focused verification if the affected boundary changes.</x:v>
      </x:c>
      <x:c r="Q21" s="22" t="str">
        <x:v>Story-labeled commit 8d87aab8 contains delivery and focused test/test-result files: feat: implement story 3.2 saas navigation shell</x:v>
      </x:c>
      <x:c r="R21" s="22" t="str">
        <x:v>git commit 8d87aab866f6a87650ab9d9f92357a383e8f9339; /Users/devups/Development/CodexProjects/Gccs/docs/development-story-test-cases.md</x:v>
      </x:c>
      <x:c r="S21" s="22" t="str">
        <x:v>Completion is based on immutable repository evidence; tests were not rerun and current working-tree drift was not re-certified in this reporting-only task.</x:v>
      </x:c>
      <x:c r="T21" s="13" t="str"/>
      <x:c r="U21" s="15"/>
      <x:c r="V21" s="1" t="str">
        <x:f>IF(OR(H21="Completed",H21="Not Applicable"),"No","Yes")</x:f>
        <x:v>No</x:v>
      </x:c>
    </x:row>
    <x:row r="22" ht="55" customHeight="1">
      <x:c r="A22" s="1" t="n">
        <x:v>18</x:v>
      </x:c>
      <x:c r="B22" s="1" t="str">
        <x:v>Phase 1</x:v>
      </x:c>
      <x:c r="C22" s="22" t="str">
        <x:v>Data Handling Acknowledgement</x:v>
      </x:c>
      <x:c r="D22" s="1" t="str">
        <x:v>4.1</x:v>
      </x:c>
      <x:c r="E22" s="22" t="str">
        <x:v>Data Handling Acknowledgement</x:v>
      </x:c>
      <x:c r="F22" s="1" t="str">
        <x:v>Software implementation</x:v>
      </x:c>
      <x:c r="G22" s="1" t="str">
        <x:v>Planned</x:v>
      </x:c>
      <x:c r="H22" s="1" t="str">
        <x:v>Completed</x:v>
      </x:c>
      <x:c r="I22" s="1" t="n">
        <x:f>COUNTIFS('Task Tracker'!$C$5:$C$800,D22,'Task Tracker'!$I$5:$I$800,"Completed")</x:f>
        <x:v>4</x:v>
      </x:c>
      <x:c r="J22" s="1" t="n">
        <x:f>COUNTIF('Task Tracker'!$C$5:$C$800,D22)</x:f>
        <x:v>4</x:v>
      </x:c>
      <x:c r="K22" s="1" t="n">
        <x:f>J22-I22</x:f>
        <x:v>0</x:v>
      </x:c>
      <x:c r="L22" s="1" t="str">
        <x:v>3.2</x:v>
      </x:c>
      <x:c r="M22" s="22" t="str"/>
      <x:c r="N22" s="22" t="str">
        <x:v>Implementation trace plus focused smoke, automated, and story-level regression evidence</x:v>
      </x:c>
      <x:c r="O22" s="22" t="str">
        <x:v>/Users/devups/.codex/skills/gccs-story-sequence/SKILL.md</x:v>
      </x:c>
      <x:c r="P22" s="22" t="str">
        <x:v>Retain traceability; rerun focused verification if the affected boundary changes.</x:v>
      </x:c>
      <x:c r="Q22" s="22" t="str">
        <x:v>Story-labeled commit 6d080359 contains delivery and focused test/test-result files: feat: implement story 4.1 no-cui acknowledgement</x:v>
      </x:c>
      <x:c r="R22" s="22" t="str">
        <x:v>git commit 6d08035916af367a523b4e10f72be07d04b81e54; /Users/devups/Development/CodexProjects/Gccs/docs/development-story-test-cases.md</x:v>
      </x:c>
      <x:c r="S22" s="22" t="str">
        <x:v>Completion is based on immutable repository evidence; tests were not rerun and current working-tree drift was not re-certified in this reporting-only task.</x:v>
      </x:c>
      <x:c r="T22" s="13" t="str"/>
      <x:c r="U22" s="15"/>
      <x:c r="V22" s="1" t="str">
        <x:f>IF(OR(H22="Completed",H22="Not Applicable"),"No","Yes")</x:f>
        <x:v>No</x:v>
      </x:c>
    </x:row>
    <x:row r="23" ht="55" customHeight="1">
      <x:c r="A23" s="1" t="n">
        <x:v>19</x:v>
      </x:c>
      <x:c r="B23" s="1" t="str">
        <x:v>Phase 1</x:v>
      </x:c>
      <x:c r="C23" s="22" t="str">
        <x:v>Upload Guardrails</x:v>
      </x:c>
      <x:c r="D23" s="1" t="str">
        <x:v>4.2</x:v>
      </x:c>
      <x:c r="E23" s="22" t="str">
        <x:v>Upload Guardrails</x:v>
      </x:c>
      <x:c r="F23" s="1" t="str">
        <x:v>Software implementation</x:v>
      </x:c>
      <x:c r="G23" s="1" t="str">
        <x:v>Planned</x:v>
      </x:c>
      <x:c r="H23" s="1" t="str">
        <x:v>Completed</x:v>
      </x:c>
      <x:c r="I23" s="1" t="n">
        <x:f>COUNTIFS('Task Tracker'!$C$5:$C$800,D23,'Task Tracker'!$I$5:$I$800,"Completed")</x:f>
        <x:v>5</x:v>
      </x:c>
      <x:c r="J23" s="1" t="n">
        <x:f>COUNTIF('Task Tracker'!$C$5:$C$800,D23)</x:f>
        <x:v>5</x:v>
      </x:c>
      <x:c r="K23" s="1" t="n">
        <x:f>J23-I23</x:f>
        <x:v>0</x:v>
      </x:c>
      <x:c r="L23" s="1" t="str">
        <x:v>4.1</x:v>
      </x:c>
      <x:c r="M23" s="22" t="str"/>
      <x:c r="N23" s="22" t="str">
        <x:v>Implementation trace plus focused smoke, automated, and story-level regression evidence</x:v>
      </x:c>
      <x:c r="O23" s="22" t="str">
        <x:v>/Users/devups/.codex/skills/gccs-story-sequence/SKILL.md</x:v>
      </x:c>
      <x:c r="P23" s="22" t="str">
        <x:v>Retain traceability; rerun focused verification if the affected boundary changes.</x:v>
      </x:c>
      <x:c r="Q23" s="22" t="str">
        <x:v>Story-labeled commit 3d92e99c contains delivery and focused test/test-result files: feat: implement story 4.2 upload guardrails</x:v>
      </x:c>
      <x:c r="R23" s="22" t="str">
        <x:v>git commit 3d92e99cad7fd49da09db647d33e53563569dc8b; /Users/devups/Development/CodexProjects/Gccs/docs/development-story-test-cases.md</x:v>
      </x:c>
      <x:c r="S23" s="22" t="str">
        <x:v>Completion is based on immutable repository evidence; tests were not rerun and current working-tree drift was not re-certified in this reporting-only task.</x:v>
      </x:c>
      <x:c r="T23" s="13" t="str"/>
      <x:c r="U23" s="15"/>
      <x:c r="V23" s="1" t="str">
        <x:f>IF(OR(H23="Completed",H23="Not Applicable"),"No","Yes")</x:f>
        <x:v>No</x:v>
      </x:c>
    </x:row>
    <x:row r="24" ht="55" customHeight="1">
      <x:c r="A24" s="1" t="n">
        <x:v>20</x:v>
      </x:c>
      <x:c r="B24" s="1" t="str">
        <x:v>Phase 1</x:v>
      </x:c>
      <x:c r="C24" s="22" t="str">
        <x:v>Append-Only Audit Events</x:v>
      </x:c>
      <x:c r="D24" s="1" t="str">
        <x:v>5.1</x:v>
      </x:c>
      <x:c r="E24" s="22" t="str">
        <x:v>Append-Only Audit Events</x:v>
      </x:c>
      <x:c r="F24" s="1" t="str">
        <x:v>Software implementation</x:v>
      </x:c>
      <x:c r="G24" s="1" t="str">
        <x:v>Planned</x:v>
      </x:c>
      <x:c r="H24" s="1" t="str">
        <x:v>Completed</x:v>
      </x:c>
      <x:c r="I24" s="1" t="n">
        <x:f>COUNTIFS('Task Tracker'!$C$5:$C$800,D24,'Task Tracker'!$I$5:$I$800,"Completed")</x:f>
        <x:v>4</x:v>
      </x:c>
      <x:c r="J24" s="1" t="n">
        <x:f>COUNTIF('Task Tracker'!$C$5:$C$800,D24)</x:f>
        <x:v>4</x:v>
      </x:c>
      <x:c r="K24" s="1" t="n">
        <x:f>J24-I24</x:f>
        <x:v>0</x:v>
      </x:c>
      <x:c r="L24" s="1" t="str">
        <x:v>4.2</x:v>
      </x:c>
      <x:c r="M24" s="22" t="str"/>
      <x:c r="N24" s="22" t="str">
        <x:v>Implementation trace plus focused smoke, automated, and story-level regression evidence</x:v>
      </x:c>
      <x:c r="O24" s="22" t="str">
        <x:v>/Users/devups/.codex/skills/gccs-story-sequence/SKILL.md</x:v>
      </x:c>
      <x:c r="P24" s="22" t="str">
        <x:v>Retain traceability; rerun focused verification if the affected boundary changes.</x:v>
      </x:c>
      <x:c r="Q24" s="22" t="str">
        <x:v>Story-labeled commit ee2efa22 contains delivery and focused test/test-result files: feat: implement story 5.1 append-only audit events</x:v>
      </x:c>
      <x:c r="R24" s="22" t="str">
        <x:v>git commit ee2efa228cf31d165052bc52a0e983caebd99cc9; /Users/devups/Development/CodexProjects/Gccs/docs/development-story-test-cases.md</x:v>
      </x:c>
      <x:c r="S24" s="22" t="str">
        <x:v>Completion is based on immutable repository evidence; tests were not rerun and current working-tree drift was not re-certified in this reporting-only task.</x:v>
      </x:c>
      <x:c r="T24" s="13" t="str"/>
      <x:c r="U24" s="15"/>
      <x:c r="V24" s="1" t="str">
        <x:f>IF(OR(H24="Completed",H24="Not Applicable"),"No","Yes")</x:f>
        <x:v>No</x:v>
      </x:c>
    </x:row>
    <x:row r="25" ht="55" customHeight="1">
      <x:c r="A25" s="1" t="n">
        <x:v>21</x:v>
      </x:c>
      <x:c r="B25" s="1" t="str">
        <x:v>Phase 1</x:v>
      </x:c>
      <x:c r="C25" s="22" t="str">
        <x:v>Audit Log Viewer</x:v>
      </x:c>
      <x:c r="D25" s="1" t="str">
        <x:v>5.2</x:v>
      </x:c>
      <x:c r="E25" s="22" t="str">
        <x:v>Audit Log Viewer</x:v>
      </x:c>
      <x:c r="F25" s="1" t="str">
        <x:v>Software implementation</x:v>
      </x:c>
      <x:c r="G25" s="1" t="str">
        <x:v>Planned</x:v>
      </x:c>
      <x:c r="H25" s="1" t="str">
        <x:v>Completed</x:v>
      </x:c>
      <x:c r="I25" s="1" t="n">
        <x:f>COUNTIFS('Task Tracker'!$C$5:$C$800,D25,'Task Tracker'!$I$5:$I$800,"Completed")</x:f>
        <x:v>4</x:v>
      </x:c>
      <x:c r="J25" s="1" t="n">
        <x:f>COUNTIF('Task Tracker'!$C$5:$C$800,D25)</x:f>
        <x:v>4</x:v>
      </x:c>
      <x:c r="K25" s="1" t="n">
        <x:f>J25-I25</x:f>
        <x:v>0</x:v>
      </x:c>
      <x:c r="L25" s="1" t="str">
        <x:v>5.1</x:v>
      </x:c>
      <x:c r="M25" s="22" t="str"/>
      <x:c r="N25" s="22" t="str">
        <x:v>Implementation trace plus focused smoke, automated, and story-level regression evidence</x:v>
      </x:c>
      <x:c r="O25" s="22" t="str">
        <x:v>/Users/devups/.codex/skills/gccs-story-sequence/SKILL.md</x:v>
      </x:c>
      <x:c r="P25" s="22" t="str">
        <x:v>Retain traceability; rerun focused verification if the affected boundary changes.</x:v>
      </x:c>
      <x:c r="Q25" s="22" t="str">
        <x:v>Story-labeled commit 091ec704 contains delivery and focused test/test-result files: feat: implement story 5.2 audit log viewer</x:v>
      </x:c>
      <x:c r="R25" s="22" t="str">
        <x:v>git commit 091ec704654a5ee20fa5646b933d2583fb049de6; /Users/devups/Development/CodexProjects/Gccs/docs/development-story-test-cases.md</x:v>
      </x:c>
      <x:c r="S25" s="22" t="str">
        <x:v>Completion is based on immutable repository evidence; tests were not rerun and current working-tree drift was not re-certified in this reporting-only task.</x:v>
      </x:c>
      <x:c r="T25" s="13" t="str"/>
      <x:c r="U25" s="15"/>
      <x:c r="V25" s="1" t="str">
        <x:f>IF(OR(H25="Completed",H25="Not Applicable"),"No","Yes")</x:f>
        <x:v>No</x:v>
      </x:c>
    </x:row>
    <x:row r="26" ht="55" customHeight="1">
      <x:c r="A26" s="1" t="n">
        <x:v>22</x:v>
      </x:c>
      <x:c r="B26" s="1" t="str">
        <x:v>Phase 1</x:v>
      </x:c>
      <x:c r="C26" s="22" t="str">
        <x:v>Obligation Schema</x:v>
      </x:c>
      <x:c r="D26" s="1" t="str">
        <x:v>6.1</x:v>
      </x:c>
      <x:c r="E26" s="22" t="str">
        <x:v>Obligation Schema</x:v>
      </x:c>
      <x:c r="F26" s="1" t="str">
        <x:v>Software implementation</x:v>
      </x:c>
      <x:c r="G26" s="1" t="str">
        <x:v>Planned</x:v>
      </x:c>
      <x:c r="H26" s="1" t="str">
        <x:v>Completed</x:v>
      </x:c>
      <x:c r="I26" s="1" t="n">
        <x:f>COUNTIFS('Task Tracker'!$C$5:$C$800,D26,'Task Tracker'!$I$5:$I$800,"Completed")</x:f>
        <x:v>4</x:v>
      </x:c>
      <x:c r="J26" s="1" t="n">
        <x:f>COUNTIF('Task Tracker'!$C$5:$C$800,D26)</x:f>
        <x:v>4</x:v>
      </x:c>
      <x:c r="K26" s="1" t="n">
        <x:f>J26-I26</x:f>
        <x:v>0</x:v>
      </x:c>
      <x:c r="L26" s="1" t="str">
        <x:v>5.2</x:v>
      </x:c>
      <x:c r="M26" s="22" t="str"/>
      <x:c r="N26" s="22" t="str">
        <x:v>Implementation trace plus focused smoke, automated, and story-level regression evidence</x:v>
      </x:c>
      <x:c r="O26" s="22" t="str">
        <x:v>/Users/devups/.codex/skills/gccs-story-sequence/SKILL.md</x:v>
      </x:c>
      <x:c r="P26" s="22" t="str">
        <x:v>Retain traceability; rerun focused verification if the affected boundary changes.</x:v>
      </x:c>
      <x:c r="Q26" s="22" t="str">
        <x:v>Story-labeled commit c381bcf4 contains delivery and focused test/test-result files: feat: implement story 6.1 obligation schema</x:v>
      </x:c>
      <x:c r="R26" s="22" t="str">
        <x:v>git commit c381bcf40546d4cac7cc2875225368ab5ff08c39; /Users/devups/Development/CodexProjects/Gccs/docs/development-story-test-cases.md</x:v>
      </x:c>
      <x:c r="S26" s="22" t="str">
        <x:v>Completion is based on immutable repository evidence; tests were not rerun and current working-tree drift was not re-certified in this reporting-only task.</x:v>
      </x:c>
      <x:c r="T26" s="13" t="str"/>
      <x:c r="U26" s="15"/>
      <x:c r="V26" s="1" t="str">
        <x:f>IF(OR(H26="Completed",H26="Not Applicable"),"No","Yes")</x:f>
        <x:v>No</x:v>
      </x:c>
    </x:row>
    <x:row r="27" ht="55" customHeight="1">
      <x:c r="A27" s="1" t="n">
        <x:v>23</x:v>
      </x:c>
      <x:c r="B27" s="1" t="str">
        <x:v>Phase 1</x:v>
      </x:c>
      <x:c r="C27" s="22" t="str">
        <x:v>Content Import</x:v>
      </x:c>
      <x:c r="D27" s="1" t="str">
        <x:v>6.2</x:v>
      </x:c>
      <x:c r="E27" s="22" t="str">
        <x:v>Content Import</x:v>
      </x:c>
      <x:c r="F27" s="1" t="str">
        <x:v>Software implementation</x:v>
      </x:c>
      <x:c r="G27" s="1" t="str">
        <x:v>Planned</x:v>
      </x:c>
      <x:c r="H27" s="1" t="str">
        <x:v>Completed</x:v>
      </x:c>
      <x:c r="I27" s="1" t="n">
        <x:f>COUNTIFS('Task Tracker'!$C$5:$C$800,D27,'Task Tracker'!$I$5:$I$800,"Completed")</x:f>
        <x:v>5</x:v>
      </x:c>
      <x:c r="J27" s="1" t="n">
        <x:f>COUNTIF('Task Tracker'!$C$5:$C$800,D27)</x:f>
        <x:v>5</x:v>
      </x:c>
      <x:c r="K27" s="1" t="n">
        <x:f>J27-I27</x:f>
        <x:v>0</x:v>
      </x:c>
      <x:c r="L27" s="1" t="str">
        <x:v>6.1</x:v>
      </x:c>
      <x:c r="M27" s="22" t="str"/>
      <x:c r="N27" s="22" t="str">
        <x:v>Implementation trace plus focused smoke, automated, and story-level regression evidence</x:v>
      </x:c>
      <x:c r="O27" s="22" t="str">
        <x:v>/Users/devups/.codex/skills/gccs-story-sequence/SKILL.md</x:v>
      </x:c>
      <x:c r="P27" s="22" t="str">
        <x:v>Retain traceability; rerun focused verification if the affected boundary changes.</x:v>
      </x:c>
      <x:c r="Q27" s="22" t="str">
        <x:v>Story-labeled commit d7b64a53 contains delivery and focused test/test-result files: feat: implement story 6.2 content import</x:v>
      </x:c>
      <x:c r="R27" s="22" t="str">
        <x:v>git commit d7b64a538a8c36efebd5617b56eeb5f23831d5cd; /Users/devups/Development/CodexProjects/Gccs/docs/development-story-test-cases.md</x:v>
      </x:c>
      <x:c r="S27" s="22" t="str">
        <x:v>Completion is based on immutable repository evidence; tests were not rerun and current working-tree drift was not re-certified in this reporting-only task.</x:v>
      </x:c>
      <x:c r="T27" s="13" t="str"/>
      <x:c r="U27" s="15"/>
      <x:c r="V27" s="1" t="str">
        <x:f>IF(OR(H27="Completed",H27="Not Applicable"),"No","Yes")</x:f>
        <x:v>No</x:v>
      </x:c>
    </x:row>
    <x:row r="28" ht="55" customHeight="1">
      <x:c r="A28" s="1" t="n">
        <x:v>24</x:v>
      </x:c>
      <x:c r="B28" s="1" t="str">
        <x:v>Phase 1</x:v>
      </x:c>
      <x:c r="C28" s="22" t="str">
        <x:v>Content Review State</x:v>
      </x:c>
      <x:c r="D28" s="1" t="str">
        <x:v>6.3</x:v>
      </x:c>
      <x:c r="E28" s="22" t="str">
        <x:v>Content Review State</x:v>
      </x:c>
      <x:c r="F28" s="1" t="str">
        <x:v>Software implementation</x:v>
      </x:c>
      <x:c r="G28" s="1" t="str">
        <x:v>Planned</x:v>
      </x:c>
      <x:c r="H28" s="1" t="str">
        <x:v>Completed</x:v>
      </x:c>
      <x:c r="I28" s="1" t="n">
        <x:f>COUNTIFS('Task Tracker'!$C$5:$C$800,D28,'Task Tracker'!$I$5:$I$800,"Completed")</x:f>
        <x:v>4</x:v>
      </x:c>
      <x:c r="J28" s="1" t="n">
        <x:f>COUNTIF('Task Tracker'!$C$5:$C$800,D28)</x:f>
        <x:v>4</x:v>
      </x:c>
      <x:c r="K28" s="1" t="n">
        <x:f>J28-I28</x:f>
        <x:v>0</x:v>
      </x:c>
      <x:c r="L28" s="1" t="str">
        <x:v>6.2</x:v>
      </x:c>
      <x:c r="M28" s="22" t="str"/>
      <x:c r="N28" s="22" t="str">
        <x:v>Implementation trace plus focused smoke, automated, and story-level regression evidence</x:v>
      </x:c>
      <x:c r="O28" s="22" t="str">
        <x:v>/Users/devups/.codex/skills/gccs-story-sequence/SKILL.md</x:v>
      </x:c>
      <x:c r="P28" s="22" t="str">
        <x:v>Retain traceability; rerun focused verification if the affected boundary changes.</x:v>
      </x:c>
      <x:c r="Q28" s="22" t="str">
        <x:v>Story-labeled commit e49522be contains delivery and focused test/test-result files: feat: implement story 6.3 content review state</x:v>
      </x:c>
      <x:c r="R28" s="22" t="str">
        <x:v>git commit e49522befb54e6a57f3cbb500f2678c9bdd1d55c; /Users/devups/Development/CodexProjects/Gccs/docs/development-story-test-cases.md</x:v>
      </x:c>
      <x:c r="S28" s="22" t="str">
        <x:v>Completion is based on immutable repository evidence; tests were not rerun and current working-tree drift was not re-certified in this reporting-only task.</x:v>
      </x:c>
      <x:c r="T28" s="13" t="str"/>
      <x:c r="U28" s="15"/>
      <x:c r="V28" s="1" t="str">
        <x:f>IF(OR(H28="Completed",H28="Not Applicable"),"No","Yes")</x:f>
        <x:v>No</x:v>
      </x:c>
    </x:row>
    <x:row r="29" ht="55" customHeight="1">
      <x:c r="A29" s="1" t="n">
        <x:v>25</x:v>
      </x:c>
      <x:c r="B29" s="1" t="str">
        <x:v>Phase 1</x:v>
      </x:c>
      <x:c r="C29" s="22" t="str">
        <x:v>Create Company Profile</x:v>
      </x:c>
      <x:c r="D29" s="1" t="str">
        <x:v>7.1</x:v>
      </x:c>
      <x:c r="E29" s="22" t="str">
        <x:v>Create Company Profile</x:v>
      </x:c>
      <x:c r="F29" s="1" t="str">
        <x:v>Software implementation</x:v>
      </x:c>
      <x:c r="G29" s="1" t="str">
        <x:v>Planned</x:v>
      </x:c>
      <x:c r="H29" s="1" t="str">
        <x:v>Completed</x:v>
      </x:c>
      <x:c r="I29" s="1" t="n">
        <x:f>COUNTIFS('Task Tracker'!$C$5:$C$800,D29,'Task Tracker'!$I$5:$I$800,"Completed")</x:f>
        <x:v>4</x:v>
      </x:c>
      <x:c r="J29" s="1" t="n">
        <x:f>COUNTIF('Task Tracker'!$C$5:$C$800,D29)</x:f>
        <x:v>4</x:v>
      </x:c>
      <x:c r="K29" s="1" t="n">
        <x:f>J29-I29</x:f>
        <x:v>0</x:v>
      </x:c>
      <x:c r="L29" s="1" t="str">
        <x:v>6.3</x:v>
      </x:c>
      <x:c r="M29" s="22" t="str"/>
      <x:c r="N29" s="22" t="str">
        <x:v>Implementation trace plus focused smoke, automated, and story-level regression evidence</x:v>
      </x:c>
      <x:c r="O29" s="22" t="str">
        <x:v>/Users/devups/.codex/skills/gccs-story-sequence/SKILL.md</x:v>
      </x:c>
      <x:c r="P29" s="22" t="str">
        <x:v>Retain traceability; rerun focused verification if the affected boundary changes.</x:v>
      </x:c>
      <x:c r="Q29" s="22" t="str">
        <x:v>Story-labeled commit bd7c8304 contains delivery and focused test/test-result files: feat: implement story 7.1 company profile</x:v>
      </x:c>
      <x:c r="R29" s="22" t="str">
        <x:v>git commit bd7c83049211d87aa1fddda95efb2b6df542ade1; /Users/devups/Development/CodexProjects/Gccs/docs/development-story-test-cases.md</x:v>
      </x:c>
      <x:c r="S29" s="22" t="str">
        <x:v>Completion is based on immutable repository evidence; tests were not rerun and current working-tree drift was not re-certified in this reporting-only task.</x:v>
      </x:c>
      <x:c r="T29" s="13" t="str"/>
      <x:c r="U29" s="15"/>
      <x:c r="V29" s="1" t="str">
        <x:f>IF(OR(H29="Completed",H29="Not Applicable"),"No","Yes")</x:f>
        <x:v>No</x:v>
      </x:c>
    </x:row>
    <x:row r="30" ht="55" customHeight="1">
      <x:c r="A30" s="1" t="n">
        <x:v>26</x:v>
      </x:c>
      <x:c r="B30" s="1" t="str">
        <x:v>Phase 1</x:v>
      </x:c>
      <x:c r="C30" s="22" t="str">
        <x:v>NAICS And Size Status</x:v>
      </x:c>
      <x:c r="D30" s="1" t="str">
        <x:v>7.2</x:v>
      </x:c>
      <x:c r="E30" s="22" t="str">
        <x:v>NAICS And Size Status</x:v>
      </x:c>
      <x:c r="F30" s="1" t="str">
        <x:v>Software implementation</x:v>
      </x:c>
      <x:c r="G30" s="1" t="str">
        <x:v>Planned</x:v>
      </x:c>
      <x:c r="H30" s="1" t="str">
        <x:v>Completed</x:v>
      </x:c>
      <x:c r="I30" s="1" t="n">
        <x:f>COUNTIFS('Task Tracker'!$C$5:$C$800,D30,'Task Tracker'!$I$5:$I$800,"Completed")</x:f>
        <x:v>4</x:v>
      </x:c>
      <x:c r="J30" s="1" t="n">
        <x:f>COUNTIF('Task Tracker'!$C$5:$C$800,D30)</x:f>
        <x:v>4</x:v>
      </x:c>
      <x:c r="K30" s="1" t="n">
        <x:f>J30-I30</x:f>
        <x:v>0</x:v>
      </x:c>
      <x:c r="L30" s="1" t="str">
        <x:v>7.1</x:v>
      </x:c>
      <x:c r="M30" s="22" t="str"/>
      <x:c r="N30" s="22" t="str">
        <x:v>Implementation trace plus focused smoke, automated, and story-level regression evidence</x:v>
      </x:c>
      <x:c r="O30" s="22" t="str">
        <x:v>/Users/devups/.codex/skills/gccs-story-sequence/SKILL.md</x:v>
      </x:c>
      <x:c r="P30" s="22" t="str">
        <x:v>Retain traceability; rerun focused verification if the affected boundary changes.</x:v>
      </x:c>
      <x:c r="Q30" s="22" t="str">
        <x:v>Story-labeled commit f56bf519 contains delivery and focused test/test-result files: feat: implement story 7.2 naics size status</x:v>
      </x:c>
      <x:c r="R30" s="22" t="str">
        <x:v>git commit f56bf519fe6fe008ebe21a97e4c1dc82b879cede; /Users/devups/Development/CodexProjects/Gccs/docs/development-story-test-cases.md</x:v>
      </x:c>
      <x:c r="S30" s="22" t="str">
        <x:v>Completion is based on immutable repository evidence; tests were not rerun and current working-tree drift was not re-certified in this reporting-only task.</x:v>
      </x:c>
      <x:c r="T30" s="13" t="str"/>
      <x:c r="U30" s="15"/>
      <x:c r="V30" s="1" t="str">
        <x:f>IF(OR(H30="Completed",H30="Not Applicable"),"No","Yes")</x:f>
        <x:v>No</x:v>
      </x:c>
    </x:row>
    <x:row r="31" ht="55" customHeight="1">
      <x:c r="A31" s="1" t="n">
        <x:v>27</x:v>
      </x:c>
      <x:c r="B31" s="1" t="str">
        <x:v>Phase 1</x:v>
      </x:c>
      <x:c r="C31" s="22" t="str">
        <x:v>Certification Tracking</x:v>
      </x:c>
      <x:c r="D31" s="1" t="str">
        <x:v>7.3</x:v>
      </x:c>
      <x:c r="E31" s="22" t="str">
        <x:v>Certification Tracking</x:v>
      </x:c>
      <x:c r="F31" s="1" t="str">
        <x:v>Software implementation</x:v>
      </x:c>
      <x:c r="G31" s="1" t="str">
        <x:v>Planned</x:v>
      </x:c>
      <x:c r="H31" s="1" t="str">
        <x:v>Completed</x:v>
      </x:c>
      <x:c r="I31" s="1" t="n">
        <x:f>COUNTIFS('Task Tracker'!$C$5:$C$800,D31,'Task Tracker'!$I$5:$I$800,"Completed")</x:f>
        <x:v>4</x:v>
      </x:c>
      <x:c r="J31" s="1" t="n">
        <x:f>COUNTIF('Task Tracker'!$C$5:$C$800,D31)</x:f>
        <x:v>4</x:v>
      </x:c>
      <x:c r="K31" s="1" t="n">
        <x:f>J31-I31</x:f>
        <x:v>0</x:v>
      </x:c>
      <x:c r="L31" s="1" t="str">
        <x:v>7.2</x:v>
      </x:c>
      <x:c r="M31" s="22" t="str"/>
      <x:c r="N31" s="22" t="str">
        <x:v>Implementation trace plus focused smoke, automated, and story-level regression evidence</x:v>
      </x:c>
      <x:c r="O31" s="22" t="str">
        <x:v>/Users/devups/.codex/skills/gccs-story-sequence/SKILL.md</x:v>
      </x:c>
      <x:c r="P31" s="22" t="str">
        <x:v>Retain traceability; rerun focused verification if the affected boundary changes.</x:v>
      </x:c>
      <x:c r="Q31" s="22" t="str">
        <x:v>Story-labeled commit da85daa4 contains delivery and focused test/test-result files: feat: implement story 7.3 certification tracking</x:v>
      </x:c>
      <x:c r="R31" s="22" t="str">
        <x:v>git commit da85daa43c9711b4d274bd3fcad585cd0899913e; /Users/devups/Development/CodexProjects/Gccs/docs/development-story-test-cases.md</x:v>
      </x:c>
      <x:c r="S31" s="22" t="str">
        <x:v>Completion is based on immutable repository evidence; tests were not rerun and current working-tree drift was not re-certified in this reporting-only task.</x:v>
      </x:c>
      <x:c r="T31" s="13" t="str"/>
      <x:c r="U31" s="15"/>
      <x:c r="V31" s="1" t="str">
        <x:f>IF(OR(H31="Completed",H31="Not Applicable"),"No","Yes")</x:f>
        <x:v>No</x:v>
      </x:c>
    </x:row>
    <x:row r="32" ht="55" customHeight="1">
      <x:c r="A32" s="1" t="n">
        <x:v>28</x:v>
      </x:c>
      <x:c r="B32" s="1" t="str">
        <x:v>Phase 1</x:v>
      </x:c>
      <x:c r="C32" s="22" t="str">
        <x:v>Create Contract Record</x:v>
      </x:c>
      <x:c r="D32" s="1" t="str">
        <x:v>8.1</x:v>
      </x:c>
      <x:c r="E32" s="22" t="str">
        <x:v>Create Contract Record</x:v>
      </x:c>
      <x:c r="F32" s="1" t="str">
        <x:v>Software implementation</x:v>
      </x:c>
      <x:c r="G32" s="1" t="str">
        <x:v>Planned</x:v>
      </x:c>
      <x:c r="H32" s="1" t="str">
        <x:v>Completed</x:v>
      </x:c>
      <x:c r="I32" s="1" t="n">
        <x:f>COUNTIFS('Task Tracker'!$C$5:$C$800,D32,'Task Tracker'!$I$5:$I$800,"Completed")</x:f>
        <x:v>4</x:v>
      </x:c>
      <x:c r="J32" s="1" t="n">
        <x:f>COUNTIF('Task Tracker'!$C$5:$C$800,D32)</x:f>
        <x:v>4</x:v>
      </x:c>
      <x:c r="K32" s="1" t="n">
        <x:f>J32-I32</x:f>
        <x:v>0</x:v>
      </x:c>
      <x:c r="L32" s="1" t="str">
        <x:v>7.3</x:v>
      </x:c>
      <x:c r="M32" s="22" t="str"/>
      <x:c r="N32" s="22" t="str">
        <x:v>Implementation trace plus focused smoke, automated, and story-level regression evidence</x:v>
      </x:c>
      <x:c r="O32" s="22" t="str">
        <x:v>/Users/devups/.codex/skills/gccs-story-sequence/SKILL.md</x:v>
      </x:c>
      <x:c r="P32" s="22" t="str">
        <x:v>Retain traceability; rerun focused verification if the affected boundary changes.</x:v>
      </x:c>
      <x:c r="Q32" s="22" t="str">
        <x:v>Story-labeled commit fb6f6b68 contains delivery and focused test/test-result files: feat: implement story 8.1 contract records</x:v>
      </x:c>
      <x:c r="R32" s="22" t="str">
        <x:v>git commit fb6f6b68e5db11ec0040efe33cb3dc22fe4ae55a; /Users/devups/Development/CodexProjects/Gccs/docs/development-story-test-cases.md</x:v>
      </x:c>
      <x:c r="S32" s="22" t="str">
        <x:v>Completion is based on immutable repository evidence; tests were not rerun and current working-tree drift was not re-certified in this reporting-only task.</x:v>
      </x:c>
      <x:c r="T32" s="13" t="str"/>
      <x:c r="U32" s="15"/>
      <x:c r="V32" s="1" t="str">
        <x:f>IF(OR(H32="Completed",H32="Not Applicable"),"No","Yes")</x:f>
        <x:v>No</x:v>
      </x:c>
    </x:row>
    <x:row r="33" ht="55" customHeight="1">
      <x:c r="A33" s="1" t="n">
        <x:v>29</x:v>
      </x:c>
      <x:c r="B33" s="1" t="str">
        <x:v>Phase 1</x:v>
      </x:c>
      <x:c r="C33" s="22" t="str">
        <x:v>Contract Document Metadata And Upload</x:v>
      </x:c>
      <x:c r="D33" s="1" t="str">
        <x:v>8.2</x:v>
      </x:c>
      <x:c r="E33" s="22" t="str">
        <x:v>Contract Document Metadata And Upload</x:v>
      </x:c>
      <x:c r="F33" s="1" t="str">
        <x:v>Software implementation</x:v>
      </x:c>
      <x:c r="G33" s="1" t="str">
        <x:v>Planned</x:v>
      </x:c>
      <x:c r="H33" s="1" t="str">
        <x:v>Completed</x:v>
      </x:c>
      <x:c r="I33" s="1" t="n">
        <x:f>COUNTIFS('Task Tracker'!$C$5:$C$800,D33,'Task Tracker'!$I$5:$I$800,"Completed")</x:f>
        <x:v>4</x:v>
      </x:c>
      <x:c r="J33" s="1" t="n">
        <x:f>COUNTIF('Task Tracker'!$C$5:$C$800,D33)</x:f>
        <x:v>4</x:v>
      </x:c>
      <x:c r="K33" s="1" t="n">
        <x:f>J33-I33</x:f>
        <x:v>0</x:v>
      </x:c>
      <x:c r="L33" s="1" t="str">
        <x:v>8.1</x:v>
      </x:c>
      <x:c r="M33" s="22" t="str"/>
      <x:c r="N33" s="22" t="str">
        <x:v>Implementation trace plus focused smoke, automated, and story-level regression evidence</x:v>
      </x:c>
      <x:c r="O33" s="22" t="str">
        <x:v>/Users/devups/.codex/skills/gccs-story-sequence/SKILL.md</x:v>
      </x:c>
      <x:c r="P33" s="22" t="str">
        <x:v>Retain traceability; rerun focused verification if the affected boundary changes.</x:v>
      </x:c>
      <x:c r="Q33" s="22" t="str">
        <x:v>Story-labeled commit 8a15f305 contains delivery and focused test/test-result files: feat: implement story 8.2 contract document metadata</x:v>
      </x:c>
      <x:c r="R33" s="22" t="str">
        <x:v>git commit 8a15f305ace1044d1de5d507b0e9c6f642c1b1ee; /Users/devups/Development/CodexProjects/Gccs/docs/development-story-test-cases.md</x:v>
      </x:c>
      <x:c r="S33" s="22" t="str">
        <x:v>Completion is based on immutable repository evidence; tests were not rerun and current working-tree drift was not re-certified in this reporting-only task.</x:v>
      </x:c>
      <x:c r="T33" s="13" t="str"/>
      <x:c r="U33" s="15"/>
      <x:c r="V33" s="1" t="str">
        <x:f>IF(OR(H33="Completed",H33="Not Applicable"),"No","Yes")</x:f>
        <x:v>No</x:v>
      </x:c>
    </x:row>
    <x:row r="34" ht="55" customHeight="1">
      <x:c r="A34" s="1" t="n">
        <x:v>30</x:v>
      </x:c>
      <x:c r="B34" s="1" t="str">
        <x:v>Phase 1</x:v>
      </x:c>
      <x:c r="C34" s="22" t="str">
        <x:v>Contract Dates And Deliverables</x:v>
      </x:c>
      <x:c r="D34" s="1" t="str">
        <x:v>8.3</x:v>
      </x:c>
      <x:c r="E34" s="22" t="str">
        <x:v>Contract Dates And Deliverables</x:v>
      </x:c>
      <x:c r="F34" s="1" t="str">
        <x:v>Software implementation</x:v>
      </x:c>
      <x:c r="G34" s="1" t="str">
        <x:v>Planned</x:v>
      </x:c>
      <x:c r="H34" s="1" t="str">
        <x:v>Completed</x:v>
      </x:c>
      <x:c r="I34" s="1" t="n">
        <x:f>COUNTIFS('Task Tracker'!$C$5:$C$800,D34,'Task Tracker'!$I$5:$I$800,"Completed")</x:f>
        <x:v>4</x:v>
      </x:c>
      <x:c r="J34" s="1" t="n">
        <x:f>COUNTIF('Task Tracker'!$C$5:$C$800,D34)</x:f>
        <x:v>4</x:v>
      </x:c>
      <x:c r="K34" s="1" t="n">
        <x:f>J34-I34</x:f>
        <x:v>0</x:v>
      </x:c>
      <x:c r="L34" s="1" t="str">
        <x:v>8.2</x:v>
      </x:c>
      <x:c r="M34" s="22" t="str"/>
      <x:c r="N34" s="22" t="str">
        <x:v>Implementation trace plus focused smoke, automated, and story-level regression evidence</x:v>
      </x:c>
      <x:c r="O34" s="22" t="str">
        <x:v>/Users/devups/.codex/skills/gccs-story-sequence/SKILL.md</x:v>
      </x:c>
      <x:c r="P34" s="22" t="str">
        <x:v>Retain traceability; rerun focused verification if the affected boundary changes.</x:v>
      </x:c>
      <x:c r="Q34" s="22" t="str">
        <x:v>Story-labeled commit 00a4d39e contains delivery and focused test/test-result files: feat: implement story 8.3 contract deliverables</x:v>
      </x:c>
      <x:c r="R34" s="22" t="str">
        <x:v>git commit 00a4d39e9c0944b01200b7abec11856472b3fe3a; /Users/devups/Development/CodexProjects/Gccs/docs/development-story-test-cases.md</x:v>
      </x:c>
      <x:c r="S34" s="22" t="str">
        <x:v>Completion is based on immutable repository evidence; tests were not rerun and current working-tree drift was not re-certified in this reporting-only task.</x:v>
      </x:c>
      <x:c r="T34" s="13" t="str"/>
      <x:c r="U34" s="15"/>
      <x:c r="V34" s="1" t="str">
        <x:f>IF(OR(H34="Completed",H34="Not Applicable"),"No","Yes")</x:f>
        <x:v>No</x:v>
      </x:c>
    </x:row>
    <x:row r="35" ht="55" customHeight="1">
      <x:c r="A35" s="1" t="n">
        <x:v>31</x:v>
      </x:c>
      <x:c r="B35" s="1" t="str">
        <x:v>Phase 1</x:v>
      </x:c>
      <x:c r="C35" s="22" t="str">
        <x:v>Clause Library Search</x:v>
      </x:c>
      <x:c r="D35" s="1" t="str">
        <x:v>9.1</x:v>
      </x:c>
      <x:c r="E35" s="22" t="str">
        <x:v>Clause Library Search</x:v>
      </x:c>
      <x:c r="F35" s="1" t="str">
        <x:v>Software implementation</x:v>
      </x:c>
      <x:c r="G35" s="1" t="str">
        <x:v>Planned</x:v>
      </x:c>
      <x:c r="H35" s="1" t="str">
        <x:v>Completed</x:v>
      </x:c>
      <x:c r="I35" s="1" t="n">
        <x:f>COUNTIFS('Task Tracker'!$C$5:$C$800,D35,'Task Tracker'!$I$5:$I$800,"Completed")</x:f>
        <x:v>4</x:v>
      </x:c>
      <x:c r="J35" s="1" t="n">
        <x:f>COUNTIF('Task Tracker'!$C$5:$C$800,D35)</x:f>
        <x:v>4</x:v>
      </x:c>
      <x:c r="K35" s="1" t="n">
        <x:f>J35-I35</x:f>
        <x:v>0</x:v>
      </x:c>
      <x:c r="L35" s="1" t="str">
        <x:v>8.3</x:v>
      </x:c>
      <x:c r="M35" s="22" t="str"/>
      <x:c r="N35" s="22" t="str">
        <x:v>Implementation trace plus focused smoke, automated, and story-level regression evidence</x:v>
      </x:c>
      <x:c r="O35" s="22" t="str">
        <x:v>/Users/devups/.codex/skills/gccs-story-sequence/SKILL.md</x:v>
      </x:c>
      <x:c r="P35" s="22" t="str">
        <x:v>Retain traceability; rerun focused verification if the affected boundary changes.</x:v>
      </x:c>
      <x:c r="Q35" s="22" t="str">
        <x:v>Story-labeled commit 185799f5 contains delivery and focused test/test-result files: feat: implement story 9.1 clause library search</x:v>
      </x:c>
      <x:c r="R35" s="22" t="str">
        <x:v>git commit 185799f5920b8deb3552abb4f2437b2bafc41b51; /Users/devups/Development/CodexProjects/Gccs/docs/development-story-test-cases.md</x:v>
      </x:c>
      <x:c r="S35" s="22" t="str">
        <x:v>Completion is based on immutable repository evidence; tests were not rerun and current working-tree drift was not re-certified in this reporting-only task.</x:v>
      </x:c>
      <x:c r="T35" s="13" t="str"/>
      <x:c r="U35" s="15"/>
      <x:c r="V35" s="1" t="str">
        <x:f>IF(OR(H35="Completed",H35="Not Applicable"),"No","Yes")</x:f>
        <x:v>No</x:v>
      </x:c>
    </x:row>
    <x:row r="36" ht="55" customHeight="1">
      <x:c r="A36" s="1" t="n">
        <x:v>32</x:v>
      </x:c>
      <x:c r="B36" s="1" t="str">
        <x:v>Phase 1</x:v>
      </x:c>
      <x:c r="C36" s="22" t="str">
        <x:v>Attach Clause To Contract</x:v>
      </x:c>
      <x:c r="D36" s="1" t="str">
        <x:v>9.2</x:v>
      </x:c>
      <x:c r="E36" s="22" t="str">
        <x:v>Attach Clause To Contract</x:v>
      </x:c>
      <x:c r="F36" s="1" t="str">
        <x:v>Software implementation</x:v>
      </x:c>
      <x:c r="G36" s="1" t="str">
        <x:v>Planned</x:v>
      </x:c>
      <x:c r="H36" s="1" t="str">
        <x:v>Completed</x:v>
      </x:c>
      <x:c r="I36" s="1" t="n">
        <x:f>COUNTIFS('Task Tracker'!$C$5:$C$800,D36,'Task Tracker'!$I$5:$I$800,"Completed")</x:f>
        <x:v>4</x:v>
      </x:c>
      <x:c r="J36" s="1" t="n">
        <x:f>COUNTIF('Task Tracker'!$C$5:$C$800,D36)</x:f>
        <x:v>4</x:v>
      </x:c>
      <x:c r="K36" s="1" t="n">
        <x:f>J36-I36</x:f>
        <x:v>0</x:v>
      </x:c>
      <x:c r="L36" s="1" t="str">
        <x:v>9.1</x:v>
      </x:c>
      <x:c r="M36" s="22" t="str"/>
      <x:c r="N36" s="22" t="str">
        <x:v>Implementation trace plus focused smoke, automated, and story-level regression evidence</x:v>
      </x:c>
      <x:c r="O36" s="22" t="str">
        <x:v>/Users/devups/.codex/skills/gccs-story-sequence/SKILL.md</x:v>
      </x:c>
      <x:c r="P36" s="22" t="str">
        <x:v>Retain traceability; rerun focused verification if the affected boundary changes.</x:v>
      </x:c>
      <x:c r="Q36" s="22" t="str">
        <x:v>Story-labeled commit 5330c3e9 contains delivery and focused test/test-result files: feat: implement story 9.2 contract clause attachment</x:v>
      </x:c>
      <x:c r="R36" s="22" t="str">
        <x:v>git commit 5330c3e991ff72d34aee4f08418aed6c7a8bf3f2; /Users/devups/Development/CodexProjects/Gccs/docs/development-story-test-cases.md</x:v>
      </x:c>
      <x:c r="S36" s="22" t="str">
        <x:v>Completion is based on immutable repository evidence; tests were not rerun and current working-tree drift was not re-certified in this reporting-only task.</x:v>
      </x:c>
      <x:c r="T36" s="13" t="str"/>
      <x:c r="U36" s="15"/>
      <x:c r="V36" s="1" t="str">
        <x:f>IF(OR(H36="Completed",H36="Not Applicable"),"No","Yes")</x:f>
        <x:v>No</x:v>
      </x:c>
    </x:row>
    <x:row r="37" ht="55" customHeight="1">
      <x:c r="A37" s="1" t="n">
        <x:v>33</x:v>
      </x:c>
      <x:c r="B37" s="1" t="str">
        <x:v>Phase 1</x:v>
      </x:c>
      <x:c r="C37" s="22" t="str">
        <x:v>Generate Obligations From Clause</x:v>
      </x:c>
      <x:c r="D37" s="1" t="str">
        <x:v>9.3</x:v>
      </x:c>
      <x:c r="E37" s="22" t="str">
        <x:v>Generate Obligations From Clause</x:v>
      </x:c>
      <x:c r="F37" s="1" t="str">
        <x:v>Software implementation</x:v>
      </x:c>
      <x:c r="G37" s="1" t="str">
        <x:v>Planned</x:v>
      </x:c>
      <x:c r="H37" s="1" t="str">
        <x:v>Completed</x:v>
      </x:c>
      <x:c r="I37" s="1" t="n">
        <x:f>COUNTIFS('Task Tracker'!$C$5:$C$800,D37,'Task Tracker'!$I$5:$I$800,"Completed")</x:f>
        <x:v>4</x:v>
      </x:c>
      <x:c r="J37" s="1" t="n">
        <x:f>COUNTIF('Task Tracker'!$C$5:$C$800,D37)</x:f>
        <x:v>4</x:v>
      </x:c>
      <x:c r="K37" s="1" t="n">
        <x:f>J37-I37</x:f>
        <x:v>0</x:v>
      </x:c>
      <x:c r="L37" s="1" t="str">
        <x:v>9.2</x:v>
      </x:c>
      <x:c r="M37" s="22" t="str"/>
      <x:c r="N37" s="22" t="str">
        <x:v>Implementation trace plus focused smoke, automated, and story-level regression evidence</x:v>
      </x:c>
      <x:c r="O37" s="22" t="str">
        <x:v>/Users/devups/.codex/skills/gccs-story-sequence/SKILL.md</x:v>
      </x:c>
      <x:c r="P37" s="22" t="str">
        <x:v>Retain traceability; rerun focused verification if the affected boundary changes.</x:v>
      </x:c>
      <x:c r="Q37" s="22" t="str">
        <x:v>Story-labeled commit 687247db contains delivery and focused test/test-result files: feat: implement story 9.3 clause obligation generation</x:v>
      </x:c>
      <x:c r="R37" s="22" t="str">
        <x:v>git commit 687247db219b1ae76e37c3f6518964cb6c8b1ef3; /Users/devups/Development/CodexProjects/Gccs/docs/development-story-test-cases.md</x:v>
      </x:c>
      <x:c r="S37" s="22" t="str">
        <x:v>Completion is based on immutable repository evidence; tests were not rerun and current working-tree drift was not re-certified in this reporting-only task.</x:v>
      </x:c>
      <x:c r="T37" s="13" t="str"/>
      <x:c r="U37" s="15"/>
      <x:c r="V37" s="1" t="str">
        <x:f>IF(OR(H37="Completed",H37="Not Applicable"),"No","Yes")</x:f>
        <x:v>No</x:v>
      </x:c>
    </x:row>
    <x:row r="38" ht="55" customHeight="1">
      <x:c r="A38" s="1" t="n">
        <x:v>34</x:v>
      </x:c>
      <x:c r="B38" s="1" t="str">
        <x:v>Phase 1</x:v>
      </x:c>
      <x:c r="C38" s="22" t="str">
        <x:v>Obligation List And Filters</x:v>
      </x:c>
      <x:c r="D38" s="1" t="str">
        <x:v>10.1</x:v>
      </x:c>
      <x:c r="E38" s="22" t="str">
        <x:v>Obligation List And Filters</x:v>
      </x:c>
      <x:c r="F38" s="1" t="str">
        <x:v>Software implementation</x:v>
      </x:c>
      <x:c r="G38" s="1" t="str">
        <x:v>Planned</x:v>
      </x:c>
      <x:c r="H38" s="1" t="str">
        <x:v>Completed</x:v>
      </x:c>
      <x:c r="I38" s="1" t="n">
        <x:f>COUNTIFS('Task Tracker'!$C$5:$C$800,D38,'Task Tracker'!$I$5:$I$800,"Completed")</x:f>
        <x:v>4</x:v>
      </x:c>
      <x:c r="J38" s="1" t="n">
        <x:f>COUNTIF('Task Tracker'!$C$5:$C$800,D38)</x:f>
        <x:v>4</x:v>
      </x:c>
      <x:c r="K38" s="1" t="n">
        <x:f>J38-I38</x:f>
        <x:v>0</x:v>
      </x:c>
      <x:c r="L38" s="1" t="str">
        <x:v>9.3</x:v>
      </x:c>
      <x:c r="M38" s="22" t="str"/>
      <x:c r="N38" s="22" t="str">
        <x:v>Implementation trace plus focused smoke, automated, and story-level regression evidence</x:v>
      </x:c>
      <x:c r="O38" s="22" t="str">
        <x:v>/Users/devups/.codex/skills/gccs-story-sequence/SKILL.md</x:v>
      </x:c>
      <x:c r="P38" s="22" t="str">
        <x:v>Retain traceability; rerun focused verification if the affected boundary changes.</x:v>
      </x:c>
      <x:c r="Q38" s="22" t="str">
        <x:v>Story-labeled commit f20ebf27 contains delivery and focused test/test-result files: feat: implement story 10.1 obligation dashboard</x:v>
      </x:c>
      <x:c r="R38" s="22" t="str">
        <x:v>git commit f20ebf27bf0a8d41e9ab70cc1579f83cf93053c0; /Users/devups/Development/CodexProjects/Gccs/docs/development-story-test-cases.md</x:v>
      </x:c>
      <x:c r="S38" s="22" t="str">
        <x:v>Completion is based on immutable repository evidence; tests were not rerun and current working-tree drift was not re-certified in this reporting-only task.</x:v>
      </x:c>
      <x:c r="T38" s="13" t="str"/>
      <x:c r="U38" s="15"/>
      <x:c r="V38" s="1" t="str">
        <x:f>IF(OR(H38="Completed",H38="Not Applicable"),"No","Yes")</x:f>
        <x:v>No</x:v>
      </x:c>
    </x:row>
    <x:row r="39" ht="55" customHeight="1">
      <x:c r="A39" s="1" t="n">
        <x:v>35</x:v>
      </x:c>
      <x:c r="B39" s="1" t="str">
        <x:v>Phase 1</x:v>
      </x:c>
      <x:c r="C39" s="22" t="str">
        <x:v>Obligation Detail</x:v>
      </x:c>
      <x:c r="D39" s="1" t="str">
        <x:v>10.2</x:v>
      </x:c>
      <x:c r="E39" s="22" t="str">
        <x:v>Obligation Detail</x:v>
      </x:c>
      <x:c r="F39" s="1" t="str">
        <x:v>Software implementation</x:v>
      </x:c>
      <x:c r="G39" s="1" t="str">
        <x:v>Planned</x:v>
      </x:c>
      <x:c r="H39" s="1" t="str">
        <x:v>Completed</x:v>
      </x:c>
      <x:c r="I39" s="1" t="n">
        <x:f>COUNTIFS('Task Tracker'!$C$5:$C$800,D39,'Task Tracker'!$I$5:$I$800,"Completed")</x:f>
        <x:v>4</x:v>
      </x:c>
      <x:c r="J39" s="1" t="n">
        <x:f>COUNTIF('Task Tracker'!$C$5:$C$800,D39)</x:f>
        <x:v>4</x:v>
      </x:c>
      <x:c r="K39" s="1" t="n">
        <x:f>J39-I39</x:f>
        <x:v>0</x:v>
      </x:c>
      <x:c r="L39" s="1" t="str">
        <x:v>10.1</x:v>
      </x:c>
      <x:c r="M39" s="22" t="str"/>
      <x:c r="N39" s="22" t="str">
        <x:v>Implementation trace plus focused smoke, automated, and story-level regression evidence</x:v>
      </x:c>
      <x:c r="O39" s="22" t="str">
        <x:v>/Users/devups/.codex/skills/gccs-story-sequence/SKILL.md</x:v>
      </x:c>
      <x:c r="P39" s="22" t="str">
        <x:v>Retain traceability; rerun focused verification if the affected boundary changes.</x:v>
      </x:c>
      <x:c r="Q39" s="22" t="str">
        <x:v>Story-labeled commit c79f5601 contains delivery and focused test/test-result files: feat: implement story 10.2 obligation detail</x:v>
      </x:c>
      <x:c r="R39" s="22" t="str">
        <x:v>git commit c79f56010ab08d531a01a648b2a453da34a0ebe4; /Users/devups/Development/CodexProjects/Gccs/docs/development-story-test-cases.md</x:v>
      </x:c>
      <x:c r="S39" s="22" t="str">
        <x:v>Completion is based on immutable repository evidence; tests were not rerun and current working-tree drift was not re-certified in this reporting-only task.</x:v>
      </x:c>
      <x:c r="T39" s="13" t="str"/>
      <x:c r="U39" s="15"/>
      <x:c r="V39" s="1" t="str">
        <x:f>IF(OR(H39="Completed",H39="Not Applicable"),"No","Yes")</x:f>
        <x:v>No</x:v>
      </x:c>
    </x:row>
    <x:row r="40" ht="55" customHeight="1">
      <x:c r="A40" s="1" t="n">
        <x:v>36</x:v>
      </x:c>
      <x:c r="B40" s="1" t="str">
        <x:v>Phase 1</x:v>
      </x:c>
      <x:c r="C40" s="22" t="str">
        <x:v>Ownership Assignment</x:v>
      </x:c>
      <x:c r="D40" s="1" t="str">
        <x:v>10.3</x:v>
      </x:c>
      <x:c r="E40" s="22" t="str">
        <x:v>Ownership Assignment</x:v>
      </x:c>
      <x:c r="F40" s="1" t="str">
        <x:v>Software implementation</x:v>
      </x:c>
      <x:c r="G40" s="1" t="str">
        <x:v>Planned</x:v>
      </x:c>
      <x:c r="H40" s="1" t="str">
        <x:v>Completed</x:v>
      </x:c>
      <x:c r="I40" s="1" t="n">
        <x:f>COUNTIFS('Task Tracker'!$C$5:$C$800,D40,'Task Tracker'!$I$5:$I$800,"Completed")</x:f>
        <x:v>4</x:v>
      </x:c>
      <x:c r="J40" s="1" t="n">
        <x:f>COUNTIF('Task Tracker'!$C$5:$C$800,D40)</x:f>
        <x:v>4</x:v>
      </x:c>
      <x:c r="K40" s="1" t="n">
        <x:f>J40-I40</x:f>
        <x:v>0</x:v>
      </x:c>
      <x:c r="L40" s="1" t="str">
        <x:v>10.2</x:v>
      </x:c>
      <x:c r="M40" s="22" t="str"/>
      <x:c r="N40" s="22" t="str">
        <x:v>Implementation trace plus focused smoke, automated, and story-level regression evidence</x:v>
      </x:c>
      <x:c r="O40" s="22" t="str">
        <x:v>/Users/devups/.codex/skills/gccs-story-sequence/SKILL.md</x:v>
      </x:c>
      <x:c r="P40" s="22" t="str">
        <x:v>Retain traceability; rerun focused verification if the affected boundary changes.</x:v>
      </x:c>
      <x:c r="Q40" s="22" t="str">
        <x:v>Story-labeled commit 46478373 contains delivery and focused test/test-result files: feat: implement story 10.3 ownership assignment</x:v>
      </x:c>
      <x:c r="R40" s="22" t="str">
        <x:v>git commit 46478373e6aee59159bbf8e1030d280805f94964; /Users/devups/Development/CodexProjects/Gccs/docs/development-story-test-cases.md</x:v>
      </x:c>
      <x:c r="S40" s="22" t="str">
        <x:v>Completion is based on immutable repository evidence; tests were not rerun and current working-tree drift was not re-certified in this reporting-only task.</x:v>
      </x:c>
      <x:c r="T40" s="13" t="str"/>
      <x:c r="U40" s="15"/>
      <x:c r="V40" s="1" t="str">
        <x:f>IF(OR(H40="Completed",H40="Not Applicable"),"No","Yes")</x:f>
        <x:v>No</x:v>
      </x:c>
    </x:row>
    <x:row r="41" ht="55" customHeight="1">
      <x:c r="A41" s="1" t="n">
        <x:v>37</x:v>
      </x:c>
      <x:c r="B41" s="1" t="str">
        <x:v>Phase 1</x:v>
      </x:c>
      <x:c r="C41" s="22" t="str">
        <x:v>Task Management</x:v>
      </x:c>
      <x:c r="D41" s="1" t="str">
        <x:v>11.1</x:v>
      </x:c>
      <x:c r="E41" s="22" t="str">
        <x:v>Task Management</x:v>
      </x:c>
      <x:c r="F41" s="1" t="str">
        <x:v>Software implementation</x:v>
      </x:c>
      <x:c r="G41" s="1" t="str">
        <x:v>Planned</x:v>
      </x:c>
      <x:c r="H41" s="1" t="str">
        <x:v>Completed</x:v>
      </x:c>
      <x:c r="I41" s="1" t="n">
        <x:f>COUNTIFS('Task Tracker'!$C$5:$C$800,D41,'Task Tracker'!$I$5:$I$800,"Completed")</x:f>
        <x:v>4</x:v>
      </x:c>
      <x:c r="J41" s="1" t="n">
        <x:f>COUNTIF('Task Tracker'!$C$5:$C$800,D41)</x:f>
        <x:v>4</x:v>
      </x:c>
      <x:c r="K41" s="1" t="n">
        <x:f>J41-I41</x:f>
        <x:v>0</x:v>
      </x:c>
      <x:c r="L41" s="1" t="str">
        <x:v>10.3</x:v>
      </x:c>
      <x:c r="M41" s="22" t="str"/>
      <x:c r="N41" s="22" t="str">
        <x:v>Implementation trace plus focused smoke, automated, and story-level regression evidence</x:v>
      </x:c>
      <x:c r="O41" s="22" t="str">
        <x:v>/Users/devups/.codex/skills/gccs-story-sequence/SKILL.md</x:v>
      </x:c>
      <x:c r="P41" s="22" t="str">
        <x:v>Retain traceability; rerun focused verification if the affected boundary changes.</x:v>
      </x:c>
      <x:c r="Q41" s="22" t="str">
        <x:v>Story-labeled commit 8dbf5ed9 contains delivery and focused test/test-result files: feat: implement story 11.1 task management</x:v>
      </x:c>
      <x:c r="R41" s="22" t="str">
        <x:v>git commit 8dbf5ed9770a2da8ed0b48bc8ed0a3c60661eaa7; /Users/devups/Development/CodexProjects/Gccs/docs/development-story-test-cases.md</x:v>
      </x:c>
      <x:c r="S41" s="22" t="str">
        <x:v>Completion is based on immutable repository evidence; tests were not rerun and current working-tree drift was not re-certified in this reporting-only task.</x:v>
      </x:c>
      <x:c r="T41" s="13" t="str"/>
      <x:c r="U41" s="15"/>
      <x:c r="V41" s="1" t="str">
        <x:f>IF(OR(H41="Completed",H41="Not Applicable"),"No","Yes")</x:f>
        <x:v>No</x:v>
      </x:c>
    </x:row>
    <x:row r="42" ht="55" customHeight="1">
      <x:c r="A42" s="1" t="n">
        <x:v>38</x:v>
      </x:c>
      <x:c r="B42" s="1" t="str">
        <x:v>Phase 1</x:v>
      </x:c>
      <x:c r="C42" s="22" t="str">
        <x:v>Calendar View</x:v>
      </x:c>
      <x:c r="D42" s="1" t="str">
        <x:v>11.2</x:v>
      </x:c>
      <x:c r="E42" s="22" t="str">
        <x:v>Calendar View</x:v>
      </x:c>
      <x:c r="F42" s="1" t="str">
        <x:v>Software implementation</x:v>
      </x:c>
      <x:c r="G42" s="1" t="str">
        <x:v>Planned</x:v>
      </x:c>
      <x:c r="H42" s="1" t="str">
        <x:v>Completed</x:v>
      </x:c>
      <x:c r="I42" s="1" t="n">
        <x:f>COUNTIFS('Task Tracker'!$C$5:$C$800,D42,'Task Tracker'!$I$5:$I$800,"Completed")</x:f>
        <x:v>4</x:v>
      </x:c>
      <x:c r="J42" s="1" t="n">
        <x:f>COUNTIF('Task Tracker'!$C$5:$C$800,D42)</x:f>
        <x:v>4</x:v>
      </x:c>
      <x:c r="K42" s="1" t="n">
        <x:f>J42-I42</x:f>
        <x:v>0</x:v>
      </x:c>
      <x:c r="L42" s="1" t="str">
        <x:v>11.1</x:v>
      </x:c>
      <x:c r="M42" s="22" t="str"/>
      <x:c r="N42" s="22" t="str">
        <x:v>Implementation trace plus focused smoke, automated, and story-level regression evidence</x:v>
      </x:c>
      <x:c r="O42" s="22" t="str">
        <x:v>/Users/devups/.codex/skills/gccs-story-sequence/SKILL.md</x:v>
      </x:c>
      <x:c r="P42" s="22" t="str">
        <x:v>Retain traceability; rerun focused verification if the affected boundary changes.</x:v>
      </x:c>
      <x:c r="Q42" s="22" t="str">
        <x:v>Story-labeled commit a3f77f3f contains delivery and focused test/test-result files: feat: implement story 11.2 calendar view</x:v>
      </x:c>
      <x:c r="R42" s="22" t="str">
        <x:v>git commit a3f77f3f8183568489225c1080e102428348aa6f; /Users/devups/Development/CodexProjects/Gccs/docs/development-story-test-cases.md</x:v>
      </x:c>
      <x:c r="S42" s="22" t="str">
        <x:v>Completion is based on immutable repository evidence; tests were not rerun and current working-tree drift was not re-certified in this reporting-only task.</x:v>
      </x:c>
      <x:c r="T42" s="13" t="str"/>
      <x:c r="U42" s="15"/>
      <x:c r="V42" s="1" t="str">
        <x:f>IF(OR(H42="Completed",H42="Not Applicable"),"No","Yes")</x:f>
        <x:v>No</x:v>
      </x:c>
    </x:row>
    <x:row r="43" ht="55" customHeight="1">
      <x:c r="A43" s="1" t="n">
        <x:v>39</x:v>
      </x:c>
      <x:c r="B43" s="1" t="str">
        <x:v>Phase 1</x:v>
      </x:c>
      <x:c r="C43" s="22" t="str">
        <x:v>Renewal Generation</x:v>
      </x:c>
      <x:c r="D43" s="1" t="str">
        <x:v>11.3</x:v>
      </x:c>
      <x:c r="E43" s="22" t="str">
        <x:v>Renewal Generation</x:v>
      </x:c>
      <x:c r="F43" s="1" t="str">
        <x:v>Software implementation</x:v>
      </x:c>
      <x:c r="G43" s="1" t="str">
        <x:v>Planned</x:v>
      </x:c>
      <x:c r="H43" s="1" t="str">
        <x:v>Completed</x:v>
      </x:c>
      <x:c r="I43" s="1" t="n">
        <x:f>COUNTIFS('Task Tracker'!$C$5:$C$800,D43,'Task Tracker'!$I$5:$I$800,"Completed")</x:f>
        <x:v>4</x:v>
      </x:c>
      <x:c r="J43" s="1" t="n">
        <x:f>COUNTIF('Task Tracker'!$C$5:$C$800,D43)</x:f>
        <x:v>4</x:v>
      </x:c>
      <x:c r="K43" s="1" t="n">
        <x:f>J43-I43</x:f>
        <x:v>0</x:v>
      </x:c>
      <x:c r="L43" s="1" t="str">
        <x:v>11.2</x:v>
      </x:c>
      <x:c r="M43" s="22" t="str"/>
      <x:c r="N43" s="22" t="str">
        <x:v>Implementation trace plus focused smoke, automated, and story-level regression evidence</x:v>
      </x:c>
      <x:c r="O43" s="22" t="str">
        <x:v>/Users/devups/.codex/skills/gccs-story-sequence/SKILL.md</x:v>
      </x:c>
      <x:c r="P43" s="22" t="str">
        <x:v>Retain traceability; rerun focused verification if the affected boundary changes.</x:v>
      </x:c>
      <x:c r="Q43" s="22" t="str">
        <x:v>Story-labeled commit df851e31 contains delivery and focused test/test-result files: feat: implement story 11.3 renewal generation</x:v>
      </x:c>
      <x:c r="R43" s="22" t="str">
        <x:v>git commit df851e316d94089b15b1bec05446d88beb0890c6; /Users/devups/Development/CodexProjects/Gccs/docs/development-story-test-cases.md</x:v>
      </x:c>
      <x:c r="S43" s="22" t="str">
        <x:v>Completion is based on immutable repository evidence; tests were not rerun and current working-tree drift was not re-certified in this reporting-only task.</x:v>
      </x:c>
      <x:c r="T43" s="13" t="str"/>
      <x:c r="U43" s="15"/>
      <x:c r="V43" s="1" t="str">
        <x:f>IF(OR(H43="Completed",H43="Not Applicable"),"No","Yes")</x:f>
        <x:v>No</x:v>
      </x:c>
    </x:row>
    <x:row r="44" ht="55" customHeight="1">
      <x:c r="A44" s="1" t="n">
        <x:v>40</x:v>
      </x:c>
      <x:c r="B44" s="1" t="str">
        <x:v>Phase 1</x:v>
      </x:c>
      <x:c r="C44" s="22" t="str">
        <x:v>Evidence Metadata</x:v>
      </x:c>
      <x:c r="D44" s="1" t="str">
        <x:v>12.1</x:v>
      </x:c>
      <x:c r="E44" s="22" t="str">
        <x:v>Evidence Metadata</x:v>
      </x:c>
      <x:c r="F44" s="1" t="str">
        <x:v>Software implementation</x:v>
      </x:c>
      <x:c r="G44" s="1" t="str">
        <x:v>Planned</x:v>
      </x:c>
      <x:c r="H44" s="1" t="str">
        <x:v>Completed</x:v>
      </x:c>
      <x:c r="I44" s="1" t="n">
        <x:f>COUNTIFS('Task Tracker'!$C$5:$C$800,D44,'Task Tracker'!$I$5:$I$800,"Completed")</x:f>
        <x:v>4</x:v>
      </x:c>
      <x:c r="J44" s="1" t="n">
        <x:f>COUNTIF('Task Tracker'!$C$5:$C$800,D44)</x:f>
        <x:v>4</x:v>
      </x:c>
      <x:c r="K44" s="1" t="n">
        <x:f>J44-I44</x:f>
        <x:v>0</x:v>
      </x:c>
      <x:c r="L44" s="1" t="str">
        <x:v>11.3</x:v>
      </x:c>
      <x:c r="M44" s="22" t="str"/>
      <x:c r="N44" s="22" t="str">
        <x:v>Implementation trace plus focused smoke, automated, and story-level regression evidence</x:v>
      </x:c>
      <x:c r="O44" s="22" t="str">
        <x:v>/Users/devups/.codex/skills/gccs-story-sequence/SKILL.md</x:v>
      </x:c>
      <x:c r="P44" s="22" t="str">
        <x:v>Retain traceability; rerun focused verification if the affected boundary changes.</x:v>
      </x:c>
      <x:c r="Q44" s="22" t="str">
        <x:v>Story-labeled commit fd8925a0 contains delivery and focused test/test-result files: feat: implement story 12.1 evidence metadata</x:v>
      </x:c>
      <x:c r="R44" s="22" t="str">
        <x:v>git commit fd8925a04d8449f843e4e3d86b1a21df96eb2662; /Users/devups/Development/CodexProjects/Gccs/docs/development-story-test-cases.md</x:v>
      </x:c>
      <x:c r="S44" s="22" t="str">
        <x:v>Completion is based on immutable repository evidence; tests were not rerun and current working-tree drift was not re-certified in this reporting-only task.</x:v>
      </x:c>
      <x:c r="T44" s="13" t="str"/>
      <x:c r="U44" s="15"/>
      <x:c r="V44" s="1" t="str">
        <x:f>IF(OR(H44="Completed",H44="Not Applicable"),"No","Yes")</x:f>
        <x:v>No</x:v>
      </x:c>
    </x:row>
    <x:row r="45" ht="55" customHeight="1">
      <x:c r="A45" s="1" t="n">
        <x:v>41</x:v>
      </x:c>
      <x:c r="B45" s="1" t="str">
        <x:v>Phase 1</x:v>
      </x:c>
      <x:c r="C45" s="22" t="str">
        <x:v>Evidence File Upload</x:v>
      </x:c>
      <x:c r="D45" s="1" t="str">
        <x:v>12.2</x:v>
      </x:c>
      <x:c r="E45" s="22" t="str">
        <x:v>Evidence File Upload</x:v>
      </x:c>
      <x:c r="F45" s="1" t="str">
        <x:v>Software implementation</x:v>
      </x:c>
      <x:c r="G45" s="1" t="str">
        <x:v>Planned</x:v>
      </x:c>
      <x:c r="H45" s="1" t="str">
        <x:v>Completed</x:v>
      </x:c>
      <x:c r="I45" s="1" t="n">
        <x:f>COUNTIFS('Task Tracker'!$C$5:$C$800,D45,'Task Tracker'!$I$5:$I$800,"Completed")</x:f>
        <x:v>4</x:v>
      </x:c>
      <x:c r="J45" s="1" t="n">
        <x:f>COUNTIF('Task Tracker'!$C$5:$C$800,D45)</x:f>
        <x:v>4</x:v>
      </x:c>
      <x:c r="K45" s="1" t="n">
        <x:f>J45-I45</x:f>
        <x:v>0</x:v>
      </x:c>
      <x:c r="L45" s="1" t="str">
        <x:v>12.1</x:v>
      </x:c>
      <x:c r="M45" s="22" t="str"/>
      <x:c r="N45" s="22" t="str">
        <x:v>Implementation trace plus focused smoke, automated, and story-level regression evidence</x:v>
      </x:c>
      <x:c r="O45" s="22" t="str">
        <x:v>/Users/devups/.codex/skills/gccs-story-sequence/SKILL.md</x:v>
      </x:c>
      <x:c r="P45" s="22" t="str">
        <x:v>Retain traceability; rerun focused verification if the affected boundary changes.</x:v>
      </x:c>
      <x:c r="Q45" s="22" t="str">
        <x:v>Story-labeled commit 62f060c4 contains delivery and focused test/test-result files: feat: implement story 12.2 evidence file upload</x:v>
      </x:c>
      <x:c r="R45" s="22" t="str">
        <x:v>git commit 62f060c400b5df596f72bea65846c7fb3ffb4d67; /Users/devups/Development/CodexProjects/Gccs/docs/development-story-test-cases.md</x:v>
      </x:c>
      <x:c r="S45" s="22" t="str">
        <x:v>Completion is based on immutable repository evidence; tests were not rerun and current working-tree drift was not re-certified in this reporting-only task.</x:v>
      </x:c>
      <x:c r="T45" s="13" t="str"/>
      <x:c r="U45" s="15"/>
      <x:c r="V45" s="1" t="str">
        <x:f>IF(OR(H45="Completed",H45="Not Applicable"),"No","Yes")</x:f>
        <x:v>No</x:v>
      </x:c>
    </x:row>
    <x:row r="46" ht="55" customHeight="1">
      <x:c r="A46" s="1" t="n">
        <x:v>42</x:v>
      </x:c>
      <x:c r="B46" s="1" t="str">
        <x:v>Phase 1</x:v>
      </x:c>
      <x:c r="C46" s="22" t="str">
        <x:v>Evidence Approval</x:v>
      </x:c>
      <x:c r="D46" s="1" t="str">
        <x:v>12.3</x:v>
      </x:c>
      <x:c r="E46" s="22" t="str">
        <x:v>Evidence Approval</x:v>
      </x:c>
      <x:c r="F46" s="1" t="str">
        <x:v>Software implementation</x:v>
      </x:c>
      <x:c r="G46" s="1" t="str">
        <x:v>Planned</x:v>
      </x:c>
      <x:c r="H46" s="1" t="str">
        <x:v>Completed</x:v>
      </x:c>
      <x:c r="I46" s="1" t="n">
        <x:f>COUNTIFS('Task Tracker'!$C$5:$C$800,D46,'Task Tracker'!$I$5:$I$800,"Completed")</x:f>
        <x:v>4</x:v>
      </x:c>
      <x:c r="J46" s="1" t="n">
        <x:f>COUNTIF('Task Tracker'!$C$5:$C$800,D46)</x:f>
        <x:v>4</x:v>
      </x:c>
      <x:c r="K46" s="1" t="n">
        <x:f>J46-I46</x:f>
        <x:v>0</x:v>
      </x:c>
      <x:c r="L46" s="1" t="str">
        <x:v>12.2</x:v>
      </x:c>
      <x:c r="M46" s="22" t="str"/>
      <x:c r="N46" s="22" t="str">
        <x:v>Implementation trace plus focused smoke, automated, and story-level regression evidence</x:v>
      </x:c>
      <x:c r="O46" s="22" t="str">
        <x:v>/Users/devups/.codex/skills/gccs-story-sequence/SKILL.md</x:v>
      </x:c>
      <x:c r="P46" s="22" t="str">
        <x:v>Retain traceability; rerun focused verification if the affected boundary changes.</x:v>
      </x:c>
      <x:c r="Q46" s="22" t="str">
        <x:v>Story-labeled commit 5ad74be5 contains delivery and focused test/test-result files: feat: implement story 12.3 evidence approval</x:v>
      </x:c>
      <x:c r="R46" s="22" t="str">
        <x:v>git commit 5ad74be5d3586d8cc789ba0f419765e328fd3193; /Users/devups/Development/CodexProjects/Gccs/docs/development-story-test-cases.md</x:v>
      </x:c>
      <x:c r="S46" s="22" t="str">
        <x:v>Completion is based on immutable repository evidence; tests were not rerun and current working-tree drift was not re-certified in this reporting-only task.</x:v>
      </x:c>
      <x:c r="T46" s="13" t="str"/>
      <x:c r="U46" s="15"/>
      <x:c r="V46" s="1" t="str">
        <x:f>IF(OR(H46="Completed",H46="Not Applicable"),"No","Yes")</x:f>
        <x:v>No</x:v>
      </x:c>
    </x:row>
    <x:row r="47" ht="55" customHeight="1">
      <x:c r="A47" s="1" t="n">
        <x:v>43</x:v>
      </x:c>
      <x:c r="B47" s="1" t="str">
        <x:v>Phase 1</x:v>
      </x:c>
      <x:c r="C47" s="22" t="str">
        <x:v>CMMC Level Selection</x:v>
      </x:c>
      <x:c r="D47" s="1" t="str">
        <x:v>13.1</x:v>
      </x:c>
      <x:c r="E47" s="22" t="str">
        <x:v>CMMC Level Selection</x:v>
      </x:c>
      <x:c r="F47" s="1" t="str">
        <x:v>Software implementation</x:v>
      </x:c>
      <x:c r="G47" s="1" t="str">
        <x:v>Planned</x:v>
      </x:c>
      <x:c r="H47" s="1" t="str">
        <x:v>Completed</x:v>
      </x:c>
      <x:c r="I47" s="1" t="n">
        <x:f>COUNTIFS('Task Tracker'!$C$5:$C$800,D47,'Task Tracker'!$I$5:$I$800,"Completed")</x:f>
        <x:v>4</x:v>
      </x:c>
      <x:c r="J47" s="1" t="n">
        <x:f>COUNTIF('Task Tracker'!$C$5:$C$800,D47)</x:f>
        <x:v>4</x:v>
      </x:c>
      <x:c r="K47" s="1" t="n">
        <x:f>J47-I47</x:f>
        <x:v>0</x:v>
      </x:c>
      <x:c r="L47" s="1" t="str">
        <x:v>12.3</x:v>
      </x:c>
      <x:c r="M47" s="22" t="str"/>
      <x:c r="N47" s="22" t="str">
        <x:v>Implementation trace plus focused smoke, automated, and story-level regression evidence</x:v>
      </x:c>
      <x:c r="O47" s="22" t="str">
        <x:v>/Users/devups/.codex/skills/gccs-story-sequence/SKILL.md</x:v>
      </x:c>
      <x:c r="P47" s="22" t="str">
        <x:v>Retain traceability; rerun focused verification if the affected boundary changes.</x:v>
      </x:c>
      <x:c r="Q47" s="22" t="str">
        <x:v>Story-labeled commit 03715834 contains delivery and focused test/test-result files: feat: implement story 13.1 cmmc level selection</x:v>
      </x:c>
      <x:c r="R47" s="22" t="str">
        <x:v>git commit 0371583450cfa7a6f3d4b77d8dc38dffb6cb5424; /Users/devups/Development/CodexProjects/Gccs/docs/development-story-test-cases.md</x:v>
      </x:c>
      <x:c r="S47" s="22" t="str">
        <x:v>Completion is based on immutable repository evidence; tests were not rerun and current working-tree drift was not re-certified in this reporting-only task.</x:v>
      </x:c>
      <x:c r="T47" s="13" t="str"/>
      <x:c r="U47" s="15"/>
      <x:c r="V47" s="1" t="str">
        <x:f>IF(OR(H47="Completed",H47="Not Applicable"),"No","Yes")</x:f>
        <x:v>No</x:v>
      </x:c>
    </x:row>
    <x:row r="48" ht="55" customHeight="1">
      <x:c r="A48" s="1" t="n">
        <x:v>44</x:v>
      </x:c>
      <x:c r="B48" s="1" t="str">
        <x:v>Phase 1</x:v>
      </x:c>
      <x:c r="C48" s="22" t="str">
        <x:v>Control Readiness</x:v>
      </x:c>
      <x:c r="D48" s="1" t="str">
        <x:v>13.2</x:v>
      </x:c>
      <x:c r="E48" s="22" t="str">
        <x:v>Control Readiness</x:v>
      </x:c>
      <x:c r="F48" s="1" t="str">
        <x:v>Software implementation</x:v>
      </x:c>
      <x:c r="G48" s="1" t="str">
        <x:v>Planned</x:v>
      </x:c>
      <x:c r="H48" s="1" t="str">
        <x:v>Completed</x:v>
      </x:c>
      <x:c r="I48" s="1" t="n">
        <x:f>COUNTIFS('Task Tracker'!$C$5:$C$800,D48,'Task Tracker'!$I$5:$I$800,"Completed")</x:f>
        <x:v>4</x:v>
      </x:c>
      <x:c r="J48" s="1" t="n">
        <x:f>COUNTIF('Task Tracker'!$C$5:$C$800,D48)</x:f>
        <x:v>4</x:v>
      </x:c>
      <x:c r="K48" s="1" t="n">
        <x:f>J48-I48</x:f>
        <x:v>0</x:v>
      </x:c>
      <x:c r="L48" s="1" t="str">
        <x:v>13.1</x:v>
      </x:c>
      <x:c r="M48" s="22" t="str"/>
      <x:c r="N48" s="22" t="str">
        <x:v>Implementation trace plus focused smoke, automated, and story-level regression evidence</x:v>
      </x:c>
      <x:c r="O48" s="22" t="str">
        <x:v>/Users/devups/.codex/skills/gccs-story-sequence/SKILL.md</x:v>
      </x:c>
      <x:c r="P48" s="22" t="str">
        <x:v>Retain traceability; rerun focused verification if the affected boundary changes.</x:v>
      </x:c>
      <x:c r="Q48" s="22" t="str">
        <x:v>Story-labeled commit acc9cb2c contains delivery and focused test/test-result files: feat: implement story 13.2 control readiness</x:v>
      </x:c>
      <x:c r="R48" s="22" t="str">
        <x:v>git commit acc9cb2c9973ea7badc1dfe97d3ba0b8e8755fdd; /Users/devups/Development/CodexProjects/Gccs/docs/development-story-test-cases.md</x:v>
      </x:c>
      <x:c r="S48" s="22" t="str">
        <x:v>Completion is based on immutable repository evidence; tests were not rerun and current working-tree drift was not re-certified in this reporting-only task.</x:v>
      </x:c>
      <x:c r="T48" s="13" t="str"/>
      <x:c r="U48" s="15"/>
      <x:c r="V48" s="1" t="str">
        <x:f>IF(OR(H48="Completed",H48="Not Applicable"),"No","Yes")</x:f>
        <x:v>No</x:v>
      </x:c>
    </x:row>
    <x:row r="49" ht="55" customHeight="1">
      <x:c r="A49" s="1" t="n">
        <x:v>45</x:v>
      </x:c>
      <x:c r="B49" s="1" t="str">
        <x:v>Phase 1</x:v>
      </x:c>
      <x:c r="C49" s="22" t="str">
        <x:v>POA&amp;M Items</x:v>
      </x:c>
      <x:c r="D49" s="1" t="str">
        <x:v>13.3</x:v>
      </x:c>
      <x:c r="E49" s="22" t="str">
        <x:v>POA&amp;M Items</x:v>
      </x:c>
      <x:c r="F49" s="1" t="str">
        <x:v>Software implementation</x:v>
      </x:c>
      <x:c r="G49" s="1" t="str">
        <x:v>Planned</x:v>
      </x:c>
      <x:c r="H49" s="1" t="str">
        <x:v>Completed</x:v>
      </x:c>
      <x:c r="I49" s="1" t="n">
        <x:f>COUNTIFS('Task Tracker'!$C$5:$C$800,D49,'Task Tracker'!$I$5:$I$800,"Completed")</x:f>
        <x:v>4</x:v>
      </x:c>
      <x:c r="J49" s="1" t="n">
        <x:f>COUNTIF('Task Tracker'!$C$5:$C$800,D49)</x:f>
        <x:v>4</x:v>
      </x:c>
      <x:c r="K49" s="1" t="n">
        <x:f>J49-I49</x:f>
        <x:v>0</x:v>
      </x:c>
      <x:c r="L49" s="1" t="str">
        <x:v>13.2</x:v>
      </x:c>
      <x:c r="M49" s="22" t="str"/>
      <x:c r="N49" s="22" t="str">
        <x:v>Implementation trace plus focused smoke, automated, and story-level regression evidence</x:v>
      </x:c>
      <x:c r="O49" s="22" t="str">
        <x:v>/Users/devups/.codex/skills/gccs-story-sequence/SKILL.md</x:v>
      </x:c>
      <x:c r="P49" s="22" t="str">
        <x:v>Retain traceability; rerun focused verification if the affected boundary changes.</x:v>
      </x:c>
      <x:c r="Q49" s="22" t="str">
        <x:v>Story-labeled commit 6ffa0e31 contains delivery and focused test/test-result files: feat: implement story 13.3 poam items</x:v>
      </x:c>
      <x:c r="R49" s="22" t="str">
        <x:v>git commit 6ffa0e31736e029bf69fb5ea19d3cbcfc63c3787; /Users/devups/Development/CodexProjects/Gccs/docs/development-story-test-cases.md</x:v>
      </x:c>
      <x:c r="S49" s="22" t="str">
        <x:v>Completion is based on immutable repository evidence; tests were not rerun and current working-tree drift was not re-certified in this reporting-only task.</x:v>
      </x:c>
      <x:c r="T49" s="13" t="str"/>
      <x:c r="U49" s="15"/>
      <x:c r="V49" s="1" t="str">
        <x:f>IF(OR(H49="Completed",H49="Not Applicable"),"No","Yes")</x:f>
        <x:v>No</x:v>
      </x:c>
    </x:row>
    <x:row r="50" ht="55" customHeight="1">
      <x:c r="A50" s="1" t="n">
        <x:v>46</x:v>
      </x:c>
      <x:c r="B50" s="1" t="str">
        <x:v>Phase 1</x:v>
      </x:c>
      <x:c r="C50" s="22" t="str">
        <x:v>Annual Affirmation Tracker</x:v>
      </x:c>
      <x:c r="D50" s="1" t="str">
        <x:v>13.4</x:v>
      </x:c>
      <x:c r="E50" s="22" t="str">
        <x:v>Annual Affirmation Tracker</x:v>
      </x:c>
      <x:c r="F50" s="1" t="str">
        <x:v>Software implementation</x:v>
      </x:c>
      <x:c r="G50" s="1" t="str">
        <x:v>Planned</x:v>
      </x:c>
      <x:c r="H50" s="1" t="str">
        <x:v>Completed</x:v>
      </x:c>
      <x:c r="I50" s="1" t="n">
        <x:f>COUNTIFS('Task Tracker'!$C$5:$C$800,D50,'Task Tracker'!$I$5:$I$800,"Completed")</x:f>
        <x:v>4</x:v>
      </x:c>
      <x:c r="J50" s="1" t="n">
        <x:f>COUNTIF('Task Tracker'!$C$5:$C$800,D50)</x:f>
        <x:v>4</x:v>
      </x:c>
      <x:c r="K50" s="1" t="n">
        <x:f>J50-I50</x:f>
        <x:v>0</x:v>
      </x:c>
      <x:c r="L50" s="1" t="str">
        <x:v>13.3</x:v>
      </x:c>
      <x:c r="M50" s="22" t="str"/>
      <x:c r="N50" s="22" t="str">
        <x:v>Implementation trace plus focused smoke, automated, and story-level regression evidence</x:v>
      </x:c>
      <x:c r="O50" s="22" t="str">
        <x:v>/Users/devups/.codex/skills/gccs-story-sequence/SKILL.md</x:v>
      </x:c>
      <x:c r="P50" s="22" t="str">
        <x:v>Retain traceability; rerun focused verification if the affected boundary changes.</x:v>
      </x:c>
      <x:c r="Q50" s="22" t="str">
        <x:v>Story-labeled commit f578d6d7 contains delivery and focused test/test-result files: feat: implement story 13.4 annual affirmation tracker</x:v>
      </x:c>
      <x:c r="R50" s="22" t="str">
        <x:v>git commit f578d6d70bf50c0a418607f0a637228890366863; /Users/devups/Development/CodexProjects/Gccs/docs/development-story-test-cases.md</x:v>
      </x:c>
      <x:c r="S50" s="22" t="str">
        <x:v>Completion is based on immutable repository evidence; tests were not rerun and current working-tree drift was not re-certified in this reporting-only task.</x:v>
      </x:c>
      <x:c r="T50" s="13" t="str"/>
      <x:c r="U50" s="15"/>
      <x:c r="V50" s="1" t="str">
        <x:f>IF(OR(H50="Completed",H50="Not Applicable"),"No","Yes")</x:f>
        <x:v>No</x:v>
      </x:c>
    </x:row>
    <x:row r="51" ht="55" customHeight="1">
      <x:c r="A51" s="1" t="n">
        <x:v>47</x:v>
      </x:c>
      <x:c r="B51" s="1" t="str">
        <x:v>Phase 1</x:v>
      </x:c>
      <x:c r="C51" s="22" t="str">
        <x:v>Subcontractor Profile</x:v>
      </x:c>
      <x:c r="D51" s="1" t="str">
        <x:v>14.1</x:v>
      </x:c>
      <x:c r="E51" s="22" t="str">
        <x:v>Subcontractor Profile</x:v>
      </x:c>
      <x:c r="F51" s="1" t="str">
        <x:v>Software implementation</x:v>
      </x:c>
      <x:c r="G51" s="1" t="str">
        <x:v>Planned</x:v>
      </x:c>
      <x:c r="H51" s="1" t="str">
        <x:v>Completed</x:v>
      </x:c>
      <x:c r="I51" s="1" t="n">
        <x:f>COUNTIFS('Task Tracker'!$C$5:$C$800,D51,'Task Tracker'!$I$5:$I$800,"Completed")</x:f>
        <x:v>4</x:v>
      </x:c>
      <x:c r="J51" s="1" t="n">
        <x:f>COUNTIF('Task Tracker'!$C$5:$C$800,D51)</x:f>
        <x:v>4</x:v>
      </x:c>
      <x:c r="K51" s="1" t="n">
        <x:f>J51-I51</x:f>
        <x:v>0</x:v>
      </x:c>
      <x:c r="L51" s="1" t="str">
        <x:v>13.4</x:v>
      </x:c>
      <x:c r="M51" s="22" t="str"/>
      <x:c r="N51" s="22" t="str">
        <x:v>Implementation trace plus focused smoke, automated, and story-level regression evidence</x:v>
      </x:c>
      <x:c r="O51" s="22" t="str">
        <x:v>/Users/devups/.codex/skills/gccs-story-sequence/SKILL.md</x:v>
      </x:c>
      <x:c r="P51" s="22" t="str">
        <x:v>Retain traceability; rerun focused verification if the affected boundary changes.</x:v>
      </x:c>
      <x:c r="Q51" s="22" t="str">
        <x:v>Story-labeled commit bc7867f0 contains delivery and focused test/test-result files: feat: implement story 14.1 subcontractor profile</x:v>
      </x:c>
      <x:c r="R51" s="22" t="str">
        <x:v>git commit bc7867f068c525cc3583b25c7308dfd977bb14d8; /Users/devups/Development/CodexProjects/Gccs/docs/development-story-test-cases.md</x:v>
      </x:c>
      <x:c r="S51" s="22" t="str">
        <x:v>Completion is based on immutable repository evidence; tests were not rerun and current working-tree drift was not re-certified in this reporting-only task.</x:v>
      </x:c>
      <x:c r="T51" s="13" t="str"/>
      <x:c r="U51" s="15"/>
      <x:c r="V51" s="1" t="str">
        <x:f>IF(OR(H51="Completed",H51="Not Applicable"),"No","Yes")</x:f>
        <x:v>No</x:v>
      </x:c>
    </x:row>
    <x:row r="52" ht="55" customHeight="1">
      <x:c r="A52" s="1" t="n">
        <x:v>48</x:v>
      </x:c>
      <x:c r="B52" s="1" t="str">
        <x:v>Phase 1</x:v>
      </x:c>
      <x:c r="C52" s="22" t="str">
        <x:v>Flow-Down Clause Tracking</x:v>
      </x:c>
      <x:c r="D52" s="1" t="str">
        <x:v>14.2</x:v>
      </x:c>
      <x:c r="E52" s="22" t="str">
        <x:v>Flow-Down Clause Tracking</x:v>
      </x:c>
      <x:c r="F52" s="1" t="str">
        <x:v>Software implementation</x:v>
      </x:c>
      <x:c r="G52" s="1" t="str">
        <x:v>Planned</x:v>
      </x:c>
      <x:c r="H52" s="1" t="str">
        <x:v>Completed</x:v>
      </x:c>
      <x:c r="I52" s="1" t="n">
        <x:f>COUNTIFS('Task Tracker'!$C$5:$C$800,D52,'Task Tracker'!$I$5:$I$800,"Completed")</x:f>
        <x:v>4</x:v>
      </x:c>
      <x:c r="J52" s="1" t="n">
        <x:f>COUNTIF('Task Tracker'!$C$5:$C$800,D52)</x:f>
        <x:v>4</x:v>
      </x:c>
      <x:c r="K52" s="1" t="n">
        <x:f>J52-I52</x:f>
        <x:v>0</x:v>
      </x:c>
      <x:c r="L52" s="1" t="str">
        <x:v>14.1</x:v>
      </x:c>
      <x:c r="M52" s="22" t="str"/>
      <x:c r="N52" s="22" t="str">
        <x:v>Implementation trace plus focused smoke, automated, and story-level regression evidence</x:v>
      </x:c>
      <x:c r="O52" s="22" t="str">
        <x:v>/Users/devups/.codex/skills/gccs-story-sequence/SKILL.md</x:v>
      </x:c>
      <x:c r="P52" s="22" t="str">
        <x:v>Retain traceability; rerun focused verification if the affected boundary changes.</x:v>
      </x:c>
      <x:c r="Q52" s="22" t="str">
        <x:v>Story-labeled commit b52555d4 contains delivery and focused test/test-result files: feat: implement story 14.2 flow-down tracking</x:v>
      </x:c>
      <x:c r="R52" s="22" t="str">
        <x:v>git commit b52555d46924abe2dade788d88c26c25ab999ccf; /Users/devups/Development/CodexProjects/Gccs/docs/development-story-test-cases.md</x:v>
      </x:c>
      <x:c r="S52" s="22" t="str">
        <x:v>Completion is based on immutable repository evidence; tests were not rerun and current working-tree drift was not re-certified in this reporting-only task.</x:v>
      </x:c>
      <x:c r="T52" s="13" t="str"/>
      <x:c r="U52" s="15"/>
      <x:c r="V52" s="1" t="str">
        <x:f>IF(OR(H52="Completed",H52="Not Applicable"),"No","Yes")</x:f>
        <x:v>No</x:v>
      </x:c>
    </x:row>
    <x:row r="53" ht="55" customHeight="1">
      <x:c r="A53" s="1" t="n">
        <x:v>49</x:v>
      </x:c>
      <x:c r="B53" s="1" t="str">
        <x:v>Phase 1</x:v>
      </x:c>
      <x:c r="C53" s="22" t="str">
        <x:v>Subcontractor Evidence Requests</x:v>
      </x:c>
      <x:c r="D53" s="1" t="str">
        <x:v>14.3</x:v>
      </x:c>
      <x:c r="E53" s="22" t="str">
        <x:v>Subcontractor Evidence Requests</x:v>
      </x:c>
      <x:c r="F53" s="1" t="str">
        <x:v>Software implementation</x:v>
      </x:c>
      <x:c r="G53" s="1" t="str">
        <x:v>Planned</x:v>
      </x:c>
      <x:c r="H53" s="1" t="str">
        <x:v>Completed</x:v>
      </x:c>
      <x:c r="I53" s="1" t="n">
        <x:f>COUNTIFS('Task Tracker'!$C$5:$C$800,D53,'Task Tracker'!$I$5:$I$800,"Completed")</x:f>
        <x:v>4</x:v>
      </x:c>
      <x:c r="J53" s="1" t="n">
        <x:f>COUNTIF('Task Tracker'!$C$5:$C$800,D53)</x:f>
        <x:v>4</x:v>
      </x:c>
      <x:c r="K53" s="1" t="n">
        <x:f>J53-I53</x:f>
        <x:v>0</x:v>
      </x:c>
      <x:c r="L53" s="1" t="str">
        <x:v>14.2</x:v>
      </x:c>
      <x:c r="M53" s="22" t="str"/>
      <x:c r="N53" s="22" t="str">
        <x:v>Implementation trace plus focused smoke, automated, and story-level regression evidence</x:v>
      </x:c>
      <x:c r="O53" s="22" t="str">
        <x:v>/Users/devups/.codex/skills/gccs-story-sequence/SKILL.md</x:v>
      </x:c>
      <x:c r="P53" s="22" t="str">
        <x:v>Retain traceability; rerun focused verification if the affected boundary changes.</x:v>
      </x:c>
      <x:c r="Q53" s="22" t="str">
        <x:v>Story-labeled commit 9b6c49cf contains delivery and focused test/test-result files: feat: implement story 14.3 evidence requests</x:v>
      </x:c>
      <x:c r="R53" s="22" t="str">
        <x:v>git commit 9b6c49cf1a28eb1e0d803c0e846157a4eb4de77e; /Users/devups/Development/CodexProjects/Gccs/docs/development-story-test-cases.md</x:v>
      </x:c>
      <x:c r="S53" s="22" t="str">
        <x:v>Completion is based on immutable repository evidence; tests were not rerun and current working-tree drift was not re-certified in this reporting-only task.</x:v>
      </x:c>
      <x:c r="T53" s="13" t="str"/>
      <x:c r="U53" s="15"/>
      <x:c r="V53" s="1" t="str">
        <x:f>IF(OR(H53="Completed",H53="Not Applicable"),"No","Yes")</x:f>
        <x:v>No</x:v>
      </x:c>
    </x:row>
    <x:row r="54" ht="55" customHeight="1">
      <x:c r="A54" s="1" t="n">
        <x:v>50</x:v>
      </x:c>
      <x:c r="B54" s="1" t="str">
        <x:v>Phase 1</x:v>
      </x:c>
      <x:c r="C54" s="22" t="str">
        <x:v>Compliance Status Report</x:v>
      </x:c>
      <x:c r="D54" s="1" t="str">
        <x:v>15.1</x:v>
      </x:c>
      <x:c r="E54" s="22" t="str">
        <x:v>Compliance Status Report</x:v>
      </x:c>
      <x:c r="F54" s="1" t="str">
        <x:v>Software implementation</x:v>
      </x:c>
      <x:c r="G54" s="1" t="str">
        <x:v>Planned</x:v>
      </x:c>
      <x:c r="H54" s="1" t="str">
        <x:v>Completed</x:v>
      </x:c>
      <x:c r="I54" s="1" t="n">
        <x:f>COUNTIFS('Task Tracker'!$C$5:$C$800,D54,'Task Tracker'!$I$5:$I$800,"Completed")</x:f>
        <x:v>4</x:v>
      </x:c>
      <x:c r="J54" s="1" t="n">
        <x:f>COUNTIF('Task Tracker'!$C$5:$C$800,D54)</x:f>
        <x:v>4</x:v>
      </x:c>
      <x:c r="K54" s="1" t="n">
        <x:f>J54-I54</x:f>
        <x:v>0</x:v>
      </x:c>
      <x:c r="L54" s="1" t="str">
        <x:v>14.3</x:v>
      </x:c>
      <x:c r="M54" s="22" t="str"/>
      <x:c r="N54" s="22" t="str">
        <x:v>Implementation trace plus focused smoke, automated, and story-level regression evidence</x:v>
      </x:c>
      <x:c r="O54" s="22" t="str">
        <x:v>/Users/devups/.codex/skills/gccs-story-sequence/SKILL.md</x:v>
      </x:c>
      <x:c r="P54" s="22" t="str">
        <x:v>Retain traceability; rerun focused verification if the affected boundary changes.</x:v>
      </x:c>
      <x:c r="Q54" s="22" t="str">
        <x:v>Story-labeled commit 2be2115d contains delivery and focused test/test-result files: feat: implement story 15.1 compliance status report</x:v>
      </x:c>
      <x:c r="R54" s="22" t="str">
        <x:v>git commit 2be2115d98058c35a694f37b99a513d2020f338f; /Users/devups/Development/CodexProjects/Gccs/docs/development-story-test-cases.md</x:v>
      </x:c>
      <x:c r="S54" s="22" t="str">
        <x:v>Completion is based on immutable repository evidence; tests were not rerun and current working-tree drift was not re-certified in this reporting-only task.</x:v>
      </x:c>
      <x:c r="T54" s="13" t="str"/>
      <x:c r="U54" s="15"/>
      <x:c r="V54" s="1" t="str">
        <x:f>IF(OR(H54="Completed",H54="Not Applicable"),"No","Yes")</x:f>
        <x:v>No</x:v>
      </x:c>
    </x:row>
    <x:row r="55" ht="55" customHeight="1">
      <x:c r="A55" s="1" t="n">
        <x:v>51</x:v>
      </x:c>
      <x:c r="B55" s="1" t="str">
        <x:v>Phase 1</x:v>
      </x:c>
      <x:c r="C55" s="22" t="str">
        <x:v>Contract Obligation Matrix</x:v>
      </x:c>
      <x:c r="D55" s="1" t="str">
        <x:v>15.2</x:v>
      </x:c>
      <x:c r="E55" s="22" t="str">
        <x:v>Contract Obligation Matrix</x:v>
      </x:c>
      <x:c r="F55" s="1" t="str">
        <x:v>Software implementation</x:v>
      </x:c>
      <x:c r="G55" s="1" t="str">
        <x:v>Planned</x:v>
      </x:c>
      <x:c r="H55" s="1" t="str">
        <x:v>Completed</x:v>
      </x:c>
      <x:c r="I55" s="1" t="n">
        <x:f>COUNTIFS('Task Tracker'!$C$5:$C$800,D55,'Task Tracker'!$I$5:$I$800,"Completed")</x:f>
        <x:v>4</x:v>
      </x:c>
      <x:c r="J55" s="1" t="n">
        <x:f>COUNTIF('Task Tracker'!$C$5:$C$800,D55)</x:f>
        <x:v>4</x:v>
      </x:c>
      <x:c r="K55" s="1" t="n">
        <x:f>J55-I55</x:f>
        <x:v>0</x:v>
      </x:c>
      <x:c r="L55" s="1" t="str">
        <x:v>15.1</x:v>
      </x:c>
      <x:c r="M55" s="22" t="str"/>
      <x:c r="N55" s="22" t="str">
        <x:v>Implementation trace plus focused smoke, automated, and story-level regression evidence</x:v>
      </x:c>
      <x:c r="O55" s="22" t="str">
        <x:v>/Users/devups/.codex/skills/gccs-story-sequence/SKILL.md</x:v>
      </x:c>
      <x:c r="P55" s="22" t="str">
        <x:v>Retain traceability; rerun focused verification if the affected boundary changes.</x:v>
      </x:c>
      <x:c r="Q55" s="22" t="str">
        <x:v>Story-labeled commit cac3f96c contains delivery and focused test/test-result files: feat: implement story 15.2 obligation matrix</x:v>
      </x:c>
      <x:c r="R55" s="22" t="str">
        <x:v>git commit cac3f96c6fc318b3e017719220abc8945f7bd173; /Users/devups/Development/CodexProjects/Gccs/docs/development-story-test-cases.md</x:v>
      </x:c>
      <x:c r="S55" s="22" t="str">
        <x:v>Completion is based on immutable repository evidence; tests were not rerun and current working-tree drift was not re-certified in this reporting-only task.</x:v>
      </x:c>
      <x:c r="T55" s="13" t="str"/>
      <x:c r="U55" s="15"/>
      <x:c r="V55" s="1" t="str">
        <x:f>IF(OR(H55="Completed",H55="Not Applicable"),"No","Yes")</x:f>
        <x:v>No</x:v>
      </x:c>
    </x:row>
    <x:row r="56" ht="55" customHeight="1">
      <x:c r="A56" s="1" t="n">
        <x:v>52</x:v>
      </x:c>
      <x:c r="B56" s="1" t="str">
        <x:v>Phase 1</x:v>
      </x:c>
      <x:c r="C56" s="22" t="str">
        <x:v>CMMC Readiness Report</x:v>
      </x:c>
      <x:c r="D56" s="1" t="str">
        <x:v>15.3</x:v>
      </x:c>
      <x:c r="E56" s="22" t="str">
        <x:v>CMMC Readiness Report</x:v>
      </x:c>
      <x:c r="F56" s="1" t="str">
        <x:v>Software implementation</x:v>
      </x:c>
      <x:c r="G56" s="1" t="str">
        <x:v>Planned</x:v>
      </x:c>
      <x:c r="H56" s="1" t="str">
        <x:v>Completed</x:v>
      </x:c>
      <x:c r="I56" s="1" t="n">
        <x:f>COUNTIFS('Task Tracker'!$C$5:$C$800,D56,'Task Tracker'!$I$5:$I$800,"Completed")</x:f>
        <x:v>4</x:v>
      </x:c>
      <x:c r="J56" s="1" t="n">
        <x:f>COUNTIF('Task Tracker'!$C$5:$C$800,D56)</x:f>
        <x:v>4</x:v>
      </x:c>
      <x:c r="K56" s="1" t="n">
        <x:f>J56-I56</x:f>
        <x:v>0</x:v>
      </x:c>
      <x:c r="L56" s="1" t="str">
        <x:v>15.2</x:v>
      </x:c>
      <x:c r="M56" s="22" t="str"/>
      <x:c r="N56" s="22" t="str">
        <x:v>Implementation trace plus focused smoke, automated, and story-level regression evidence</x:v>
      </x:c>
      <x:c r="O56" s="22" t="str">
        <x:v>/Users/devups/.codex/skills/gccs-story-sequence/SKILL.md</x:v>
      </x:c>
      <x:c r="P56" s="22" t="str">
        <x:v>Retain traceability; rerun focused verification if the affected boundary changes.</x:v>
      </x:c>
      <x:c r="Q56" s="22" t="str">
        <x:v>Story-labeled commit 5d205315 contains delivery and focused test/test-result files: feat: implement story 15.3 cmmc readiness report</x:v>
      </x:c>
      <x:c r="R56" s="22" t="str">
        <x:v>git commit 5d205315fe89b2498016e0523708488b5d364532; /Users/devups/Development/CodexProjects/Gccs/docs/development-story-test-cases.md</x:v>
      </x:c>
      <x:c r="S56" s="22" t="str">
        <x:v>Completion is based on immutable repository evidence; tests were not rerun and current working-tree drift was not re-certified in this reporting-only task.</x:v>
      </x:c>
      <x:c r="T56" s="13" t="str"/>
      <x:c r="U56" s="15"/>
      <x:c r="V56" s="1" t="str">
        <x:f>IF(OR(H56="Completed",H56="Not Applicable"),"No","Yes")</x:f>
        <x:v>No</x:v>
      </x:c>
    </x:row>
    <x:row r="57" ht="55" customHeight="1">
      <x:c r="A57" s="1" t="n">
        <x:v>53</x:v>
      </x:c>
      <x:c r="B57" s="1" t="str">
        <x:v>Phase 1</x:v>
      </x:c>
      <x:c r="C57" s="22" t="str">
        <x:v>Evidence Package</x:v>
      </x:c>
      <x:c r="D57" s="1" t="str">
        <x:v>15.4</x:v>
      </x:c>
      <x:c r="E57" s="22" t="str">
        <x:v>Evidence Package</x:v>
      </x:c>
      <x:c r="F57" s="1" t="str">
        <x:v>Software implementation</x:v>
      </x:c>
      <x:c r="G57" s="1" t="str">
        <x:v>Planned</x:v>
      </x:c>
      <x:c r="H57" s="1" t="str">
        <x:v>Completed</x:v>
      </x:c>
      <x:c r="I57" s="1" t="n">
        <x:f>COUNTIFS('Task Tracker'!$C$5:$C$800,D57,'Task Tracker'!$I$5:$I$800,"Completed")</x:f>
        <x:v>4</x:v>
      </x:c>
      <x:c r="J57" s="1" t="n">
        <x:f>COUNTIF('Task Tracker'!$C$5:$C$800,D57)</x:f>
        <x:v>4</x:v>
      </x:c>
      <x:c r="K57" s="1" t="n">
        <x:f>J57-I57</x:f>
        <x:v>0</x:v>
      </x:c>
      <x:c r="L57" s="1" t="str">
        <x:v>15.3</x:v>
      </x:c>
      <x:c r="M57" s="22" t="str"/>
      <x:c r="N57" s="22" t="str">
        <x:v>Implementation trace plus focused smoke, automated, and story-level regression evidence</x:v>
      </x:c>
      <x:c r="O57" s="22" t="str">
        <x:v>/Users/devups/.codex/skills/gccs-story-sequence/SKILL.md</x:v>
      </x:c>
      <x:c r="P57" s="22" t="str">
        <x:v>Retain traceability; rerun focused verification if the affected boundary changes.</x:v>
      </x:c>
      <x:c r="Q57" s="22" t="str">
        <x:v>Story-labeled commit a4c57798 contains delivery and focused test/test-result files: feat: implement story 15.4 evidence package</x:v>
      </x:c>
      <x:c r="R57" s="22" t="str">
        <x:v>git commit a4c577984e776c411786f6d5ba1b50aefd93436c; /Users/devups/Development/CodexProjects/Gccs/docs/development-story-test-cases.md</x:v>
      </x:c>
      <x:c r="S57" s="22" t="str">
        <x:v>Completion is based on immutable repository evidence; tests were not rerun and current working-tree drift was not re-certified in this reporting-only task.</x:v>
      </x:c>
      <x:c r="T57" s="13" t="str"/>
      <x:c r="U57" s="15"/>
      <x:c r="V57" s="1" t="str">
        <x:f>IF(OR(H57="Completed",H57="Not Applicable"),"No","Yes")</x:f>
        <x:v>No</x:v>
      </x:c>
    </x:row>
    <x:row r="58" ht="55" customHeight="1">
      <x:c r="A58" s="1" t="n">
        <x:v>54</x:v>
      </x:c>
      <x:c r="B58" s="1" t="str">
        <x:v>Phase 1</x:v>
      </x:c>
      <x:c r="C58" s="22" t="str">
        <x:v>Subcontractor Compliance Report</x:v>
      </x:c>
      <x:c r="D58" s="1" t="str">
        <x:v>15.5</x:v>
      </x:c>
      <x:c r="E58" s="22" t="str">
        <x:v>Subcontractor Compliance Report</x:v>
      </x:c>
      <x:c r="F58" s="1" t="str">
        <x:v>Software implementation</x:v>
      </x:c>
      <x:c r="G58" s="1" t="str">
        <x:v>Planned</x:v>
      </x:c>
      <x:c r="H58" s="1" t="str">
        <x:v>Completed</x:v>
      </x:c>
      <x:c r="I58" s="1" t="n">
        <x:f>COUNTIFS('Task Tracker'!$C$5:$C$800,D58,'Task Tracker'!$I$5:$I$800,"Completed")</x:f>
        <x:v>4</x:v>
      </x:c>
      <x:c r="J58" s="1" t="n">
        <x:f>COUNTIF('Task Tracker'!$C$5:$C$800,D58)</x:f>
        <x:v>4</x:v>
      </x:c>
      <x:c r="K58" s="1" t="n">
        <x:f>J58-I58</x:f>
        <x:v>0</x:v>
      </x:c>
      <x:c r="L58" s="1" t="str">
        <x:v>15.4</x:v>
      </x:c>
      <x:c r="M58" s="22" t="str"/>
      <x:c r="N58" s="22" t="str">
        <x:v>Implementation trace plus focused smoke, automated, and story-level regression evidence</x:v>
      </x:c>
      <x:c r="O58" s="22" t="str">
        <x:v>/Users/devups/.codex/skills/gccs-story-sequence/SKILL.md</x:v>
      </x:c>
      <x:c r="P58" s="22" t="str">
        <x:v>Retain traceability; rerun focused verification if the affected boundary changes.</x:v>
      </x:c>
      <x:c r="Q58" s="22" t="str">
        <x:v>Story-labeled commit 0cdbaa0c contains delivery and focused test/test-result files: feat: implement story 15.5 subcontractor compliance report</x:v>
      </x:c>
      <x:c r="R58" s="22" t="str">
        <x:v>git commit 0cdbaa0cca6ea0b6b0407a8bc5981917d8900c39; /Users/devups/Development/CodexProjects/Gccs/docs/development-story-test-cases.md</x:v>
      </x:c>
      <x:c r="S58" s="22" t="str">
        <x:v>Completion is based on immutable repository evidence; tests were not rerun and current working-tree drift was not re-certified in this reporting-only task.</x:v>
      </x:c>
      <x:c r="T58" s="13" t="str"/>
      <x:c r="U58" s="15"/>
      <x:c r="V58" s="1" t="str">
        <x:f>IF(OR(H58="Completed",H58="Not Applicable"),"No","Yes")</x:f>
        <x:v>No</x:v>
      </x:c>
    </x:row>
    <x:row r="59" ht="55" customHeight="1">
      <x:c r="A59" s="1" t="n">
        <x:v>55</x:v>
      </x:c>
      <x:c r="B59" s="1" t="str">
        <x:v>Phase 1</x:v>
      </x:c>
      <x:c r="C59" s="22" t="str">
        <x:v>Notification Preferences</x:v>
      </x:c>
      <x:c r="D59" s="1" t="str">
        <x:v>16.1</x:v>
      </x:c>
      <x:c r="E59" s="22" t="str">
        <x:v>Notification Preferences</x:v>
      </x:c>
      <x:c r="F59" s="1" t="str">
        <x:v>Software implementation</x:v>
      </x:c>
      <x:c r="G59" s="1" t="str">
        <x:v>Planned</x:v>
      </x:c>
      <x:c r="H59" s="1" t="str">
        <x:v>Completed</x:v>
      </x:c>
      <x:c r="I59" s="1" t="n">
        <x:f>COUNTIFS('Task Tracker'!$C$5:$C$800,D59,'Task Tracker'!$I$5:$I$800,"Completed")</x:f>
        <x:v>4</x:v>
      </x:c>
      <x:c r="J59" s="1" t="n">
        <x:f>COUNTIF('Task Tracker'!$C$5:$C$800,D59)</x:f>
        <x:v>4</x:v>
      </x:c>
      <x:c r="K59" s="1" t="n">
        <x:f>J59-I59</x:f>
        <x:v>0</x:v>
      </x:c>
      <x:c r="L59" s="1" t="str">
        <x:v>15.5</x:v>
      </x:c>
      <x:c r="M59" s="22" t="str"/>
      <x:c r="N59" s="22" t="str">
        <x:v>Implementation trace plus focused smoke, automated, and story-level regression evidence</x:v>
      </x:c>
      <x:c r="O59" s="22" t="str">
        <x:v>/Users/devups/.codex/skills/gccs-story-sequence/SKILL.md</x:v>
      </x:c>
      <x:c r="P59" s="22" t="str">
        <x:v>Retain traceability; rerun focused verification if the affected boundary changes.</x:v>
      </x:c>
      <x:c r="Q59" s="22" t="str">
        <x:v>Story-labeled commit 5a229a6a contains delivery and focused test/test-result files: feat: implement story 16.1 notification preferences</x:v>
      </x:c>
      <x:c r="R59" s="22" t="str">
        <x:v>git commit 5a229a6a6c6120b3ee4b42c598326f8b3a55e9ea; /Users/devups/Development/CodexProjects/Gccs/docs/development-story-test-cases.md</x:v>
      </x:c>
      <x:c r="S59" s="22" t="str">
        <x:v>Completion is based on immutable repository evidence; tests were not rerun and current working-tree drift was not re-certified in this reporting-only task.</x:v>
      </x:c>
      <x:c r="T59" s="13" t="str"/>
      <x:c r="U59" s="15"/>
      <x:c r="V59" s="1" t="str">
        <x:f>IF(OR(H59="Completed",H59="Not Applicable"),"No","Yes")</x:f>
        <x:v>No</x:v>
      </x:c>
    </x:row>
    <x:row r="60" ht="55" customHeight="1">
      <x:c r="A60" s="1" t="n">
        <x:v>56</x:v>
      </x:c>
      <x:c r="B60" s="1" t="str">
        <x:v>Phase 1</x:v>
      </x:c>
      <x:c r="C60" s="22" t="str">
        <x:v>Due-Date Reminders</x:v>
      </x:c>
      <x:c r="D60" s="1" t="str">
        <x:v>16.2</x:v>
      </x:c>
      <x:c r="E60" s="22" t="str">
        <x:v>Due-Date Reminders</x:v>
      </x:c>
      <x:c r="F60" s="1" t="str">
        <x:v>Software implementation</x:v>
      </x:c>
      <x:c r="G60" s="1" t="str">
        <x:v>Planned</x:v>
      </x:c>
      <x:c r="H60" s="1" t="str">
        <x:v>Completed</x:v>
      </x:c>
      <x:c r="I60" s="1" t="n">
        <x:f>COUNTIFS('Task Tracker'!$C$5:$C$800,D60,'Task Tracker'!$I$5:$I$800,"Completed")</x:f>
        <x:v>4</x:v>
      </x:c>
      <x:c r="J60" s="1" t="n">
        <x:f>COUNTIF('Task Tracker'!$C$5:$C$800,D60)</x:f>
        <x:v>4</x:v>
      </x:c>
      <x:c r="K60" s="1" t="n">
        <x:f>J60-I60</x:f>
        <x:v>0</x:v>
      </x:c>
      <x:c r="L60" s="1" t="str">
        <x:v>16.1</x:v>
      </x:c>
      <x:c r="M60" s="22" t="str"/>
      <x:c r="N60" s="22" t="str">
        <x:v>Implementation trace plus focused smoke, automated, and story-level regression evidence</x:v>
      </x:c>
      <x:c r="O60" s="22" t="str">
        <x:v>/Users/devups/.codex/skills/gccs-story-sequence/SKILL.md</x:v>
      </x:c>
      <x:c r="P60" s="22" t="str">
        <x:v>Retain traceability; rerun focused verification if the affected boundary changes.</x:v>
      </x:c>
      <x:c r="Q60" s="22" t="str">
        <x:v>Story-labeled commit fdc1d1e7 contains delivery and focused test/test-result files: feat: implement story 16.2 due date reminders</x:v>
      </x:c>
      <x:c r="R60" s="22" t="str">
        <x:v>git commit fdc1d1e7edb0a79c34642560a94cb88cb483d0de; /Users/devups/Development/CodexProjects/Gccs/docs/development-story-test-cases.md</x:v>
      </x:c>
      <x:c r="S60" s="22" t="str">
        <x:v>Completion is based on immutable repository evidence; tests were not rerun and current working-tree drift was not re-certified in this reporting-only task.</x:v>
      </x:c>
      <x:c r="T60" s="13" t="str"/>
      <x:c r="U60" s="15"/>
      <x:c r="V60" s="1" t="str">
        <x:f>IF(OR(H60="Completed",H60="Not Applicable"),"No","Yes")</x:f>
        <x:v>No</x:v>
      </x:c>
    </x:row>
    <x:row r="61" ht="55" customHeight="1">
      <x:c r="A61" s="1" t="n">
        <x:v>57</x:v>
      </x:c>
      <x:c r="B61" s="1" t="str">
        <x:v>Phase 1</x:v>
      </x:c>
      <x:c r="C61" s="22" t="str">
        <x:v>Assignment Notifications</x:v>
      </x:c>
      <x:c r="D61" s="1" t="str">
        <x:v>16.3</x:v>
      </x:c>
      <x:c r="E61" s="22" t="str">
        <x:v>Assignment Notifications</x:v>
      </x:c>
      <x:c r="F61" s="1" t="str">
        <x:v>Software implementation</x:v>
      </x:c>
      <x:c r="G61" s="1" t="str">
        <x:v>Planned</x:v>
      </x:c>
      <x:c r="H61" s="1" t="str">
        <x:v>Completed</x:v>
      </x:c>
      <x:c r="I61" s="1" t="n">
        <x:f>COUNTIFS('Task Tracker'!$C$5:$C$800,D61,'Task Tracker'!$I$5:$I$800,"Completed")</x:f>
        <x:v>4</x:v>
      </x:c>
      <x:c r="J61" s="1" t="n">
        <x:f>COUNTIF('Task Tracker'!$C$5:$C$800,D61)</x:f>
        <x:v>4</x:v>
      </x:c>
      <x:c r="K61" s="1" t="n">
        <x:f>J61-I61</x:f>
        <x:v>0</x:v>
      </x:c>
      <x:c r="L61" s="1" t="str">
        <x:v>16.2</x:v>
      </x:c>
      <x:c r="M61" s="22" t="str"/>
      <x:c r="N61" s="22" t="str">
        <x:v>Implementation trace plus focused smoke, automated, and story-level regression evidence</x:v>
      </x:c>
      <x:c r="O61" s="22" t="str">
        <x:v>/Users/devups/.codex/skills/gccs-story-sequence/SKILL.md</x:v>
      </x:c>
      <x:c r="P61" s="22" t="str">
        <x:v>Retain traceability; rerun focused verification if the affected boundary changes.</x:v>
      </x:c>
      <x:c r="Q61" s="22" t="str">
        <x:v>Story-labeled commit 2ed07a39 contains delivery and focused test/test-result files: feat: implement story 16.3 assignment notifications</x:v>
      </x:c>
      <x:c r="R61" s="22" t="str">
        <x:v>git commit 2ed07a394419f1968efb525ce2a1a1898b040724; /Users/devups/Development/CodexProjects/Gccs/docs/development-story-test-cases.md</x:v>
      </x:c>
      <x:c r="S61" s="22" t="str">
        <x:v>Completion is based on immutable repository evidence; tests were not rerun and current working-tree drift was not re-certified in this reporting-only task.</x:v>
      </x:c>
      <x:c r="T61" s="13" t="str"/>
      <x:c r="U61" s="15"/>
      <x:c r="V61" s="1" t="str">
        <x:f>IF(OR(H61="Completed",H61="Not Applicable"),"No","Yes")</x:f>
        <x:v>No</x:v>
      </x:c>
    </x:row>
    <x:row r="62" ht="55" customHeight="1">
      <x:c r="A62" s="1" t="n">
        <x:v>58</x:v>
      </x:c>
      <x:c r="B62" s="1" t="str">
        <x:v>Phase 1</x:v>
      </x:c>
      <x:c r="C62" s="22" t="str">
        <x:v>End-To-End Pilot Workflow</x:v>
      </x:c>
      <x:c r="D62" s="1" t="str">
        <x:v>17.1</x:v>
      </x:c>
      <x:c r="E62" s="22" t="str">
        <x:v>End-To-End Pilot Workflow</x:v>
      </x:c>
      <x:c r="F62" s="1" t="str">
        <x:v>Software implementation</x:v>
      </x:c>
      <x:c r="G62" s="1" t="str">
        <x:v>Planned</x:v>
      </x:c>
      <x:c r="H62" s="1" t="str">
        <x:v>Completed</x:v>
      </x:c>
      <x:c r="I62" s="1" t="n">
        <x:f>COUNTIFS('Task Tracker'!$C$5:$C$800,D62,'Task Tracker'!$I$5:$I$800,"Completed")</x:f>
        <x:v>4</x:v>
      </x:c>
      <x:c r="J62" s="1" t="n">
        <x:f>COUNTIF('Task Tracker'!$C$5:$C$800,D62)</x:f>
        <x:v>4</x:v>
      </x:c>
      <x:c r="K62" s="1" t="n">
        <x:f>J62-I62</x:f>
        <x:v>0</x:v>
      </x:c>
      <x:c r="L62" s="1" t="str">
        <x:v>16.3</x:v>
      </x:c>
      <x:c r="M62" s="22" t="str"/>
      <x:c r="N62" s="22" t="str">
        <x:v>Implementation trace plus focused smoke, automated, and story-level regression evidence</x:v>
      </x:c>
      <x:c r="O62" s="22" t="str">
        <x:v>/Users/devups/.codex/skills/gccs-story-sequence/SKILL.md</x:v>
      </x:c>
      <x:c r="P62" s="22" t="str">
        <x:v>Retain traceability; rerun focused verification if the affected boundary changes.</x:v>
      </x:c>
      <x:c r="Q62" s="22" t="str">
        <x:v>Story-labeled commit de65bc3f contains delivery and focused test/test-result files: test: implement story 17.1 pilot workflow</x:v>
      </x:c>
      <x:c r="R62" s="22" t="str">
        <x:v>git commit de65bc3f3275a7acd11828182831576c7b7ef63f; /Users/devups/Development/CodexProjects/Gccs/docs/development-story-test-cases.md</x:v>
      </x:c>
      <x:c r="S62" s="22" t="str">
        <x:v>Completion is based on immutable repository evidence; tests were not rerun and current working-tree drift was not re-certified in this reporting-only task.</x:v>
      </x:c>
      <x:c r="T62" s="13" t="str"/>
      <x:c r="U62" s="15"/>
      <x:c r="V62" s="1" t="str">
        <x:f>IF(OR(H62="Completed",H62="Not Applicable"),"No","Yes")</x:f>
        <x:v>No</x:v>
      </x:c>
    </x:row>
    <x:row r="63" ht="55" customHeight="1">
      <x:c r="A63" s="1" t="n">
        <x:v>59</x:v>
      </x:c>
      <x:c r="B63" s="1" t="str">
        <x:v>Phase 1</x:v>
      </x:c>
      <x:c r="C63" s="22" t="str">
        <x:v>Security And Tenant Isolation Verification</x:v>
      </x:c>
      <x:c r="D63" s="1" t="str">
        <x:v>17.2</x:v>
      </x:c>
      <x:c r="E63" s="22" t="str">
        <x:v>Security And Tenant Isolation Verification</x:v>
      </x:c>
      <x:c r="F63" s="1" t="str">
        <x:v>Software implementation</x:v>
      </x:c>
      <x:c r="G63" s="1" t="str">
        <x:v>Planned</x:v>
      </x:c>
      <x:c r="H63" s="1" t="str">
        <x:v>Completed</x:v>
      </x:c>
      <x:c r="I63" s="1" t="n">
        <x:f>COUNTIFS('Task Tracker'!$C$5:$C$800,D63,'Task Tracker'!$I$5:$I$800,"Completed")</x:f>
        <x:v>4</x:v>
      </x:c>
      <x:c r="J63" s="1" t="n">
        <x:f>COUNTIF('Task Tracker'!$C$5:$C$800,D63)</x:f>
        <x:v>4</x:v>
      </x:c>
      <x:c r="K63" s="1" t="n">
        <x:f>J63-I63</x:f>
        <x:v>0</x:v>
      </x:c>
      <x:c r="L63" s="1" t="str">
        <x:v>17.1</x:v>
      </x:c>
      <x:c r="M63" s="22" t="str"/>
      <x:c r="N63" s="22" t="str">
        <x:v>Implementation trace plus focused smoke, automated, and story-level regression evidence</x:v>
      </x:c>
      <x:c r="O63" s="22" t="str">
        <x:v>/Users/devups/.codex/skills/gccs-story-sequence/SKILL.md</x:v>
      </x:c>
      <x:c r="P63" s="22" t="str">
        <x:v>Retain traceability; rerun focused verification if the affected boundary changes.</x:v>
      </x:c>
      <x:c r="Q63" s="22" t="str">
        <x:v>Story-labeled commit 1a62a4dd contains delivery and focused test/test-result files: test: implement story 17.2 security isolation verification</x:v>
      </x:c>
      <x:c r="R63" s="22" t="str">
        <x:v>git commit 1a62a4ddcf825180bcd53ef5e83587053b4c84e0; /Users/devups/Development/CodexProjects/Gccs/docs/development-story-test-cases.md</x:v>
      </x:c>
      <x:c r="S63" s="22" t="str">
        <x:v>Completion is based on immutable repository evidence; tests were not rerun and current working-tree drift was not re-certified in this reporting-only task.</x:v>
      </x:c>
      <x:c r="T63" s="13" t="str"/>
      <x:c r="U63" s="15"/>
      <x:c r="V63" s="1" t="str">
        <x:f>IF(OR(H63="Completed",H63="Not Applicable"),"No","Yes")</x:f>
        <x:v>No</x:v>
      </x:c>
    </x:row>
    <x:row r="64" ht="55" customHeight="1">
      <x:c r="A64" s="1" t="n">
        <x:v>60</x:v>
      </x:c>
      <x:c r="B64" s="1" t="str">
        <x:v>Phase 1</x:v>
      </x:c>
      <x:c r="C64" s="22" t="str">
        <x:v>Staging Environment</x:v>
      </x:c>
      <x:c r="D64" s="1" t="str">
        <x:v>17.3</x:v>
      </x:c>
      <x:c r="E64" s="22" t="str">
        <x:v>Staging Environment</x:v>
      </x:c>
      <x:c r="F64" s="1" t="str">
        <x:v>Software implementation</x:v>
      </x:c>
      <x:c r="G64" s="1" t="str">
        <x:v>Planned</x:v>
      </x:c>
      <x:c r="H64" s="1" t="str">
        <x:v>Completed</x:v>
      </x:c>
      <x:c r="I64" s="1" t="n">
        <x:f>COUNTIFS('Task Tracker'!$C$5:$C$800,D64,'Task Tracker'!$I$5:$I$800,"Completed")</x:f>
        <x:v>4</x:v>
      </x:c>
      <x:c r="J64" s="1" t="n">
        <x:f>COUNTIF('Task Tracker'!$C$5:$C$800,D64)</x:f>
        <x:v>4</x:v>
      </x:c>
      <x:c r="K64" s="1" t="n">
        <x:f>J64-I64</x:f>
        <x:v>0</x:v>
      </x:c>
      <x:c r="L64" s="1" t="str">
        <x:v>17.2</x:v>
      </x:c>
      <x:c r="M64" s="22" t="str"/>
      <x:c r="N64" s="22" t="str">
        <x:v>Implementation trace plus focused smoke, automated, and story-level regression evidence</x:v>
      </x:c>
      <x:c r="O64" s="22" t="str">
        <x:v>/Users/devups/.codex/skills/gccs-story-sequence/SKILL.md</x:v>
      </x:c>
      <x:c r="P64" s="22" t="str">
        <x:v>Retain traceability; rerun focused verification if the affected boundary changes.</x:v>
      </x:c>
      <x:c r="Q64" s="22" t="str">
        <x:v>Story-labeled commit ae4c1257 contains delivery and focused test/test-result files: chore: implement story 17.3 staging environment</x:v>
      </x:c>
      <x:c r="R64" s="22" t="str">
        <x:v>git commit ae4c12577a3e7aec6fb6a42db4a6b51eefeacb05; /Users/devups/Development/CodexProjects/Gccs/docs/development-story-test-cases.md</x:v>
      </x:c>
      <x:c r="S64" s="22" t="str">
        <x:v>Completion is based on immutable repository evidence; tests were not rerun and current working-tree drift was not re-certified in this reporting-only task.</x:v>
      </x:c>
      <x:c r="T64" s="13" t="str"/>
      <x:c r="U64" s="15"/>
      <x:c r="V64" s="1" t="str">
        <x:f>IF(OR(H64="Completed",H64="Not Applicable"),"No","Yes")</x:f>
        <x:v>No</x:v>
      </x:c>
    </x:row>
    <x:row r="65" ht="55" customHeight="1">
      <x:c r="A65" s="1" t="n">
        <x:v>61</x:v>
      </x:c>
      <x:c r="B65" s="1" t="str">
        <x:v>Phase 1</x:v>
      </x:c>
      <x:c r="C65" s="22" t="str">
        <x:v>Production Readiness Checklist</x:v>
      </x:c>
      <x:c r="D65" s="1" t="str">
        <x:v>17.4</x:v>
      </x:c>
      <x:c r="E65" s="22" t="str">
        <x:v>Production Readiness Checklist</x:v>
      </x:c>
      <x:c r="F65" s="1" t="str">
        <x:v>Software implementation</x:v>
      </x:c>
      <x:c r="G65" s="1" t="str">
        <x:v>Planned</x:v>
      </x:c>
      <x:c r="H65" s="1" t="str">
        <x:v>Completed</x:v>
      </x:c>
      <x:c r="I65" s="1" t="n">
        <x:f>COUNTIFS('Task Tracker'!$C$5:$C$800,D65,'Task Tracker'!$I$5:$I$800,"Completed")</x:f>
        <x:v>5</x:v>
      </x:c>
      <x:c r="J65" s="1" t="n">
        <x:f>COUNTIF('Task Tracker'!$C$5:$C$800,D65)</x:f>
        <x:v>5</x:v>
      </x:c>
      <x:c r="K65" s="1" t="n">
        <x:f>J65-I65</x:f>
        <x:v>0</x:v>
      </x:c>
      <x:c r="L65" s="1" t="str">
        <x:v>17.3</x:v>
      </x:c>
      <x:c r="M65" s="22" t="str"/>
      <x:c r="N65" s="22" t="str">
        <x:v>Implementation trace plus focused smoke, automated, and story-level regression evidence</x:v>
      </x:c>
      <x:c r="O65" s="22" t="str">
        <x:v>/Users/devups/.codex/skills/gccs-story-sequence/SKILL.md</x:v>
      </x:c>
      <x:c r="P65" s="22" t="str">
        <x:v>Retain traceability; rerun focused verification if the affected boundary changes.</x:v>
      </x:c>
      <x:c r="Q65" s="22" t="str">
        <x:v>Story-labeled commit 27f43976 contains delivery and focused test/test-result files: docs: implement story 17.4 production readiness checklist</x:v>
      </x:c>
      <x:c r="R65" s="22" t="str">
        <x:v>git commit 27f439764d527b67cdb83c04df584db0cb8a197f; /Users/devups/Development/CodexProjects/Gccs/docs/development-story-test-cases.md</x:v>
      </x:c>
      <x:c r="S65" s="22" t="str">
        <x:v>Completion is based on immutable repository evidence; tests were not rerun and current working-tree drift was not re-certified in this reporting-only task.</x:v>
      </x:c>
      <x:c r="T65" s="13" t="str"/>
      <x:c r="U65" s="15"/>
      <x:c r="V65" s="1" t="str">
        <x:f>IF(OR(H65="Completed",H65="Not Applicable"),"No","Yes")</x:f>
        <x:v>No</x:v>
      </x:c>
    </x:row>
    <x:row r="66" ht="55" customHeight="1">
      <x:c r="A66" s="1" t="n">
        <x:v>62</x:v>
      </x:c>
      <x:c r="B66" s="1" t="str">
        <x:v>Phase 1A</x:v>
      </x:c>
      <x:c r="C66" s="22" t="str">
        <x:v>Future CUI-readiness gate</x:v>
      </x:c>
      <x:c r="D66" s="1" t="str">
        <x:v>1A.1.1</x:v>
      </x:c>
      <x:c r="E66" s="22" t="str">
        <x:v>Tenant Data Handling Mode Model</x:v>
      </x:c>
      <x:c r="F66" s="1" t="str">
        <x:v>Software implementation</x:v>
      </x:c>
      <x:c r="G66" s="1" t="str">
        <x:v>Planned</x:v>
      </x:c>
      <x:c r="H66" s="1" t="str">
        <x:v>Completed</x:v>
      </x:c>
      <x:c r="I66" s="1" t="n">
        <x:f>COUNTIFS('Task Tracker'!$C$5:$C$800,D66,'Task Tracker'!$I$5:$I$800,"Completed")</x:f>
        <x:v>5</x:v>
      </x:c>
      <x:c r="J66" s="1" t="n">
        <x:f>COUNTIF('Task Tracker'!$C$5:$C$800,D66)</x:f>
        <x:v>5</x:v>
      </x:c>
      <x:c r="K66" s="1" t="n">
        <x:f>J66-I66</x:f>
        <x:v>0</x:v>
      </x:c>
      <x:c r="L66" s="1" t="str"/>
      <x:c r="M66" s="22" t="str"/>
      <x:c r="N66" s="22" t="str">
        <x:v>Implementation trace plus focused smoke, automated, and story-level regression evidence</x:v>
      </x:c>
      <x:c r="O66" s="22" t="str">
        <x:v>/Users/devups/.codex/skills/gccs-story-sequence/SKILL.md</x:v>
      </x:c>
      <x:c r="P66" s="22" t="str">
        <x:v>Retain traceability; rerun focused verification if the affected boundary changes.</x:v>
      </x:c>
      <x:c r="Q66" s="22" t="str">
        <x:v>Story-labeled commit 256fa0c0 contains delivery and focused test/test-result files: feat: implement story 1A.1.1 tenant data handling modes</x:v>
      </x:c>
      <x:c r="R66" s="22" t="str">
        <x:v>git commit 256fa0c0176ae42a0c215197830715382eb9cc75; /Users/devups/Development/CodexProjects/Gccs/docs/development-story-test-cases.md</x:v>
      </x:c>
      <x:c r="S66" s="22" t="str">
        <x:v>Completion is based on immutable repository evidence; tests were not rerun and current working-tree drift was not re-certified in this reporting-only task.</x:v>
      </x:c>
      <x:c r="T66" s="13" t="str"/>
      <x:c r="U66" s="15"/>
      <x:c r="V66" s="1" t="str">
        <x:f>IF(OR(H66="Completed",H66="Not Applicable"),"No","Yes")</x:f>
        <x:v>No</x:v>
      </x:c>
    </x:row>
    <x:row r="67" ht="55" customHeight="1">
      <x:c r="A67" s="1" t="n">
        <x:v>63</x:v>
      </x:c>
      <x:c r="B67" s="1" t="str">
        <x:v>Phase 1A</x:v>
      </x:c>
      <x:c r="C67" s="22" t="str">
        <x:v>Future CUI-readiness gate</x:v>
      </x:c>
      <x:c r="D67" s="1" t="str">
        <x:v>1A.1.2</x:v>
      </x:c>
      <x:c r="E67" s="22" t="str">
        <x:v>Mode-Based Workflow Enforcement</x:v>
      </x:c>
      <x:c r="F67" s="1" t="str">
        <x:v>Software implementation</x:v>
      </x:c>
      <x:c r="G67" s="1" t="str">
        <x:v>Planned</x:v>
      </x:c>
      <x:c r="H67" s="1" t="str">
        <x:v>Not Verified</x:v>
      </x:c>
      <x:c r="I67" s="1" t="n">
        <x:f>COUNTIFS('Task Tracker'!$C$5:$C$800,D67,'Task Tracker'!$I$5:$I$800,"Completed")</x:f>
        <x:v>0</x:v>
      </x:c>
      <x:c r="J67" s="1" t="n">
        <x:f>COUNTIF('Task Tracker'!$C$5:$C$800,D67)</x:f>
        <x:v>5</x:v>
      </x:c>
      <x:c r="K67" s="1" t="n">
        <x:f>J67-I67</x:f>
        <x:v>5</x:v>
      </x:c>
      <x:c r="L67" s="1" t="str">
        <x:v>1A.1.1</x:v>
      </x:c>
      <x:c r="M67" s="22" t="str"/>
      <x:c r="N67" s="22" t="str">
        <x:v>Implementation trace plus focused smoke, automated, and story-level regression evidence</x:v>
      </x:c>
      <x:c r="O67" s="22" t="str">
        <x:v>/Users/devups/.codex/skills/gccs-story-sequence/SKILL.md</x:v>
      </x:c>
      <x:c r="P67" s="22" t="str">
        <x:v>Execute Story 1A.1.2 one-at-a-time through implementation, smoke, automated, regression, commit, and push workflow.</x:v>
      </x:c>
      <x:c r="Q67" s="22" t="str">
        <x:v>The implementation prompt contains a Done marker, but no matching story-specific implementation commit with focused test evidence was located.</x:v>
      </x:c>
      <x:c r="R67" s="22" t="str">
        <x:v>/Users/devups/Development/CodexProjects/Gccs/docs/development-story-prompts.md (line 4699)</x:v>
      </x:c>
      <x:c r="S67" s="22" t="str">
        <x:v>Done-marker conflict: documentary label is not sufficient proof; No-CUI remains the production boundary.</x:v>
      </x:c>
      <x:c r="T67" s="13" t="str"/>
      <x:c r="U67" s="15"/>
      <x:c r="V67" s="1" t="str">
        <x:f>IF(OR(H67="Completed",H67="Not Applicable"),"No","Yes")</x:f>
        <x:v>Yes</x:v>
      </x:c>
    </x:row>
    <x:row r="68" ht="55" customHeight="1">
      <x:c r="A68" s="1" t="n">
        <x:v>64</x:v>
      </x:c>
      <x:c r="B68" s="1" t="str">
        <x:v>Phase 1A</x:v>
      </x:c>
      <x:c r="C68" s="22" t="str">
        <x:v>Future CUI-readiness gate</x:v>
      </x:c>
      <x:c r="D68" s="1" t="str">
        <x:v>1A.2.1</x:v>
      </x:c>
      <x:c r="E68" s="22" t="str">
        <x:v>Classification Metadata Schema</x:v>
      </x:c>
      <x:c r="F68" s="1" t="str">
        <x:v>Software implementation</x:v>
      </x:c>
      <x:c r="G68" s="1" t="str">
        <x:v>Planned</x:v>
      </x:c>
      <x:c r="H68" s="1" t="str">
        <x:v>Not Verified</x:v>
      </x:c>
      <x:c r="I68" s="1" t="n">
        <x:f>COUNTIFS('Task Tracker'!$C$5:$C$800,D68,'Task Tracker'!$I$5:$I$800,"Completed")</x:f>
        <x:v>0</x:v>
      </x:c>
      <x:c r="J68" s="1" t="n">
        <x:f>COUNTIF('Task Tracker'!$C$5:$C$800,D68)</x:f>
        <x:v>5</x:v>
      </x:c>
      <x:c r="K68" s="1" t="n">
        <x:f>J68-I68</x:f>
        <x:v>5</x:v>
      </x:c>
      <x:c r="L68" s="1" t="str">
        <x:v>1A.1.2</x:v>
      </x:c>
      <x:c r="M68" s="22" t="str"/>
      <x:c r="N68" s="22" t="str">
        <x:v>Implementation trace plus focused smoke, automated, and story-level regression evidence</x:v>
      </x:c>
      <x:c r="O68" s="22" t="str">
        <x:v>/Users/devups/.codex/skills/gccs-story-sequence/SKILL.md</x:v>
      </x:c>
      <x:c r="P68" s="22" t="str">
        <x:v>Execute Story 1A.2.1 one-at-a-time through implementation, smoke, automated, regression, commit, and push workflow.</x:v>
      </x:c>
      <x:c r="Q68" s="22" t="str">
        <x:v>The implementation prompt contains a Done marker, but no matching story-specific implementation commit with focused test evidence was located.</x:v>
      </x:c>
      <x:c r="R68" s="22" t="str">
        <x:v>/Users/devups/Development/CodexProjects/Gccs/docs/development-story-prompts.md (line 4722)</x:v>
      </x:c>
      <x:c r="S68" s="22" t="str">
        <x:v>Done-marker conflict: documentary label is not sufficient proof; No-CUI remains the production boundary.</x:v>
      </x:c>
      <x:c r="T68" s="13" t="str"/>
      <x:c r="U68" s="15"/>
      <x:c r="V68" s="1" t="str">
        <x:f>IF(OR(H68="Completed",H68="Not Applicable"),"No","Yes")</x:f>
        <x:v>Yes</x:v>
      </x:c>
    </x:row>
    <x:row r="69" ht="55" customHeight="1">
      <x:c r="A69" s="1" t="n">
        <x:v>65</x:v>
      </x:c>
      <x:c r="B69" s="1" t="str">
        <x:v>Phase 1A</x:v>
      </x:c>
      <x:c r="C69" s="22" t="str">
        <x:v>Future CUI-readiness gate</x:v>
      </x:c>
      <x:c r="D69" s="1" t="str">
        <x:v>1A.2.2</x:v>
      </x:c>
      <x:c r="E69" s="22" t="str">
        <x:v>Classification UX And Review</x:v>
      </x:c>
      <x:c r="F69" s="1" t="str">
        <x:v>Software implementation</x:v>
      </x:c>
      <x:c r="G69" s="1" t="str">
        <x:v>Planned</x:v>
      </x:c>
      <x:c r="H69" s="1" t="str">
        <x:v>Not Verified</x:v>
      </x:c>
      <x:c r="I69" s="1" t="n">
        <x:f>COUNTIFS('Task Tracker'!$C$5:$C$800,D69,'Task Tracker'!$I$5:$I$800,"Completed")</x:f>
        <x:v>0</x:v>
      </x:c>
      <x:c r="J69" s="1" t="n">
        <x:f>COUNTIF('Task Tracker'!$C$5:$C$800,D69)</x:f>
        <x:v>5</x:v>
      </x:c>
      <x:c r="K69" s="1" t="n">
        <x:f>J69-I69</x:f>
        <x:v>5</x:v>
      </x:c>
      <x:c r="L69" s="1" t="str">
        <x:v>1A.2.1</x:v>
      </x:c>
      <x:c r="M69" s="22" t="str"/>
      <x:c r="N69" s="22" t="str">
        <x:v>Implementation trace plus focused smoke, automated, and story-level regression evidence</x:v>
      </x:c>
      <x:c r="O69" s="22" t="str">
        <x:v>/Users/devups/.codex/skills/gccs-story-sequence/SKILL.md</x:v>
      </x:c>
      <x:c r="P69" s="22" t="str">
        <x:v>Execute Story 1A.2.2 one-at-a-time through implementation, smoke, automated, regression, commit, and push workflow.</x:v>
      </x:c>
      <x:c r="Q69" s="22" t="str">
        <x:v>The implementation prompt contains a Done marker, but no matching story-specific implementation commit with focused test evidence was located.</x:v>
      </x:c>
      <x:c r="R69" s="22" t="str">
        <x:v>/Users/devups/Development/CodexProjects/Gccs/docs/development-story-prompts.md (line 4743)</x:v>
      </x:c>
      <x:c r="S69" s="22" t="str">
        <x:v>Done-marker conflict: documentary label is not sufficient proof; No-CUI remains the production boundary.</x:v>
      </x:c>
      <x:c r="T69" s="13" t="str"/>
      <x:c r="U69" s="15"/>
      <x:c r="V69" s="1" t="str">
        <x:f>IF(OR(H69="Completed",H69="Not Applicable"),"No","Yes")</x:f>
        <x:v>Yes</x:v>
      </x:c>
    </x:row>
    <x:row r="70" ht="55" customHeight="1">
      <x:c r="A70" s="1" t="n">
        <x:v>66</x:v>
      </x:c>
      <x:c r="B70" s="1" t="str">
        <x:v>Phase 1A</x:v>
      </x:c>
      <x:c r="C70" s="22" t="str">
        <x:v>Future CUI-readiness gate</x:v>
      </x:c>
      <x:c r="D70" s="1" t="str">
        <x:v>1A.3.1</x:v>
      </x:c>
      <x:c r="E70" s="22" t="str">
        <x:v>Synthetic Dataset Definition</x:v>
      </x:c>
      <x:c r="F70" s="1" t="str">
        <x:v>Software implementation</x:v>
      </x:c>
      <x:c r="G70" s="1" t="str">
        <x:v>Planned</x:v>
      </x:c>
      <x:c r="H70" s="1" t="str">
        <x:v>Not Verified</x:v>
      </x:c>
      <x:c r="I70" s="1" t="n">
        <x:f>COUNTIFS('Task Tracker'!$C$5:$C$800,D70,'Task Tracker'!$I$5:$I$800,"Completed")</x:f>
        <x:v>0</x:v>
      </x:c>
      <x:c r="J70" s="1" t="n">
        <x:f>COUNTIF('Task Tracker'!$C$5:$C$800,D70)</x:f>
        <x:v>5</x:v>
      </x:c>
      <x:c r="K70" s="1" t="n">
        <x:f>J70-I70</x:f>
        <x:v>5</x:v>
      </x:c>
      <x:c r="L70" s="1" t="str">
        <x:v>1A.2.2</x:v>
      </x:c>
      <x:c r="M70" s="22" t="str"/>
      <x:c r="N70" s="22" t="str">
        <x:v>Implementation trace plus focused smoke, automated, and story-level regression evidence</x:v>
      </x:c>
      <x:c r="O70" s="22" t="str">
        <x:v>/Users/devups/.codex/skills/gccs-story-sequence/SKILL.md</x:v>
      </x:c>
      <x:c r="P70" s="22" t="str">
        <x:v>Execute Story 1A.3.1 one-at-a-time through implementation, smoke, automated, regression, commit, and push workflow.</x:v>
      </x:c>
      <x:c r="Q70" s="22" t="str">
        <x:v>The implementation prompt contains a Done marker, but no matching story-specific implementation commit with focused test evidence was located.</x:v>
      </x:c>
      <x:c r="R70" s="22" t="str">
        <x:v>/Users/devups/Development/CodexProjects/Gccs/docs/development-story-prompts.md (line 4766)</x:v>
      </x:c>
      <x:c r="S70" s="22" t="str">
        <x:v>Done-marker conflict: documentary label is not sufficient proof; No-CUI remains the production boundary.</x:v>
      </x:c>
      <x:c r="T70" s="13" t="str"/>
      <x:c r="U70" s="15"/>
      <x:c r="V70" s="1" t="str">
        <x:f>IF(OR(H70="Completed",H70="Not Applicable"),"No","Yes")</x:f>
        <x:v>Yes</x:v>
      </x:c>
    </x:row>
    <x:row r="71" ht="55" customHeight="1">
      <x:c r="A71" s="1" t="n">
        <x:v>67</x:v>
      </x:c>
      <x:c r="B71" s="1" t="str">
        <x:v>Phase 1A</x:v>
      </x:c>
      <x:c r="C71" s="22" t="str">
        <x:v>Future CUI-readiness gate</x:v>
      </x:c>
      <x:c r="D71" s="1" t="str">
        <x:v>1A.3.2</x:v>
      </x:c>
      <x:c r="E71" s="22" t="str">
        <x:v>Demo Tenant Seeding</x:v>
      </x:c>
      <x:c r="F71" s="1" t="str">
        <x:v>Software implementation</x:v>
      </x:c>
      <x:c r="G71" s="1" t="str">
        <x:v>Planned</x:v>
      </x:c>
      <x:c r="H71" s="1" t="str">
        <x:v>Not Verified</x:v>
      </x:c>
      <x:c r="I71" s="1" t="n">
        <x:f>COUNTIFS('Task Tracker'!$C$5:$C$800,D71,'Task Tracker'!$I$5:$I$800,"Completed")</x:f>
        <x:v>0</x:v>
      </x:c>
      <x:c r="J71" s="1" t="n">
        <x:f>COUNTIF('Task Tracker'!$C$5:$C$800,D71)</x:f>
        <x:v>5</x:v>
      </x:c>
      <x:c r="K71" s="1" t="n">
        <x:f>J71-I71</x:f>
        <x:v>5</x:v>
      </x:c>
      <x:c r="L71" s="1" t="str">
        <x:v>1A.3.1</x:v>
      </x:c>
      <x:c r="M71" s="22" t="str"/>
      <x:c r="N71" s="22" t="str">
        <x:v>Implementation trace plus focused smoke, automated, and story-level regression evidence</x:v>
      </x:c>
      <x:c r="O71" s="22" t="str">
        <x:v>/Users/devups/.codex/skills/gccs-story-sequence/SKILL.md</x:v>
      </x:c>
      <x:c r="P71" s="22" t="str">
        <x:v>Execute Story 1A.3.2 one-at-a-time through implementation, smoke, automated, regression, commit, and push workflow.</x:v>
      </x:c>
      <x:c r="Q71" s="22" t="str">
        <x:v>The implementation prompt contains a Done marker, but no matching story-specific implementation commit with focused test evidence was located.</x:v>
      </x:c>
      <x:c r="R71" s="22" t="str">
        <x:v>/Users/devups/Development/CodexProjects/Gccs/docs/development-story-prompts.md (line 4787)</x:v>
      </x:c>
      <x:c r="S71" s="22" t="str">
        <x:v>Done-marker conflict: documentary label is not sufficient proof; No-CUI remains the production boundary.</x:v>
      </x:c>
      <x:c r="T71" s="13" t="str"/>
      <x:c r="U71" s="15"/>
      <x:c r="V71" s="1" t="str">
        <x:f>IF(OR(H71="Completed",H71="Not Applicable"),"No","Yes")</x:f>
        <x:v>Yes</x:v>
      </x:c>
    </x:row>
    <x:row r="72" ht="55" customHeight="1">
      <x:c r="A72" s="1" t="n">
        <x:v>68</x:v>
      </x:c>
      <x:c r="B72" s="1" t="str">
        <x:v>Phase 1A</x:v>
      </x:c>
      <x:c r="C72" s="22" t="str">
        <x:v>Future CUI-readiness gate</x:v>
      </x:c>
      <x:c r="D72" s="1" t="str">
        <x:v>1A.4.1</x:v>
      </x:c>
      <x:c r="E72" s="22" t="str">
        <x:v>Approval Checklist Model</x:v>
      </x:c>
      <x:c r="F72" s="1" t="str">
        <x:v>Software implementation</x:v>
      </x:c>
      <x:c r="G72" s="1" t="str">
        <x:v>Planned</x:v>
      </x:c>
      <x:c r="H72" s="1" t="str">
        <x:v>Not Verified</x:v>
      </x:c>
      <x:c r="I72" s="1" t="n">
        <x:f>COUNTIFS('Task Tracker'!$C$5:$C$800,D72,'Task Tracker'!$I$5:$I$800,"Completed")</x:f>
        <x:v>0</x:v>
      </x:c>
      <x:c r="J72" s="1" t="n">
        <x:f>COUNTIF('Task Tracker'!$C$5:$C$800,D72)</x:f>
        <x:v>5</x:v>
      </x:c>
      <x:c r="K72" s="1" t="n">
        <x:f>J72-I72</x:f>
        <x:v>5</x:v>
      </x:c>
      <x:c r="L72" s="1" t="str">
        <x:v>1A.3.2</x:v>
      </x:c>
      <x:c r="M72" s="22" t="str"/>
      <x:c r="N72" s="22" t="str">
        <x:v>Implementation trace plus focused smoke, automated, and story-level regression evidence</x:v>
      </x:c>
      <x:c r="O72" s="22" t="str">
        <x:v>/Users/devups/.codex/skills/gccs-story-sequence/SKILL.md</x:v>
      </x:c>
      <x:c r="P72" s="22" t="str">
        <x:v>Execute Story 1A.4.1 one-at-a-time through implementation, smoke, automated, regression, commit, and push workflow.</x:v>
      </x:c>
      <x:c r="Q72" s="22" t="str">
        <x:v>The implementation prompt contains a Done marker, but no matching story-specific implementation commit with focused test evidence was located.</x:v>
      </x:c>
      <x:c r="R72" s="22" t="str">
        <x:v>/Users/devups/Development/CodexProjects/Gccs/docs/development-story-prompts.md (line 4810)</x:v>
      </x:c>
      <x:c r="S72" s="22" t="str">
        <x:v>Done-marker conflict: documentary label is not sufficient proof; No-CUI remains the production boundary.</x:v>
      </x:c>
      <x:c r="T72" s="13" t="str"/>
      <x:c r="U72" s="15"/>
      <x:c r="V72" s="1" t="str">
        <x:f>IF(OR(H72="Completed",H72="Not Applicable"),"No","Yes")</x:f>
        <x:v>Yes</x:v>
      </x:c>
    </x:row>
    <x:row r="73" ht="55" customHeight="1">
      <x:c r="A73" s="1" t="n">
        <x:v>69</x:v>
      </x:c>
      <x:c r="B73" s="1" t="str">
        <x:v>Phase 1A</x:v>
      </x:c>
      <x:c r="C73" s="22" t="str">
        <x:v>Future CUI-readiness gate</x:v>
      </x:c>
      <x:c r="D73" s="1" t="str">
        <x:v>1A.4.2</x:v>
      </x:c>
      <x:c r="E73" s="22" t="str">
        <x:v>Approval Gate Enforcement</x:v>
      </x:c>
      <x:c r="F73" s="1" t="str">
        <x:v>Software implementation</x:v>
      </x:c>
      <x:c r="G73" s="1" t="str">
        <x:v>Planned</x:v>
      </x:c>
      <x:c r="H73" s="1" t="str">
        <x:v>Not Verified</x:v>
      </x:c>
      <x:c r="I73" s="1" t="n">
        <x:f>COUNTIFS('Task Tracker'!$C$5:$C$800,D73,'Task Tracker'!$I$5:$I$800,"Completed")</x:f>
        <x:v>0</x:v>
      </x:c>
      <x:c r="J73" s="1" t="n">
        <x:f>COUNTIF('Task Tracker'!$C$5:$C$800,D73)</x:f>
        <x:v>5</x:v>
      </x:c>
      <x:c r="K73" s="1" t="n">
        <x:f>J73-I73</x:f>
        <x:v>5</x:v>
      </x:c>
      <x:c r="L73" s="1" t="str">
        <x:v>1A.4.1</x:v>
      </x:c>
      <x:c r="M73" s="22" t="str"/>
      <x:c r="N73" s="22" t="str">
        <x:v>Implementation trace plus focused smoke, automated, and story-level regression evidence</x:v>
      </x:c>
      <x:c r="O73" s="22" t="str">
        <x:v>/Users/devups/.codex/skills/gccs-story-sequence/SKILL.md</x:v>
      </x:c>
      <x:c r="P73" s="22" t="str">
        <x:v>Execute Story 1A.4.2 one-at-a-time through implementation, smoke, automated, regression, commit, and push workflow.</x:v>
      </x:c>
      <x:c r="Q73" s="22" t="str">
        <x:v>The implementation prompt contains a Done marker, but no matching story-specific implementation commit with focused test evidence was located.</x:v>
      </x:c>
      <x:c r="R73" s="22" t="str">
        <x:v>/Users/devups/Development/CodexProjects/Gccs/docs/development-story-prompts.md (line 4831)</x:v>
      </x:c>
      <x:c r="S73" s="22" t="str">
        <x:v>Done-marker conflict: documentary label is not sufficient proof; No-CUI remains the production boundary.</x:v>
      </x:c>
      <x:c r="T73" s="13" t="str"/>
      <x:c r="U73" s="15"/>
      <x:c r="V73" s="1" t="str">
        <x:f>IF(OR(H73="Completed",H73="Not Applicable"),"No","Yes")</x:f>
        <x:v>Yes</x:v>
      </x:c>
    </x:row>
    <x:row r="74" ht="55" customHeight="1">
      <x:c r="A74" s="1" t="n">
        <x:v>70</x:v>
      </x:c>
      <x:c r="B74" s="1" t="str">
        <x:v>Phase 1A</x:v>
      </x:c>
      <x:c r="C74" s="22" t="str">
        <x:v>Future CUI-readiness gate</x:v>
      </x:c>
      <x:c r="D74" s="1" t="str">
        <x:v>1A.5.1</x:v>
      </x:c>
      <x:c r="E74" s="22" t="str">
        <x:v>Baseline Responsibility Matrix</x:v>
      </x:c>
      <x:c r="F74" s="1" t="str">
        <x:v>Software implementation</x:v>
      </x:c>
      <x:c r="G74" s="1" t="str">
        <x:v>Planned</x:v>
      </x:c>
      <x:c r="H74" s="1" t="str">
        <x:v>Not Verified</x:v>
      </x:c>
      <x:c r="I74" s="1" t="n">
        <x:f>COUNTIFS('Task Tracker'!$C$5:$C$800,D74,'Task Tracker'!$I$5:$I$800,"Completed")</x:f>
        <x:v>0</x:v>
      </x:c>
      <x:c r="J74" s="1" t="n">
        <x:f>COUNTIF('Task Tracker'!$C$5:$C$800,D74)</x:f>
        <x:v>5</x:v>
      </x:c>
      <x:c r="K74" s="1" t="n">
        <x:f>J74-I74</x:f>
        <x:v>5</x:v>
      </x:c>
      <x:c r="L74" s="1" t="str">
        <x:v>1A.4.2</x:v>
      </x:c>
      <x:c r="M74" s="22" t="str"/>
      <x:c r="N74" s="22" t="str">
        <x:v>Implementation trace plus focused smoke, automated, and story-level regression evidence</x:v>
      </x:c>
      <x:c r="O74" s="22" t="str">
        <x:v>/Users/devups/.codex/skills/gccs-story-sequence/SKILL.md</x:v>
      </x:c>
      <x:c r="P74" s="22" t="str">
        <x:v>Execute Story 1A.5.1 one-at-a-time through implementation, smoke, automated, regression, commit, and push workflow.</x:v>
      </x:c>
      <x:c r="Q74" s="22" t="str">
        <x:v>The implementation prompt contains a Done marker, but no matching story-specific implementation commit with focused test evidence was located.</x:v>
      </x:c>
      <x:c r="R74" s="22" t="str">
        <x:v>/Users/devups/Development/CodexProjects/Gccs/docs/development-story-prompts.md (line 4854)</x:v>
      </x:c>
      <x:c r="S74" s="22" t="str">
        <x:v>Done-marker conflict: documentary label is not sufficient proof; No-CUI remains the production boundary.</x:v>
      </x:c>
      <x:c r="T74" s="13" t="str"/>
      <x:c r="U74" s="15"/>
      <x:c r="V74" s="1" t="str">
        <x:f>IF(OR(H74="Completed",H74="Not Applicable"),"No","Yes")</x:f>
        <x:v>Yes</x:v>
      </x:c>
    </x:row>
    <x:row r="75" ht="55" customHeight="1">
      <x:c r="A75" s="1" t="n">
        <x:v>71</x:v>
      </x:c>
      <x:c r="B75" s="1" t="str">
        <x:v>Phase 1A</x:v>
      </x:c>
      <x:c r="C75" s="22" t="str">
        <x:v>Future CUI-readiness gate</x:v>
      </x:c>
      <x:c r="D75" s="1" t="str">
        <x:v>1A.5.2</x:v>
      </x:c>
      <x:c r="E75" s="22" t="str">
        <x:v>Tenant Matrix Acknowledgement</x:v>
      </x:c>
      <x:c r="F75" s="1" t="str">
        <x:v>Software implementation</x:v>
      </x:c>
      <x:c r="G75" s="1" t="str">
        <x:v>Planned</x:v>
      </x:c>
      <x:c r="H75" s="1" t="str">
        <x:v>Not Verified</x:v>
      </x:c>
      <x:c r="I75" s="1" t="n">
        <x:f>COUNTIFS('Task Tracker'!$C$5:$C$800,D75,'Task Tracker'!$I$5:$I$800,"Completed")</x:f>
        <x:v>0</x:v>
      </x:c>
      <x:c r="J75" s="1" t="n">
        <x:f>COUNTIF('Task Tracker'!$C$5:$C$800,D75)</x:f>
        <x:v>5</x:v>
      </x:c>
      <x:c r="K75" s="1" t="n">
        <x:f>J75-I75</x:f>
        <x:v>5</x:v>
      </x:c>
      <x:c r="L75" s="1" t="str">
        <x:v>1A.5.1</x:v>
      </x:c>
      <x:c r="M75" s="22" t="str"/>
      <x:c r="N75" s="22" t="str">
        <x:v>Implementation trace plus focused smoke, automated, and story-level regression evidence</x:v>
      </x:c>
      <x:c r="O75" s="22" t="str">
        <x:v>/Users/devups/.codex/skills/gccs-story-sequence/SKILL.md</x:v>
      </x:c>
      <x:c r="P75" s="22" t="str">
        <x:v>Execute Story 1A.5.2 one-at-a-time through implementation, smoke, automated, regression, commit, and push workflow.</x:v>
      </x:c>
      <x:c r="Q75" s="22" t="str">
        <x:v>The implementation prompt contains a Done marker, but no matching story-specific implementation commit with focused test evidence was located.</x:v>
      </x:c>
      <x:c r="R75" s="22" t="str">
        <x:v>/Users/devups/Development/CodexProjects/Gccs/docs/development-story-prompts.md (line 4875)</x:v>
      </x:c>
      <x:c r="S75" s="22" t="str">
        <x:v>Done-marker conflict: documentary label is not sufficient proof; No-CUI remains the production boundary.</x:v>
      </x:c>
      <x:c r="T75" s="13" t="str"/>
      <x:c r="U75" s="15"/>
      <x:c r="V75" s="1" t="str">
        <x:f>IF(OR(H75="Completed",H75="Not Applicable"),"No","Yes")</x:f>
        <x:v>Yes</x:v>
      </x:c>
    </x:row>
    <x:row r="76" ht="55" customHeight="1">
      <x:c r="A76" s="1" t="n">
        <x:v>72</x:v>
      </x:c>
      <x:c r="B76" s="1" t="str">
        <x:v>Phase 1A</x:v>
      </x:c>
      <x:c r="C76" s="22" t="str">
        <x:v>Future CUI-readiness gate</x:v>
      </x:c>
      <x:c r="D76" s="1" t="str">
        <x:v>1A.6.1</x:v>
      </x:c>
      <x:c r="E76" s="22" t="str">
        <x:v>Versioned Notice Content</x:v>
      </x:c>
      <x:c r="F76" s="1" t="str">
        <x:v>Software implementation</x:v>
      </x:c>
      <x:c r="G76" s="1" t="str">
        <x:v>Planned</x:v>
      </x:c>
      <x:c r="H76" s="1" t="str">
        <x:v>Not Verified</x:v>
      </x:c>
      <x:c r="I76" s="1" t="n">
        <x:f>COUNTIFS('Task Tracker'!$C$5:$C$800,D76,'Task Tracker'!$I$5:$I$800,"Completed")</x:f>
        <x:v>0</x:v>
      </x:c>
      <x:c r="J76" s="1" t="n">
        <x:f>COUNTIF('Task Tracker'!$C$5:$C$800,D76)</x:f>
        <x:v>5</x:v>
      </x:c>
      <x:c r="K76" s="1" t="n">
        <x:f>J76-I76</x:f>
        <x:v>5</x:v>
      </x:c>
      <x:c r="L76" s="1" t="str">
        <x:v>1A.5.2</x:v>
      </x:c>
      <x:c r="M76" s="22" t="str"/>
      <x:c r="N76" s="22" t="str">
        <x:v>Implementation trace plus focused smoke, automated, and story-level regression evidence</x:v>
      </x:c>
      <x:c r="O76" s="22" t="str">
        <x:v>/Users/devups/.codex/skills/gccs-story-sequence/SKILL.md</x:v>
      </x:c>
      <x:c r="P76" s="22" t="str">
        <x:v>Execute Story 1A.6.1 one-at-a-time through implementation, smoke, automated, regression, commit, and push workflow.</x:v>
      </x:c>
      <x:c r="Q76" s="22" t="str">
        <x:v>The implementation prompt contains a Done marker, but no matching story-specific implementation commit with focused test evidence was located.</x:v>
      </x:c>
      <x:c r="R76" s="22" t="str">
        <x:v>/Users/devups/Development/CodexProjects/Gccs/docs/development-story-prompts.md (line 4898)</x:v>
      </x:c>
      <x:c r="S76" s="22" t="str">
        <x:v>Done-marker conflict: documentary label is not sufficient proof; No-CUI remains the production boundary.</x:v>
      </x:c>
      <x:c r="T76" s="13" t="str"/>
      <x:c r="U76" s="15"/>
      <x:c r="V76" s="1" t="str">
        <x:f>IF(OR(H76="Completed",H76="Not Applicable"),"No","Yes")</x:f>
        <x:v>Yes</x:v>
      </x:c>
    </x:row>
    <x:row r="77" ht="55" customHeight="1">
      <x:c r="A77" s="1" t="n">
        <x:v>73</x:v>
      </x:c>
      <x:c r="B77" s="1" t="str">
        <x:v>Phase 1A</x:v>
      </x:c>
      <x:c r="C77" s="22" t="str">
        <x:v>Future CUI-readiness gate</x:v>
      </x:c>
      <x:c r="D77" s="1" t="str">
        <x:v>1A.6.2</x:v>
      </x:c>
      <x:c r="E77" s="22" t="str">
        <x:v>Notice Placement And Acknowledgement</x:v>
      </x:c>
      <x:c r="F77" s="1" t="str">
        <x:v>Software implementation</x:v>
      </x:c>
      <x:c r="G77" s="1" t="str">
        <x:v>Planned</x:v>
      </x:c>
      <x:c r="H77" s="1" t="str">
        <x:v>Not Verified</x:v>
      </x:c>
      <x:c r="I77" s="1" t="n">
        <x:f>COUNTIFS('Task Tracker'!$C$5:$C$800,D77,'Task Tracker'!$I$5:$I$800,"Completed")</x:f>
        <x:v>0</x:v>
      </x:c>
      <x:c r="J77" s="1" t="n">
        <x:f>COUNTIF('Task Tracker'!$C$5:$C$800,D77)</x:f>
        <x:v>5</x:v>
      </x:c>
      <x:c r="K77" s="1" t="n">
        <x:f>J77-I77</x:f>
        <x:v>5</x:v>
      </x:c>
      <x:c r="L77" s="1" t="str">
        <x:v>1A.6.1</x:v>
      </x:c>
      <x:c r="M77" s="22" t="str"/>
      <x:c r="N77" s="22" t="str">
        <x:v>Implementation trace plus focused smoke, automated, and story-level regression evidence</x:v>
      </x:c>
      <x:c r="O77" s="22" t="str">
        <x:v>/Users/devups/.codex/skills/gccs-story-sequence/SKILL.md</x:v>
      </x:c>
      <x:c r="P77" s="22" t="str">
        <x:v>Execute Story 1A.6.2 one-at-a-time through implementation, smoke, automated, regression, commit, and push workflow.</x:v>
      </x:c>
      <x:c r="Q77" s="22" t="str">
        <x:v>The implementation prompt contains a Done marker, but no matching story-specific implementation commit with focused test evidence was located.</x:v>
      </x:c>
      <x:c r="R77" s="22" t="str">
        <x:v>/Users/devups/Development/CodexProjects/Gccs/docs/development-story-prompts.md (line 4919)</x:v>
      </x:c>
      <x:c r="S77" s="22" t="str">
        <x:v>Done-marker conflict: documentary label is not sufficient proof; No-CUI remains the production boundary.</x:v>
      </x:c>
      <x:c r="T77" s="13" t="str"/>
      <x:c r="U77" s="15"/>
      <x:c r="V77" s="1" t="str">
        <x:f>IF(OR(H77="Completed",H77="Not Applicable"),"No","Yes")</x:f>
        <x:v>Yes</x:v>
      </x:c>
    </x:row>
    <x:row r="78" ht="55" customHeight="1">
      <x:c r="A78" s="1" t="n">
        <x:v>74</x:v>
      </x:c>
      <x:c r="B78" s="1" t="str">
        <x:v>Phase 1A</x:v>
      </x:c>
      <x:c r="C78" s="22" t="str">
        <x:v>Future CUI-readiness gate</x:v>
      </x:c>
      <x:c r="D78" s="1" t="str">
        <x:v>1A.7.1</x:v>
      </x:c>
      <x:c r="E78" s="22" t="str">
        <x:v>Escalation Intake And Classification</x:v>
      </x:c>
      <x:c r="F78" s="1" t="str">
        <x:v>Software implementation</x:v>
      </x:c>
      <x:c r="G78" s="1" t="str">
        <x:v>Planned</x:v>
      </x:c>
      <x:c r="H78" s="1" t="str">
        <x:v>Not Verified</x:v>
      </x:c>
      <x:c r="I78" s="1" t="n">
        <x:f>COUNTIFS('Task Tracker'!$C$5:$C$800,D78,'Task Tracker'!$I$5:$I$800,"Completed")</x:f>
        <x:v>0</x:v>
      </x:c>
      <x:c r="J78" s="1" t="n">
        <x:f>COUNTIF('Task Tracker'!$C$5:$C$800,D78)</x:f>
        <x:v>5</x:v>
      </x:c>
      <x:c r="K78" s="1" t="n">
        <x:f>J78-I78</x:f>
        <x:v>5</x:v>
      </x:c>
      <x:c r="L78" s="1" t="str">
        <x:v>1A.6.2</x:v>
      </x:c>
      <x:c r="M78" s="22" t="str"/>
      <x:c r="N78" s="22" t="str">
        <x:v>Implementation trace plus focused smoke, automated, and story-level regression evidence</x:v>
      </x:c>
      <x:c r="O78" s="22" t="str">
        <x:v>/Users/devups/.codex/skills/gccs-story-sequence/SKILL.md</x:v>
      </x:c>
      <x:c r="P78" s="22" t="str">
        <x:v>Execute Story 1A.7.1 one-at-a-time through implementation, smoke, automated, regression, commit, and push workflow.</x:v>
      </x:c>
      <x:c r="Q78" s="22" t="str">
        <x:v>The implementation prompt contains a Done marker, but no matching story-specific implementation commit with focused test evidence was located.</x:v>
      </x:c>
      <x:c r="R78" s="22" t="str">
        <x:v>/Users/devups/Development/CodexProjects/Gccs/docs/development-story-prompts.md (line 4942)</x:v>
      </x:c>
      <x:c r="S78" s="22" t="str">
        <x:v>Done-marker conflict: documentary label is not sufficient proof; No-CUI remains the production boundary.</x:v>
      </x:c>
      <x:c r="T78" s="13" t="str"/>
      <x:c r="U78" s="15"/>
      <x:c r="V78" s="1" t="str">
        <x:f>IF(OR(H78="Completed",H78="Not Applicable"),"No","Yes")</x:f>
        <x:v>Yes</x:v>
      </x:c>
    </x:row>
    <x:row r="79" ht="55" customHeight="1">
      <x:c r="A79" s="1" t="n">
        <x:v>75</x:v>
      </x:c>
      <x:c r="B79" s="1" t="str">
        <x:v>Phase 1A</x:v>
      </x:c>
      <x:c r="C79" s="22" t="str">
        <x:v>Future CUI-readiness gate</x:v>
      </x:c>
      <x:c r="D79" s="1" t="str">
        <x:v>1A.7.2</x:v>
      </x:c>
      <x:c r="E79" s="22" t="str">
        <x:v>Escalation Workflow And Resolution</x:v>
      </x:c>
      <x:c r="F79" s="1" t="str">
        <x:v>Software implementation</x:v>
      </x:c>
      <x:c r="G79" s="1" t="str">
        <x:v>Planned</x:v>
      </x:c>
      <x:c r="H79" s="1" t="str">
        <x:v>Not Verified</x:v>
      </x:c>
      <x:c r="I79" s="1" t="n">
        <x:f>COUNTIFS('Task Tracker'!$C$5:$C$800,D79,'Task Tracker'!$I$5:$I$800,"Completed")</x:f>
        <x:v>0</x:v>
      </x:c>
      <x:c r="J79" s="1" t="n">
        <x:f>COUNTIF('Task Tracker'!$C$5:$C$800,D79)</x:f>
        <x:v>5</x:v>
      </x:c>
      <x:c r="K79" s="1" t="n">
        <x:f>J79-I79</x:f>
        <x:v>5</x:v>
      </x:c>
      <x:c r="L79" s="1" t="str">
        <x:v>1A.7.1</x:v>
      </x:c>
      <x:c r="M79" s="22" t="str"/>
      <x:c r="N79" s="22" t="str">
        <x:v>Implementation trace plus focused smoke, automated, and story-level regression evidence</x:v>
      </x:c>
      <x:c r="O79" s="22" t="str">
        <x:v>/Users/devups/.codex/skills/gccs-story-sequence/SKILL.md</x:v>
      </x:c>
      <x:c r="P79" s="22" t="str">
        <x:v>Execute Story 1A.7.2 one-at-a-time through implementation, smoke, automated, regression, commit, and push workflow.</x:v>
      </x:c>
      <x:c r="Q79" s="22" t="str">
        <x:v>The implementation prompt contains a Done marker, but no matching story-specific implementation commit with focused test evidence was located.</x:v>
      </x:c>
      <x:c r="R79" s="22" t="str">
        <x:v>/Users/devups/Development/CodexProjects/Gccs/docs/development-story-prompts.md (line 4963)</x:v>
      </x:c>
      <x:c r="S79" s="22" t="str">
        <x:v>Done-marker conflict: documentary label is not sufficient proof; No-CUI remains the production boundary.</x:v>
      </x:c>
      <x:c r="T79" s="13" t="str"/>
      <x:c r="U79" s="15"/>
      <x:c r="V79" s="1" t="str">
        <x:f>IF(OR(H79="Completed",H79="Not Applicable"),"No","Yes")</x:f>
        <x:v>Yes</x:v>
      </x:c>
    </x:row>
    <x:row r="80" ht="55" customHeight="1">
      <x:c r="A80" s="1" t="n">
        <x:v>76</x:v>
      </x:c>
      <x:c r="B80" s="1" t="str">
        <x:v>Phase 1A</x:v>
      </x:c>
      <x:c r="C80" s="22" t="str">
        <x:v>Future CUI-readiness gate</x:v>
      </x:c>
      <x:c r="D80" s="1" t="str">
        <x:v>1A.8.1</x:v>
      </x:c>
      <x:c r="E80" s="22" t="str">
        <x:v>Required CUI Audit Events</x:v>
      </x:c>
      <x:c r="F80" s="1" t="str">
        <x:v>Software implementation</x:v>
      </x:c>
      <x:c r="G80" s="1" t="str">
        <x:v>Planned</x:v>
      </x:c>
      <x:c r="H80" s="1" t="str">
        <x:v>Not Verified</x:v>
      </x:c>
      <x:c r="I80" s="1" t="n">
        <x:f>COUNTIFS('Task Tracker'!$C$5:$C$800,D80,'Task Tracker'!$I$5:$I$800,"Completed")</x:f>
        <x:v>0</x:v>
      </x:c>
      <x:c r="J80" s="1" t="n">
        <x:f>COUNTIF('Task Tracker'!$C$5:$C$800,D80)</x:f>
        <x:v>5</x:v>
      </x:c>
      <x:c r="K80" s="1" t="n">
        <x:f>J80-I80</x:f>
        <x:v>5</x:v>
      </x:c>
      <x:c r="L80" s="1" t="str">
        <x:v>1A.7.2</x:v>
      </x:c>
      <x:c r="M80" s="22" t="str"/>
      <x:c r="N80" s="22" t="str">
        <x:v>Implementation trace plus focused smoke, automated, and story-level regression evidence</x:v>
      </x:c>
      <x:c r="O80" s="22" t="str">
        <x:v>/Users/devups/.codex/skills/gccs-story-sequence/SKILL.md</x:v>
      </x:c>
      <x:c r="P80" s="22" t="str">
        <x:v>Execute Story 1A.8.1 one-at-a-time through implementation, smoke, automated, regression, commit, and push workflow.</x:v>
      </x:c>
      <x:c r="Q80" s="22" t="str">
        <x:v>The implementation prompt contains a Done marker, but no matching story-specific implementation commit with focused test evidence was located.</x:v>
      </x:c>
      <x:c r="R80" s="22" t="str">
        <x:v>/Users/devups/Development/CodexProjects/Gccs/docs/development-story-prompts.md (line 4986)</x:v>
      </x:c>
      <x:c r="S80" s="22" t="str">
        <x:v>Done-marker conflict: documentary label is not sufficient proof; No-CUI remains the production boundary.</x:v>
      </x:c>
      <x:c r="T80" s="13" t="str"/>
      <x:c r="U80" s="15"/>
      <x:c r="V80" s="1" t="str">
        <x:f>IF(OR(H80="Completed",H80="Not Applicable"),"No","Yes")</x:f>
        <x:v>Yes</x:v>
      </x:c>
    </x:row>
    <x:row r="81" ht="55" customHeight="1">
      <x:c r="A81" s="1" t="n">
        <x:v>77</x:v>
      </x:c>
      <x:c r="B81" s="1" t="str">
        <x:v>Phase 1A</x:v>
      </x:c>
      <x:c r="C81" s="22" t="str">
        <x:v>Future CUI-readiness gate</x:v>
      </x:c>
      <x:c r="D81" s="1" t="str">
        <x:v>1A.8.2</x:v>
      </x:c>
      <x:c r="E81" s="22" t="str">
        <x:v>CUI Audit Filters And Export</x:v>
      </x:c>
      <x:c r="F81" s="1" t="str">
        <x:v>Software implementation</x:v>
      </x:c>
      <x:c r="G81" s="1" t="str">
        <x:v>Planned</x:v>
      </x:c>
      <x:c r="H81" s="1" t="str">
        <x:v>Not Verified</x:v>
      </x:c>
      <x:c r="I81" s="1" t="n">
        <x:f>COUNTIFS('Task Tracker'!$C$5:$C$800,D81,'Task Tracker'!$I$5:$I$800,"Completed")</x:f>
        <x:v>0</x:v>
      </x:c>
      <x:c r="J81" s="1" t="n">
        <x:f>COUNTIF('Task Tracker'!$C$5:$C$800,D81)</x:f>
        <x:v>5</x:v>
      </x:c>
      <x:c r="K81" s="1" t="n">
        <x:f>J81-I81</x:f>
        <x:v>5</x:v>
      </x:c>
      <x:c r="L81" s="1" t="str">
        <x:v>1A.8.1</x:v>
      </x:c>
      <x:c r="M81" s="22" t="str"/>
      <x:c r="N81" s="22" t="str">
        <x:v>Implementation trace plus focused smoke, automated, and story-level regression evidence</x:v>
      </x:c>
      <x:c r="O81" s="22" t="str">
        <x:v>/Users/devups/.codex/skills/gccs-story-sequence/SKILL.md</x:v>
      </x:c>
      <x:c r="P81" s="22" t="str">
        <x:v>Execute Story 1A.8.2 one-at-a-time through implementation, smoke, automated, regression, commit, and push workflow.</x:v>
      </x:c>
      <x:c r="Q81" s="22" t="str">
        <x:v>The implementation prompt contains a Done marker, but no matching story-specific implementation commit with focused test evidence was located.</x:v>
      </x:c>
      <x:c r="R81" s="22" t="str">
        <x:v>/Users/devups/Development/CodexProjects/Gccs/docs/development-story-prompts.md (line 5007)</x:v>
      </x:c>
      <x:c r="S81" s="22" t="str">
        <x:v>Done-marker conflict: documentary label is not sufficient proof; No-CUI remains the production boundary.</x:v>
      </x:c>
      <x:c r="T81" s="13" t="str"/>
      <x:c r="U81" s="15"/>
      <x:c r="V81" s="1" t="str">
        <x:f>IF(OR(H81="Completed",H81="Not Applicable"),"No","Yes")</x:f>
        <x:v>Yes</x:v>
      </x:c>
    </x:row>
    <x:row r="82" ht="55" customHeight="1">
      <x:c r="A82" s="1" t="n">
        <x:v>78</x:v>
      </x:c>
      <x:c r="B82" s="1" t="str">
        <x:v>Phase 1A</x:v>
      </x:c>
      <x:c r="C82" s="22" t="str">
        <x:v>Future CUI-readiness gate</x:v>
      </x:c>
      <x:c r="D82" s="1" t="str">
        <x:v>1A.9.1</x:v>
      </x:c>
      <x:c r="E82" s="22" t="str">
        <x:v>Security Review Checklist</x:v>
      </x:c>
      <x:c r="F82" s="1" t="str">
        <x:v>Software implementation</x:v>
      </x:c>
      <x:c r="G82" s="1" t="str">
        <x:v>Planned</x:v>
      </x:c>
      <x:c r="H82" s="1" t="str">
        <x:v>Not Verified</x:v>
      </x:c>
      <x:c r="I82" s="1" t="n">
        <x:f>COUNTIFS('Task Tracker'!$C$5:$C$800,D82,'Task Tracker'!$I$5:$I$800,"Completed")</x:f>
        <x:v>0</x:v>
      </x:c>
      <x:c r="J82" s="1" t="n">
        <x:f>COUNTIF('Task Tracker'!$C$5:$C$800,D82)</x:f>
        <x:v>5</x:v>
      </x:c>
      <x:c r="K82" s="1" t="n">
        <x:f>J82-I82</x:f>
        <x:v>5</x:v>
      </x:c>
      <x:c r="L82" s="1" t="str">
        <x:v>1A.8.2</x:v>
      </x:c>
      <x:c r="M82" s="22" t="str"/>
      <x:c r="N82" s="22" t="str">
        <x:v>Implementation trace plus focused smoke, automated, and story-level regression evidence</x:v>
      </x:c>
      <x:c r="O82" s="22" t="str">
        <x:v>/Users/devups/.codex/skills/gccs-story-sequence/SKILL.md</x:v>
      </x:c>
      <x:c r="P82" s="22" t="str">
        <x:v>Execute Story 1A.9.1 one-at-a-time through implementation, smoke, automated, regression, commit, and push workflow.</x:v>
      </x:c>
      <x:c r="Q82" s="22" t="str">
        <x:v>The implementation prompt contains a Done marker, but no matching story-specific implementation commit with focused test evidence was located.</x:v>
      </x:c>
      <x:c r="R82" s="22" t="str">
        <x:v>/Users/devups/Development/CodexProjects/Gccs/docs/development-story-prompts.md (line 5030)</x:v>
      </x:c>
      <x:c r="S82" s="22" t="str">
        <x:v>Done-marker conflict: documentary label is not sufficient proof; No-CUI remains the production boundary.</x:v>
      </x:c>
      <x:c r="T82" s="13" t="str"/>
      <x:c r="U82" s="15"/>
      <x:c r="V82" s="1" t="str">
        <x:f>IF(OR(H82="Completed",H82="Not Applicable"),"No","Yes")</x:f>
        <x:v>Yes</x:v>
      </x:c>
    </x:row>
    <x:row r="83" ht="55" customHeight="1">
      <x:c r="A83" s="1" t="n">
        <x:v>79</x:v>
      </x:c>
      <x:c r="B83" s="1" t="str">
        <x:v>Phase 1A</x:v>
      </x:c>
      <x:c r="C83" s="22" t="str">
        <x:v>Future CUI-readiness gate</x:v>
      </x:c>
      <x:c r="D83" s="1" t="str">
        <x:v>1A.9.2</x:v>
      </x:c>
      <x:c r="E83" s="22" t="str">
        <x:v>Technical Control Verification</x:v>
      </x:c>
      <x:c r="F83" s="1" t="str">
        <x:v>Software implementation</x:v>
      </x:c>
      <x:c r="G83" s="1" t="str">
        <x:v>Planned</x:v>
      </x:c>
      <x:c r="H83" s="1" t="str">
        <x:v>Not Verified</x:v>
      </x:c>
      <x:c r="I83" s="1" t="n">
        <x:f>COUNTIFS('Task Tracker'!$C$5:$C$800,D83,'Task Tracker'!$I$5:$I$800,"Completed")</x:f>
        <x:v>0</x:v>
      </x:c>
      <x:c r="J83" s="1" t="n">
        <x:f>COUNTIF('Task Tracker'!$C$5:$C$800,D83)</x:f>
        <x:v>5</x:v>
      </x:c>
      <x:c r="K83" s="1" t="n">
        <x:f>J83-I83</x:f>
        <x:v>5</x:v>
      </x:c>
      <x:c r="L83" s="1" t="str">
        <x:v>1A.9.1</x:v>
      </x:c>
      <x:c r="M83" s="22" t="str"/>
      <x:c r="N83" s="22" t="str">
        <x:v>Implementation trace plus focused smoke, automated, and story-level regression evidence</x:v>
      </x:c>
      <x:c r="O83" s="22" t="str">
        <x:v>/Users/devups/.codex/skills/gccs-story-sequence/SKILL.md</x:v>
      </x:c>
      <x:c r="P83" s="22" t="str">
        <x:v>Execute Story 1A.9.2 one-at-a-time through implementation, smoke, automated, regression, commit, and push workflow.</x:v>
      </x:c>
      <x:c r="Q83" s="22" t="str">
        <x:v>The implementation prompt contains a Done marker, but no matching story-specific implementation commit with focused test evidence was located.</x:v>
      </x:c>
      <x:c r="R83" s="22" t="str">
        <x:v>/Users/devups/Development/CodexProjects/Gccs/docs/development-story-prompts.md (line 5051)</x:v>
      </x:c>
      <x:c r="S83" s="22" t="str">
        <x:v>Done-marker conflict: documentary label is not sufficient proof; No-CUI remains the production boundary.</x:v>
      </x:c>
      <x:c r="T83" s="13" t="str"/>
      <x:c r="U83" s="15"/>
      <x:c r="V83" s="1" t="str">
        <x:f>IF(OR(H83="Completed",H83="Not Applicable"),"No","Yes")</x:f>
        <x:v>Yes</x:v>
      </x:c>
    </x:row>
    <x:row r="84" ht="55" customHeight="1">
      <x:c r="A84" s="1" t="n">
        <x:v>80</x:v>
      </x:c>
      <x:c r="B84" s="1" t="str">
        <x:v>Phase 1A</x:v>
      </x:c>
      <x:c r="C84" s="22" t="str">
        <x:v>Future CUI-readiness gate</x:v>
      </x:c>
      <x:c r="D84" s="1" t="str">
        <x:v>1A.9.3</x:v>
      </x:c>
      <x:c r="E84" s="22" t="str">
        <x:v>Incident Response Readiness</x:v>
      </x:c>
      <x:c r="F84" s="1" t="str">
        <x:v>Software implementation</x:v>
      </x:c>
      <x:c r="G84" s="1" t="str">
        <x:v>Planned</x:v>
      </x:c>
      <x:c r="H84" s="1" t="str">
        <x:v>Not Verified</x:v>
      </x:c>
      <x:c r="I84" s="1" t="n">
        <x:f>COUNTIFS('Task Tracker'!$C$5:$C$800,D84,'Task Tracker'!$I$5:$I$800,"Completed")</x:f>
        <x:v>0</x:v>
      </x:c>
      <x:c r="J84" s="1" t="n">
        <x:f>COUNTIF('Task Tracker'!$C$5:$C$800,D84)</x:f>
        <x:v>5</x:v>
      </x:c>
      <x:c r="K84" s="1" t="n">
        <x:f>J84-I84</x:f>
        <x:v>5</x:v>
      </x:c>
      <x:c r="L84" s="1" t="str">
        <x:v>1A.9.2</x:v>
      </x:c>
      <x:c r="M84" s="22" t="str"/>
      <x:c r="N84" s="22" t="str">
        <x:v>Implementation trace plus focused smoke, automated, and story-level regression evidence</x:v>
      </x:c>
      <x:c r="O84" s="22" t="str">
        <x:v>/Users/devups/.codex/skills/gccs-story-sequence/SKILL.md</x:v>
      </x:c>
      <x:c r="P84" s="22" t="str">
        <x:v>Execute Story 1A.9.3 one-at-a-time through implementation, smoke, automated, regression, commit, and push workflow.</x:v>
      </x:c>
      <x:c r="Q84" s="22" t="str">
        <x:v>The implementation prompt contains a Done marker, but no matching story-specific implementation commit with focused test evidence was located.</x:v>
      </x:c>
      <x:c r="R84" s="22" t="str">
        <x:v>/Users/devups/Development/CodexProjects/Gccs/docs/development-story-prompts.md (line 5072)</x:v>
      </x:c>
      <x:c r="S84" s="22" t="str">
        <x:v>Done-marker conflict: documentary label is not sufficient proof; No-CUI remains the production boundary.</x:v>
      </x:c>
      <x:c r="T84" s="13" t="str"/>
      <x:c r="U84" s="15"/>
      <x:c r="V84" s="1" t="str">
        <x:f>IF(OR(H84="Completed",H84="Not Applicable"),"No","Yes")</x:f>
        <x:v>Yes</x:v>
      </x:c>
    </x:row>
    <x:row r="85" ht="55" customHeight="1">
      <x:c r="A85" s="1" t="n">
        <x:v>81</x:v>
      </x:c>
      <x:c r="B85" s="1" t="str">
        <x:v>Production Readiness</x:v>
      </x:c>
      <x:c r="C85" s="22" t="str">
        <x:v>PR-0 readiness</x:v>
      </x:c>
      <x:c r="D85" s="1" t="str">
        <x:v>PR-0.1</x:v>
      </x:c>
      <x:c r="E85" s="22" t="str">
        <x:v>Record And Approve Launch Posture</x:v>
      </x:c>
      <x:c r="F85" s="1" t="str">
        <x:v>Production readiness / governance</x:v>
      </x:c>
      <x:c r="G85" s="1" t="str">
        <x:v>Planned</x:v>
      </x:c>
      <x:c r="H85" s="1" t="str">
        <x:v>Completed</x:v>
      </x:c>
      <x:c r="I85" s="1" t="n">
        <x:f>COUNTIFS('Task Tracker'!$C$5:$C$800,D85,'Task Tracker'!$I$5:$I$800,"Completed")</x:f>
        <x:v>5</x:v>
      </x:c>
      <x:c r="J85" s="1" t="n">
        <x:f>COUNTIF('Task Tracker'!$C$5:$C$800,D85)</x:f>
        <x:v>5</x:v>
      </x:c>
      <x:c r="K85" s="1" t="n">
        <x:f>J85-I85</x:f>
        <x:v>0</x:v>
      </x:c>
      <x:c r="L85" s="1" t="str"/>
      <x:c r="M85" s="22" t="str"/>
      <x:c r="N85" s="22" t="str">
        <x:v>Governed readiness artifact, acceptance evidence, smoke/automated evidence, and approval disposition</x:v>
      </x:c>
      <x:c r="O85" s="22" t="str">
        <x:v>/Users/devups/.codex/skills/gccs-production-readiness-sequence/SKILL.md</x:v>
      </x:c>
      <x:c r="P85" s="22" t="str">
        <x:v>Retain evidence and rerun the applicable gate if launch scope, infrastructure, or regulated-data posture changes.</x:v>
      </x:c>
      <x:c r="Q85" s="22" t="str">
        <x:v>Production-readiness closure/evidence set records completion for the solo-controlled No-CUI pilot scope.</x:v>
      </x:c>
      <x:c r="R85" s="22" t="str">
        <x:v>/Users/devups/Development/CodexProjects/Gccs/docs/production-readiness-launch-closure-evidence.md; /Users/devups/Development/CodexProjects/Gccs/docs/production-readiness-completed-story-dod-review.md</x:v>
      </x:c>
      <x:c r="S85" s="22" t="str">
        <x:v>Evidence does not authorize broader production separation of duties, real CUI, FedRAMP status, or government approval.</x:v>
      </x:c>
      <x:c r="T85" s="13" t="str"/>
      <x:c r="U85" s="15"/>
      <x:c r="V85" s="1" t="str">
        <x:f>IF(OR(H85="Completed",H85="Not Applicable"),"No","Yes")</x:f>
        <x:v>No</x:v>
      </x:c>
    </x:row>
    <x:row r="86" ht="55" customHeight="1">
      <x:c r="A86" s="1" t="n">
        <x:v>82</x:v>
      </x:c>
      <x:c r="B86" s="1" t="str">
        <x:v>Production Readiness</x:v>
      </x:c>
      <x:c r="C86" s="22" t="str">
        <x:v>PR-0 readiness</x:v>
      </x:c>
      <x:c r="D86" s="1" t="str">
        <x:v>PR-0.2</x:v>
      </x:c>
      <x:c r="E86" s="22" t="str">
        <x:v>Align Launch Documents To No-CUI Posture</x:v>
      </x:c>
      <x:c r="F86" s="1" t="str">
        <x:v>Production readiness / governance</x:v>
      </x:c>
      <x:c r="G86" s="1" t="str">
        <x:v>Planned</x:v>
      </x:c>
      <x:c r="H86" s="1" t="str">
        <x:v>Completed</x:v>
      </x:c>
      <x:c r="I86" s="1" t="n">
        <x:f>COUNTIFS('Task Tracker'!$C$5:$C$800,D86,'Task Tracker'!$I$5:$I$800,"Completed")</x:f>
        <x:v>4</x:v>
      </x:c>
      <x:c r="J86" s="1" t="n">
        <x:f>COUNTIF('Task Tracker'!$C$5:$C$800,D86)</x:f>
        <x:v>4</x:v>
      </x:c>
      <x:c r="K86" s="1" t="n">
        <x:f>J86-I86</x:f>
        <x:v>0</x:v>
      </x:c>
      <x:c r="L86" s="1" t="str">
        <x:v>PR-0.1</x:v>
      </x:c>
      <x:c r="M86" s="22" t="str"/>
      <x:c r="N86" s="22" t="str">
        <x:v>Governed readiness artifact, acceptance evidence, smoke/automated evidence, and approval disposition</x:v>
      </x:c>
      <x:c r="O86" s="22" t="str">
        <x:v>/Users/devups/.codex/skills/gccs-production-readiness-sequence/SKILL.md</x:v>
      </x:c>
      <x:c r="P86" s="22" t="str">
        <x:v>Retain evidence and rerun the applicable gate if launch scope, infrastructure, or regulated-data posture changes.</x:v>
      </x:c>
      <x:c r="Q86" s="22" t="str">
        <x:v>Production-readiness closure/evidence set records completion for the solo-controlled No-CUI pilot scope.</x:v>
      </x:c>
      <x:c r="R86" s="22" t="str">
        <x:v>/Users/devups/Development/CodexProjects/Gccs/docs/production-readiness-launch-closure-evidence.md; /Users/devups/Development/CodexProjects/Gccs/docs/production-readiness-completed-story-dod-review.md</x:v>
      </x:c>
      <x:c r="S86" s="22" t="str">
        <x:v>Evidence does not authorize broader production separation of duties, real CUI, FedRAMP status, or government approval.</x:v>
      </x:c>
      <x:c r="T86" s="13" t="str"/>
      <x:c r="U86" s="15"/>
      <x:c r="V86" s="1" t="str">
        <x:f>IF(OR(H86="Completed",H86="Not Applicable"),"No","Yes")</x:f>
        <x:v>No</x:v>
      </x:c>
    </x:row>
    <x:row r="87" ht="55" customHeight="1">
      <x:c r="A87" s="1" t="n">
        <x:v>83</x:v>
      </x:c>
      <x:c r="B87" s="1" t="str">
        <x:v>Production Readiness</x:v>
      </x:c>
      <x:c r="C87" s="22" t="str">
        <x:v>PR-0 readiness</x:v>
      </x:c>
      <x:c r="D87" s="1" t="str">
        <x:v>PR-0.3</x:v>
      </x:c>
      <x:c r="E87" s="22" t="str">
        <x:v>Verify Tenant Mode Boundary Design</x:v>
      </x:c>
      <x:c r="F87" s="1" t="str">
        <x:v>Production readiness / governance</x:v>
      </x:c>
      <x:c r="G87" s="1" t="str">
        <x:v>Planned</x:v>
      </x:c>
      <x:c r="H87" s="1" t="str">
        <x:v>Completed</x:v>
      </x:c>
      <x:c r="I87" s="1" t="n">
        <x:f>COUNTIFS('Task Tracker'!$C$5:$C$800,D87,'Task Tracker'!$I$5:$I$800,"Completed")</x:f>
        <x:v>4</x:v>
      </x:c>
      <x:c r="J87" s="1" t="n">
        <x:f>COUNTIF('Task Tracker'!$C$5:$C$800,D87)</x:f>
        <x:v>4</x:v>
      </x:c>
      <x:c r="K87" s="1" t="n">
        <x:f>J87-I87</x:f>
        <x:v>0</x:v>
      </x:c>
      <x:c r="L87" s="1" t="str">
        <x:v>PR-0.2</x:v>
      </x:c>
      <x:c r="M87" s="22" t="str"/>
      <x:c r="N87" s="22" t="str">
        <x:v>Governed readiness artifact, acceptance evidence, smoke/automated evidence, and approval disposition</x:v>
      </x:c>
      <x:c r="O87" s="22" t="str">
        <x:v>/Users/devups/.codex/skills/gccs-production-readiness-sequence/SKILL.md</x:v>
      </x:c>
      <x:c r="P87" s="22" t="str">
        <x:v>Retain evidence and rerun the applicable gate if launch scope, infrastructure, or regulated-data posture changes.</x:v>
      </x:c>
      <x:c r="Q87" s="22" t="str">
        <x:v>Production-readiness closure/evidence set records completion for the solo-controlled No-CUI pilot scope.</x:v>
      </x:c>
      <x:c r="R87" s="22" t="str">
        <x:v>/Users/devups/Development/CodexProjects/Gccs/docs/production-readiness-launch-closure-evidence.md; /Users/devups/Development/CodexProjects/Gccs/docs/production-readiness-completed-story-dod-review.md</x:v>
      </x:c>
      <x:c r="S87" s="22" t="str">
        <x:v>Evidence does not authorize broader production separation of duties, real CUI, FedRAMP status, or government approval.</x:v>
      </x:c>
      <x:c r="T87" s="13" t="str"/>
      <x:c r="U87" s="15"/>
      <x:c r="V87" s="1" t="str">
        <x:f>IF(OR(H87="Completed",H87="Not Applicable"),"No","Yes")</x:f>
        <x:v>No</x:v>
      </x:c>
    </x:row>
    <x:row r="88" ht="55" customHeight="1">
      <x:c r="A88" s="1" t="n">
        <x:v>84</x:v>
      </x:c>
      <x:c r="B88" s="1" t="str">
        <x:v>Production Readiness</x:v>
      </x:c>
      <x:c r="C88" s="22" t="str">
        <x:v>PR-1 readiness</x:v>
      </x:c>
      <x:c r="D88" s="1" t="str">
        <x:v>PR-1.1</x:v>
      </x:c>
      <x:c r="E88" s="22" t="str">
        <x:v>Re-Run Definition Of Ready For Open MVP Stories</x:v>
      </x:c>
      <x:c r="F88" s="1" t="str">
        <x:v>Production readiness / governance</x:v>
      </x:c>
      <x:c r="G88" s="1" t="str">
        <x:v>Planned</x:v>
      </x:c>
      <x:c r="H88" s="1" t="str">
        <x:v>Completed</x:v>
      </x:c>
      <x:c r="I88" s="1" t="n">
        <x:f>COUNTIFS('Task Tracker'!$C$5:$C$800,D88,'Task Tracker'!$I$5:$I$800,"Completed")</x:f>
        <x:v>4</x:v>
      </x:c>
      <x:c r="J88" s="1" t="n">
        <x:f>COUNTIF('Task Tracker'!$C$5:$C$800,D88)</x:f>
        <x:v>4</x:v>
      </x:c>
      <x:c r="K88" s="1" t="n">
        <x:f>J88-I88</x:f>
        <x:v>0</x:v>
      </x:c>
      <x:c r="L88" s="1" t="str">
        <x:v>PR-0.3</x:v>
      </x:c>
      <x:c r="M88" s="22" t="str"/>
      <x:c r="N88" s="22" t="str">
        <x:v>Governed readiness artifact, acceptance evidence, smoke/automated evidence, and approval disposition</x:v>
      </x:c>
      <x:c r="O88" s="22" t="str">
        <x:v>/Users/devups/.codex/skills/gccs-production-readiness-sequence/SKILL.md</x:v>
      </x:c>
      <x:c r="P88" s="22" t="str">
        <x:v>Retain evidence and rerun the applicable gate if launch scope, infrastructure, or regulated-data posture changes.</x:v>
      </x:c>
      <x:c r="Q88" s="22" t="str">
        <x:v>Production-readiness closure/evidence set records completion for the solo-controlled No-CUI pilot scope.</x:v>
      </x:c>
      <x:c r="R88" s="22" t="str">
        <x:v>/Users/devups/Development/CodexProjects/Gccs/docs/production-readiness-launch-closure-evidence.md; /Users/devups/Development/CodexProjects/Gccs/docs/production-readiness-completed-story-dod-review.md</x:v>
      </x:c>
      <x:c r="S88" s="22" t="str">
        <x:v>Evidence does not authorize broader production separation of duties, real CUI, FedRAMP status, or government approval.</x:v>
      </x:c>
      <x:c r="T88" s="13" t="str"/>
      <x:c r="U88" s="15"/>
      <x:c r="V88" s="1" t="str">
        <x:f>IF(OR(H88="Completed",H88="Not Applicable"),"No","Yes")</x:f>
        <x:v>No</x:v>
      </x:c>
    </x:row>
    <x:row r="89" ht="55" customHeight="1">
      <x:c r="A89" s="1" t="n">
        <x:v>85</x:v>
      </x:c>
      <x:c r="B89" s="1" t="str">
        <x:v>Production Readiness</x:v>
      </x:c>
      <x:c r="C89" s="22" t="str">
        <x:v>PR-1 readiness</x:v>
      </x:c>
      <x:c r="D89" s="1" t="str">
        <x:v>PR-1.2</x:v>
      </x:c>
      <x:c r="E89" s="22" t="str">
        <x:v>Map Open Stories To Test Cases</x:v>
      </x:c>
      <x:c r="F89" s="1" t="str">
        <x:v>Production readiness / governance</x:v>
      </x:c>
      <x:c r="G89" s="1" t="str">
        <x:v>Planned</x:v>
      </x:c>
      <x:c r="H89" s="1" t="str">
        <x:v>Completed</x:v>
      </x:c>
      <x:c r="I89" s="1" t="n">
        <x:f>COUNTIFS('Task Tracker'!$C$5:$C$800,D89,'Task Tracker'!$I$5:$I$800,"Completed")</x:f>
        <x:v>4</x:v>
      </x:c>
      <x:c r="J89" s="1" t="n">
        <x:f>COUNTIF('Task Tracker'!$C$5:$C$800,D89)</x:f>
        <x:v>4</x:v>
      </x:c>
      <x:c r="K89" s="1" t="n">
        <x:f>J89-I89</x:f>
        <x:v>0</x:v>
      </x:c>
      <x:c r="L89" s="1" t="str">
        <x:v>PR-1.1</x:v>
      </x:c>
      <x:c r="M89" s="22" t="str"/>
      <x:c r="N89" s="22" t="str">
        <x:v>Governed readiness artifact, acceptance evidence, smoke/automated evidence, and approval disposition</x:v>
      </x:c>
      <x:c r="O89" s="22" t="str">
        <x:v>/Users/devups/.codex/skills/gccs-production-readiness-sequence/SKILL.md</x:v>
      </x:c>
      <x:c r="P89" s="22" t="str">
        <x:v>Retain evidence and rerun the applicable gate if launch scope, infrastructure, or regulated-data posture changes.</x:v>
      </x:c>
      <x:c r="Q89" s="22" t="str">
        <x:v>Production-readiness closure/evidence set records completion for the solo-controlled No-CUI pilot scope.</x:v>
      </x:c>
      <x:c r="R89" s="22" t="str">
        <x:v>/Users/devups/Development/CodexProjects/Gccs/docs/production-readiness-launch-closure-evidence.md; /Users/devups/Development/CodexProjects/Gccs/docs/production-readiness-completed-story-dod-review.md</x:v>
      </x:c>
      <x:c r="S89" s="22" t="str">
        <x:v>Evidence does not authorize broader production separation of duties, real CUI, FedRAMP status, or government approval.</x:v>
      </x:c>
      <x:c r="T89" s="13" t="str"/>
      <x:c r="U89" s="15"/>
      <x:c r="V89" s="1" t="str">
        <x:f>IF(OR(H89="Completed",H89="Not Applicable"),"No","Yes")</x:f>
        <x:v>No</x:v>
      </x:c>
    </x:row>
    <x:row r="90" ht="55" customHeight="1">
      <x:c r="A90" s="1" t="n">
        <x:v>86</x:v>
      </x:c>
      <x:c r="B90" s="1" t="str">
        <x:v>Production Readiness</x:v>
      </x:c>
      <x:c r="C90" s="22" t="str">
        <x:v>PR-1 readiness</x:v>
      </x:c>
      <x:c r="D90" s="1" t="str">
        <x:v>PR-1.3</x:v>
      </x:c>
      <x:c r="E90" s="22" t="str">
        <x:v>Gate Risky Workflow Changes</x:v>
      </x:c>
      <x:c r="F90" s="1" t="str">
        <x:v>Production readiness / governance</x:v>
      </x:c>
      <x:c r="G90" s="1" t="str">
        <x:v>Planned</x:v>
      </x:c>
      <x:c r="H90" s="1" t="str">
        <x:v>Completed</x:v>
      </x:c>
      <x:c r="I90" s="1" t="n">
        <x:f>COUNTIFS('Task Tracker'!$C$5:$C$800,D90,'Task Tracker'!$I$5:$I$800,"Completed")</x:f>
        <x:v>4</x:v>
      </x:c>
      <x:c r="J90" s="1" t="n">
        <x:f>COUNTIF('Task Tracker'!$C$5:$C$800,D90)</x:f>
        <x:v>4</x:v>
      </x:c>
      <x:c r="K90" s="1" t="n">
        <x:f>J90-I90</x:f>
        <x:v>0</x:v>
      </x:c>
      <x:c r="L90" s="1" t="str">
        <x:v>PR-1.2</x:v>
      </x:c>
      <x:c r="M90" s="22" t="str"/>
      <x:c r="N90" s="22" t="str">
        <x:v>Governed readiness artifact, acceptance evidence, smoke/automated evidence, and approval disposition</x:v>
      </x:c>
      <x:c r="O90" s="22" t="str">
        <x:v>/Users/devups/.codex/skills/gccs-production-readiness-sequence/SKILL.md</x:v>
      </x:c>
      <x:c r="P90" s="22" t="str">
        <x:v>Retain evidence and rerun the applicable gate if launch scope, infrastructure, or regulated-data posture changes.</x:v>
      </x:c>
      <x:c r="Q90" s="22" t="str">
        <x:v>Production-readiness closure/evidence set records completion for the solo-controlled No-CUI pilot scope.</x:v>
      </x:c>
      <x:c r="R90" s="22" t="str">
        <x:v>/Users/devups/Development/CodexProjects/Gccs/docs/production-readiness-launch-closure-evidence.md; /Users/devups/Development/CodexProjects/Gccs/docs/production-readiness-completed-story-dod-review.md</x:v>
      </x:c>
      <x:c r="S90" s="22" t="str">
        <x:v>Evidence does not authorize broader production separation of duties, real CUI, FedRAMP status, or government approval.</x:v>
      </x:c>
      <x:c r="T90" s="13" t="str"/>
      <x:c r="U90" s="15"/>
      <x:c r="V90" s="1" t="str">
        <x:f>IF(OR(H90="Completed",H90="Not Applicable"),"No","Yes")</x:f>
        <x:v>No</x:v>
      </x:c>
    </x:row>
    <x:row r="91" ht="55" customHeight="1">
      <x:c r="A91" s="1" t="n">
        <x:v>87</x:v>
      </x:c>
      <x:c r="B91" s="1" t="str">
        <x:v>Production Readiness</x:v>
      </x:c>
      <x:c r="C91" s="22" t="str">
        <x:v>PR-2 readiness</x:v>
      </x:c>
      <x:c r="D91" s="1" t="str">
        <x:v>PR-2.1</x:v>
      </x:c>
      <x:c r="E91" s="22" t="str">
        <x:v>Freeze MVP Launch Scope</x:v>
      </x:c>
      <x:c r="F91" s="1" t="str">
        <x:v>Production readiness / governance</x:v>
      </x:c>
      <x:c r="G91" s="1" t="str">
        <x:v>Planned</x:v>
      </x:c>
      <x:c r="H91" s="1" t="str">
        <x:v>Completed</x:v>
      </x:c>
      <x:c r="I91" s="1" t="n">
        <x:f>COUNTIFS('Task Tracker'!$C$5:$C$800,D91,'Task Tracker'!$I$5:$I$800,"Completed")</x:f>
        <x:v>4</x:v>
      </x:c>
      <x:c r="J91" s="1" t="n">
        <x:f>COUNTIF('Task Tracker'!$C$5:$C$800,D91)</x:f>
        <x:v>4</x:v>
      </x:c>
      <x:c r="K91" s="1" t="n">
        <x:f>J91-I91</x:f>
        <x:v>0</x:v>
      </x:c>
      <x:c r="L91" s="1" t="str">
        <x:v>PR-1.3</x:v>
      </x:c>
      <x:c r="M91" s="22" t="str"/>
      <x:c r="N91" s="22" t="str">
        <x:v>Governed readiness artifact, acceptance evidence, smoke/automated evidence, and approval disposition</x:v>
      </x:c>
      <x:c r="O91" s="22" t="str">
        <x:v>/Users/devups/.codex/skills/gccs-production-readiness-sequence/SKILL.md</x:v>
      </x:c>
      <x:c r="P91" s="22" t="str">
        <x:v>Retain evidence and rerun the applicable gate if launch scope, infrastructure, or regulated-data posture changes.</x:v>
      </x:c>
      <x:c r="Q91" s="22" t="str">
        <x:v>Production-readiness closure/evidence set records completion for the solo-controlled No-CUI pilot scope.</x:v>
      </x:c>
      <x:c r="R91" s="22" t="str">
        <x:v>/Users/devups/Development/CodexProjects/Gccs/docs/production-readiness-launch-closure-evidence.md; /Users/devups/Development/CodexProjects/Gccs/docs/production-readiness-completed-story-dod-review.md</x:v>
      </x:c>
      <x:c r="S91" s="22" t="str">
        <x:v>Evidence does not authorize broader production separation of duties, real CUI, FedRAMP status, or government approval.</x:v>
      </x:c>
      <x:c r="T91" s="13" t="str"/>
      <x:c r="U91" s="15"/>
      <x:c r="V91" s="1" t="str">
        <x:f>IF(OR(H91="Completed",H91="Not Applicable"),"No","Yes")</x:f>
        <x:v>No</x:v>
      </x:c>
    </x:row>
    <x:row r="92" ht="55" customHeight="1">
      <x:c r="A92" s="1" t="n">
        <x:v>88</x:v>
      </x:c>
      <x:c r="B92" s="1" t="str">
        <x:v>Production Readiness</x:v>
      </x:c>
      <x:c r="C92" s="22" t="str">
        <x:v>PR-2 readiness</x:v>
      </x:c>
      <x:c r="D92" s="1" t="str">
        <x:v>PR-2.2</x:v>
      </x:c>
      <x:c r="E92" s="22" t="str">
        <x:v>Re-Run Definition Of Done For Completed MVP Stories</x:v>
      </x:c>
      <x:c r="F92" s="1" t="str">
        <x:v>Production readiness / governance</x:v>
      </x:c>
      <x:c r="G92" s="1" t="str">
        <x:v>Planned</x:v>
      </x:c>
      <x:c r="H92" s="1" t="str">
        <x:v>Completed</x:v>
      </x:c>
      <x:c r="I92" s="1" t="n">
        <x:f>COUNTIFS('Task Tracker'!$C$5:$C$800,D92,'Task Tracker'!$I$5:$I$800,"Completed")</x:f>
        <x:v>4</x:v>
      </x:c>
      <x:c r="J92" s="1" t="n">
        <x:f>COUNTIF('Task Tracker'!$C$5:$C$800,D92)</x:f>
        <x:v>4</x:v>
      </x:c>
      <x:c r="K92" s="1" t="n">
        <x:f>J92-I92</x:f>
        <x:v>0</x:v>
      </x:c>
      <x:c r="L92" s="1" t="str">
        <x:v>PR-2.1</x:v>
      </x:c>
      <x:c r="M92" s="22" t="str"/>
      <x:c r="N92" s="22" t="str">
        <x:v>Governed readiness artifact, acceptance evidence, smoke/automated evidence, and approval disposition</x:v>
      </x:c>
      <x:c r="O92" s="22" t="str">
        <x:v>/Users/devups/.codex/skills/gccs-production-readiness-sequence/SKILL.md</x:v>
      </x:c>
      <x:c r="P92" s="22" t="str">
        <x:v>Retain evidence and rerun the applicable gate if launch scope, infrastructure, or regulated-data posture changes.</x:v>
      </x:c>
      <x:c r="Q92" s="22" t="str">
        <x:v>Production-readiness closure/evidence set records completion for the solo-controlled No-CUI pilot scope.</x:v>
      </x:c>
      <x:c r="R92" s="22" t="str">
        <x:v>/Users/devups/Development/CodexProjects/Gccs/docs/production-readiness-launch-closure-evidence.md; /Users/devups/Development/CodexProjects/Gccs/docs/production-readiness-completed-story-dod-review.md</x:v>
      </x:c>
      <x:c r="S92" s="22" t="str">
        <x:v>Evidence does not authorize broader production separation of duties, real CUI, FedRAMP status, or government approval.</x:v>
      </x:c>
      <x:c r="T92" s="13" t="str"/>
      <x:c r="U92" s="15"/>
      <x:c r="V92" s="1" t="str">
        <x:f>IF(OR(H92="Completed",H92="Not Applicable"),"No","Yes")</x:f>
        <x:v>No</x:v>
      </x:c>
    </x:row>
    <x:row r="93" ht="55" customHeight="1">
      <x:c r="A93" s="1" t="n">
        <x:v>89</x:v>
      </x:c>
      <x:c r="B93" s="1" t="str">
        <x:v>Production Readiness</x:v>
      </x:c>
      <x:c r="C93" s="22" t="str">
        <x:v>PR-2 readiness</x:v>
      </x:c>
      <x:c r="D93" s="1" t="str">
        <x:v>PR-2.3</x:v>
      </x:c>
      <x:c r="E93" s="22" t="str">
        <x:v>Convert Completion Gaps Into Launch Decisions</x:v>
      </x:c>
      <x:c r="F93" s="1" t="str">
        <x:v>Production readiness / governance</x:v>
      </x:c>
      <x:c r="G93" s="1" t="str">
        <x:v>Planned</x:v>
      </x:c>
      <x:c r="H93" s="1" t="str">
        <x:v>Completed</x:v>
      </x:c>
      <x:c r="I93" s="1" t="n">
        <x:f>COUNTIFS('Task Tracker'!$C$5:$C$800,D93,'Task Tracker'!$I$5:$I$800,"Completed")</x:f>
        <x:v>4</x:v>
      </x:c>
      <x:c r="J93" s="1" t="n">
        <x:f>COUNTIF('Task Tracker'!$C$5:$C$800,D93)</x:f>
        <x:v>4</x:v>
      </x:c>
      <x:c r="K93" s="1" t="n">
        <x:f>J93-I93</x:f>
        <x:v>0</x:v>
      </x:c>
      <x:c r="L93" s="1" t="str">
        <x:v>PR-2.2</x:v>
      </x:c>
      <x:c r="M93" s="22" t="str"/>
      <x:c r="N93" s="22" t="str">
        <x:v>Governed readiness artifact, acceptance evidence, smoke/automated evidence, and approval disposition</x:v>
      </x:c>
      <x:c r="O93" s="22" t="str">
        <x:v>/Users/devups/.codex/skills/gccs-production-readiness-sequence/SKILL.md</x:v>
      </x:c>
      <x:c r="P93" s="22" t="str">
        <x:v>Retain evidence and rerun the applicable gate if launch scope, infrastructure, or regulated-data posture changes.</x:v>
      </x:c>
      <x:c r="Q93" s="22" t="str">
        <x:v>Production-readiness closure/evidence set records completion for the solo-controlled No-CUI pilot scope.</x:v>
      </x:c>
      <x:c r="R93" s="22" t="str">
        <x:v>/Users/devups/Development/CodexProjects/Gccs/docs/production-readiness-launch-closure-evidence.md; /Users/devups/Development/CodexProjects/Gccs/docs/production-readiness-completed-story-dod-review.md</x:v>
      </x:c>
      <x:c r="S93" s="22" t="str">
        <x:v>Evidence does not authorize broader production separation of duties, real CUI, FedRAMP status, or government approval.</x:v>
      </x:c>
      <x:c r="T93" s="13" t="str"/>
      <x:c r="U93" s="15"/>
      <x:c r="V93" s="1" t="str">
        <x:f>IF(OR(H93="Completed",H93="Not Applicable"),"No","Yes")</x:f>
        <x:v>No</x:v>
      </x:c>
    </x:row>
    <x:row r="94" ht="55" customHeight="1">
      <x:c r="A94" s="1" t="n">
        <x:v>90</x:v>
      </x:c>
      <x:c r="B94" s="1" t="str">
        <x:v>Production Readiness</x:v>
      </x:c>
      <x:c r="C94" s="22" t="str">
        <x:v>PR-3 readiness</x:v>
      </x:c>
      <x:c r="D94" s="1" t="str">
        <x:v>PR-3.1</x:v>
      </x:c>
      <x:c r="E94" s="22" t="str">
        <x:v>Deploy And Smoke Test Staging</x:v>
      </x:c>
      <x:c r="F94" s="1" t="str">
        <x:v>Production readiness / governance</x:v>
      </x:c>
      <x:c r="G94" s="1" t="str">
        <x:v>Planned</x:v>
      </x:c>
      <x:c r="H94" s="1" t="str">
        <x:v>Completed</x:v>
      </x:c>
      <x:c r="I94" s="1" t="n">
        <x:f>COUNTIFS('Task Tracker'!$C$5:$C$800,D94,'Task Tracker'!$I$5:$I$800,"Completed")</x:f>
        <x:v>5</x:v>
      </x:c>
      <x:c r="J94" s="1" t="n">
        <x:f>COUNTIF('Task Tracker'!$C$5:$C$800,D94)</x:f>
        <x:v>5</x:v>
      </x:c>
      <x:c r="K94" s="1" t="n">
        <x:f>J94-I94</x:f>
        <x:v>0</x:v>
      </x:c>
      <x:c r="L94" s="1" t="str">
        <x:v>PR-2.3</x:v>
      </x:c>
      <x:c r="M94" s="22" t="str"/>
      <x:c r="N94" s="22" t="str">
        <x:v>Governed readiness artifact, acceptance evidence, smoke/automated evidence, and approval disposition</x:v>
      </x:c>
      <x:c r="O94" s="22" t="str">
        <x:v>/Users/devups/.codex/skills/gccs-production-readiness-sequence/SKILL.md</x:v>
      </x:c>
      <x:c r="P94" s="22" t="str">
        <x:v>Retain evidence and rerun the applicable gate if launch scope, infrastructure, or regulated-data posture changes.</x:v>
      </x:c>
      <x:c r="Q94" s="22" t="str">
        <x:v>Production-readiness closure/evidence set records completion for the solo-controlled No-CUI pilot scope.</x:v>
      </x:c>
      <x:c r="R94" s="22" t="str">
        <x:v>/Users/devups/Development/CodexProjects/Gccs/docs/production-readiness-launch-closure-evidence.md; /Users/devups/Development/CodexProjects/Gccs/docs/production-readiness-completed-story-dod-review.md</x:v>
      </x:c>
      <x:c r="S94" s="22" t="str">
        <x:v>Evidence does not authorize broader production separation of duties, real CUI, FedRAMP status, or government approval.</x:v>
      </x:c>
      <x:c r="T94" s="13" t="str"/>
      <x:c r="U94" s="15"/>
      <x:c r="V94" s="1" t="str">
        <x:f>IF(OR(H94="Completed",H94="Not Applicable"),"No","Yes")</x:f>
        <x:v>No</x:v>
      </x:c>
    </x:row>
    <x:row r="95" ht="55" customHeight="1">
      <x:c r="A95" s="1" t="n">
        <x:v>91</x:v>
      </x:c>
      <x:c r="B95" s="1" t="str">
        <x:v>Production Readiness</x:v>
      </x:c>
      <x:c r="C95" s="22" t="str">
        <x:v>PR-3 readiness</x:v>
      </x:c>
      <x:c r="D95" s="1" t="str">
        <x:v>PR-3.2</x:v>
      </x:c>
      <x:c r="E95" s="22" t="str">
        <x:v>Execute End-To-End MVP Workflow In Staging</x:v>
      </x:c>
      <x:c r="F95" s="1" t="str">
        <x:v>Production readiness / governance</x:v>
      </x:c>
      <x:c r="G95" s="1" t="str">
        <x:v>Planned</x:v>
      </x:c>
      <x:c r="H95" s="1" t="str">
        <x:v>Completed</x:v>
      </x:c>
      <x:c r="I95" s="1" t="n">
        <x:f>COUNTIFS('Task Tracker'!$C$5:$C$800,D95,'Task Tracker'!$I$5:$I$800,"Completed")</x:f>
        <x:v>4</x:v>
      </x:c>
      <x:c r="J95" s="1" t="n">
        <x:f>COUNTIF('Task Tracker'!$C$5:$C$800,D95)</x:f>
        <x:v>4</x:v>
      </x:c>
      <x:c r="K95" s="1" t="n">
        <x:f>J95-I95</x:f>
        <x:v>0</x:v>
      </x:c>
      <x:c r="L95" s="1" t="str">
        <x:v>PR-3.1</x:v>
      </x:c>
      <x:c r="M95" s="22" t="str"/>
      <x:c r="N95" s="22" t="str">
        <x:v>Governed readiness artifact, acceptance evidence, smoke/automated evidence, and approval disposition</x:v>
      </x:c>
      <x:c r="O95" s="22" t="str">
        <x:v>/Users/devups/.codex/skills/gccs-production-readiness-sequence/SKILL.md</x:v>
      </x:c>
      <x:c r="P95" s="22" t="str">
        <x:v>Retain evidence and rerun the applicable gate if launch scope, infrastructure, or regulated-data posture changes.</x:v>
      </x:c>
      <x:c r="Q95" s="22" t="str">
        <x:v>Production-readiness closure/evidence set records completion for the solo-controlled No-CUI pilot scope.</x:v>
      </x:c>
      <x:c r="R95" s="22" t="str">
        <x:v>/Users/devups/Development/CodexProjects/Gccs/docs/production-readiness-launch-closure-evidence.md; /Users/devups/Development/CodexProjects/Gccs/docs/production-readiness-completed-story-dod-review.md</x:v>
      </x:c>
      <x:c r="S95" s="22" t="str">
        <x:v>Evidence does not authorize broader production separation of duties, real CUI, FedRAMP status, or government approval.</x:v>
      </x:c>
      <x:c r="T95" s="13" t="str"/>
      <x:c r="U95" s="15"/>
      <x:c r="V95" s="1" t="str">
        <x:f>IF(OR(H95="Completed",H95="Not Applicable"),"No","Yes")</x:f>
        <x:v>No</x:v>
      </x:c>
    </x:row>
    <x:row r="96" ht="55" customHeight="1">
      <x:c r="A96" s="1" t="n">
        <x:v>92</x:v>
      </x:c>
      <x:c r="B96" s="1" t="str">
        <x:v>Production Readiness</x:v>
      </x:c>
      <x:c r="C96" s="22" t="str">
        <x:v>PR-3 readiness</x:v>
      </x:c>
      <x:c r="D96" s="1" t="str">
        <x:v>PR-3.3</x:v>
      </x:c>
      <x:c r="E96" s="22" t="str">
        <x:v>Verify Tenant Isolation And RBAC In Staging</x:v>
      </x:c>
      <x:c r="F96" s="1" t="str">
        <x:v>Production readiness / governance</x:v>
      </x:c>
      <x:c r="G96" s="1" t="str">
        <x:v>Planned</x:v>
      </x:c>
      <x:c r="H96" s="1" t="str">
        <x:v>Completed</x:v>
      </x:c>
      <x:c r="I96" s="1" t="n">
        <x:f>COUNTIFS('Task Tracker'!$C$5:$C$800,D96,'Task Tracker'!$I$5:$I$800,"Completed")</x:f>
        <x:v>4</x:v>
      </x:c>
      <x:c r="J96" s="1" t="n">
        <x:f>COUNTIF('Task Tracker'!$C$5:$C$800,D96)</x:f>
        <x:v>4</x:v>
      </x:c>
      <x:c r="K96" s="1" t="n">
        <x:f>J96-I96</x:f>
        <x:v>0</x:v>
      </x:c>
      <x:c r="L96" s="1" t="str">
        <x:v>PR-3.2</x:v>
      </x:c>
      <x:c r="M96" s="22" t="str"/>
      <x:c r="N96" s="22" t="str">
        <x:v>Governed readiness artifact, acceptance evidence, smoke/automated evidence, and approval disposition</x:v>
      </x:c>
      <x:c r="O96" s="22" t="str">
        <x:v>/Users/devups/.codex/skills/gccs-production-readiness-sequence/SKILL.md</x:v>
      </x:c>
      <x:c r="P96" s="22" t="str">
        <x:v>Retain evidence and rerun the applicable gate if launch scope, infrastructure, or regulated-data posture changes.</x:v>
      </x:c>
      <x:c r="Q96" s="22" t="str">
        <x:v>Production-readiness closure/evidence set records completion for the solo-controlled No-CUI pilot scope.</x:v>
      </x:c>
      <x:c r="R96" s="22" t="str">
        <x:v>/Users/devups/Development/CodexProjects/Gccs/docs/production-readiness-launch-closure-evidence.md; /Users/devups/Development/CodexProjects/Gccs/docs/production-readiness-completed-story-dod-review.md</x:v>
      </x:c>
      <x:c r="S96" s="22" t="str">
        <x:v>Evidence does not authorize broader production separation of duties, real CUI, FedRAMP status, or government approval.</x:v>
      </x:c>
      <x:c r="T96" s="13" t="str"/>
      <x:c r="U96" s="15"/>
      <x:c r="V96" s="1" t="str">
        <x:f>IF(OR(H96="Completed",H96="Not Applicable"),"No","Yes")</x:f>
        <x:v>No</x:v>
      </x:c>
    </x:row>
    <x:row r="97" ht="55" customHeight="1">
      <x:c r="A97" s="1" t="n">
        <x:v>93</x:v>
      </x:c>
      <x:c r="B97" s="1" t="str">
        <x:v>Production Readiness</x:v>
      </x:c>
      <x:c r="C97" s="22" t="str">
        <x:v>PR-3 readiness</x:v>
      </x:c>
      <x:c r="D97" s="1" t="str">
        <x:v>PR-3.4</x:v>
      </x:c>
      <x:c r="E97" s="22" t="str">
        <x:v>Verify Upload Guardrails And Report Controls In Staging</x:v>
      </x:c>
      <x:c r="F97" s="1" t="str">
        <x:v>Production readiness / governance</x:v>
      </x:c>
      <x:c r="G97" s="1" t="str">
        <x:v>Planned</x:v>
      </x:c>
      <x:c r="H97" s="1" t="str">
        <x:v>Completed</x:v>
      </x:c>
      <x:c r="I97" s="1" t="n">
        <x:f>COUNTIFS('Task Tracker'!$C$5:$C$800,D97,'Task Tracker'!$I$5:$I$800,"Completed")</x:f>
        <x:v>3</x:v>
      </x:c>
      <x:c r="J97" s="1" t="n">
        <x:f>COUNTIF('Task Tracker'!$C$5:$C$800,D97)</x:f>
        <x:v>3</x:v>
      </x:c>
      <x:c r="K97" s="1" t="n">
        <x:f>J97-I97</x:f>
        <x:v>0</x:v>
      </x:c>
      <x:c r="L97" s="1" t="str">
        <x:v>PR-3.3</x:v>
      </x:c>
      <x:c r="M97" s="22" t="str"/>
      <x:c r="N97" s="22" t="str">
        <x:v>Governed readiness artifact, acceptance evidence, smoke/automated evidence, and approval disposition</x:v>
      </x:c>
      <x:c r="O97" s="22" t="str">
        <x:v>/Users/devups/.codex/skills/gccs-production-readiness-sequence/SKILL.md</x:v>
      </x:c>
      <x:c r="P97" s="22" t="str">
        <x:v>Retain evidence and rerun the applicable gate if launch scope, infrastructure, or regulated-data posture changes.</x:v>
      </x:c>
      <x:c r="Q97" s="22" t="str">
        <x:v>Production-readiness closure/evidence set records completion for the solo-controlled No-CUI pilot scope.</x:v>
      </x:c>
      <x:c r="R97" s="22" t="str">
        <x:v>/Users/devups/Development/CodexProjects/Gccs/docs/production-readiness-launch-closure-evidence.md; /Users/devups/Development/CodexProjects/Gccs/docs/production-readiness-completed-story-dod-review.md</x:v>
      </x:c>
      <x:c r="S97" s="22" t="str">
        <x:v>Evidence does not authorize broader production separation of duties, real CUI, FedRAMP status, or government approval.</x:v>
      </x:c>
      <x:c r="T97" s="13" t="str"/>
      <x:c r="U97" s="15"/>
      <x:c r="V97" s="1" t="str">
        <x:f>IF(OR(H97="Completed",H97="Not Applicable"),"No","Yes")</x:f>
        <x:v>No</x:v>
      </x:c>
    </x:row>
    <x:row r="98" ht="55" customHeight="1">
      <x:c r="A98" s="1" t="n">
        <x:v>94</x:v>
      </x:c>
      <x:c r="B98" s="1" t="str">
        <x:v>Production Readiness</x:v>
      </x:c>
      <x:c r="C98" s="22" t="str">
        <x:v>PR-4 readiness</x:v>
      </x:c>
      <x:c r="D98" s="1" t="str">
        <x:v>PR-4.1</x:v>
      </x:c>
      <x:c r="E98" s="22" t="str">
        <x:v>Attach Backup And Restore Evidence</x:v>
      </x:c>
      <x:c r="F98" s="1" t="str">
        <x:v>Production readiness / governance</x:v>
      </x:c>
      <x:c r="G98" s="1" t="str">
        <x:v>Planned</x:v>
      </x:c>
      <x:c r="H98" s="1" t="str">
        <x:v>Completed</x:v>
      </x:c>
      <x:c r="I98" s="1" t="n">
        <x:f>COUNTIFS('Task Tracker'!$C$5:$C$800,D98,'Task Tracker'!$I$5:$I$800,"Completed")</x:f>
        <x:v>4</x:v>
      </x:c>
      <x:c r="J98" s="1" t="n">
        <x:f>COUNTIF('Task Tracker'!$C$5:$C$800,D98)</x:f>
        <x:v>4</x:v>
      </x:c>
      <x:c r="K98" s="1" t="n">
        <x:f>J98-I98</x:f>
        <x:v>0</x:v>
      </x:c>
      <x:c r="L98" s="1" t="str">
        <x:v>PR-3.4</x:v>
      </x:c>
      <x:c r="M98" s="22" t="str"/>
      <x:c r="N98" s="22" t="str">
        <x:v>Governed readiness artifact, acceptance evidence, smoke/automated evidence, and approval disposition</x:v>
      </x:c>
      <x:c r="O98" s="22" t="str">
        <x:v>/Users/devups/.codex/skills/gccs-production-readiness-sequence/SKILL.md</x:v>
      </x:c>
      <x:c r="P98" s="22" t="str">
        <x:v>Retain evidence and rerun the applicable gate if launch scope, infrastructure, or regulated-data posture changes.</x:v>
      </x:c>
      <x:c r="Q98" s="22" t="str">
        <x:v>Production-readiness closure/evidence set records completion for the solo-controlled No-CUI pilot scope.</x:v>
      </x:c>
      <x:c r="R98" s="22" t="str">
        <x:v>/Users/devups/Development/CodexProjects/Gccs/docs/production-readiness-launch-closure-evidence.md; /Users/devups/Development/CodexProjects/Gccs/docs/production-readiness-completed-story-dod-review.md</x:v>
      </x:c>
      <x:c r="S98" s="22" t="str">
        <x:v>Evidence does not authorize broader production separation of duties, real CUI, FedRAMP status, or government approval.</x:v>
      </x:c>
      <x:c r="T98" s="13" t="str"/>
      <x:c r="U98" s="15"/>
      <x:c r="V98" s="1" t="str">
        <x:f>IF(OR(H98="Completed",H98="Not Applicable"),"No","Yes")</x:f>
        <x:v>No</x:v>
      </x:c>
    </x:row>
    <x:row r="99" ht="55" customHeight="1">
      <x:c r="A99" s="1" t="n">
        <x:v>95</x:v>
      </x:c>
      <x:c r="B99" s="1" t="str">
        <x:v>Production Readiness</x:v>
      </x:c>
      <x:c r="C99" s="22" t="str">
        <x:v>PR-4 readiness</x:v>
      </x:c>
      <x:c r="D99" s="1" t="str">
        <x:v>PR-4.2</x:v>
      </x:c>
      <x:c r="E99" s="22" t="str">
        <x:v>Attach Deployment, Migration, And Rollback Evidence</x:v>
      </x:c>
      <x:c r="F99" s="1" t="str">
        <x:v>Production readiness / governance</x:v>
      </x:c>
      <x:c r="G99" s="1" t="str">
        <x:v>Planned</x:v>
      </x:c>
      <x:c r="H99" s="1" t="str">
        <x:v>Completed</x:v>
      </x:c>
      <x:c r="I99" s="1" t="n">
        <x:f>COUNTIFS('Task Tracker'!$C$5:$C$800,D99,'Task Tracker'!$I$5:$I$800,"Completed")</x:f>
        <x:v>5</x:v>
      </x:c>
      <x:c r="J99" s="1" t="n">
        <x:f>COUNTIF('Task Tracker'!$C$5:$C$800,D99)</x:f>
        <x:v>5</x:v>
      </x:c>
      <x:c r="K99" s="1" t="n">
        <x:f>J99-I99</x:f>
        <x:v>0</x:v>
      </x:c>
      <x:c r="L99" s="1" t="str">
        <x:v>PR-4.1</x:v>
      </x:c>
      <x:c r="M99" s="22" t="str"/>
      <x:c r="N99" s="22" t="str">
        <x:v>Governed readiness artifact, acceptance evidence, smoke/automated evidence, and approval disposition</x:v>
      </x:c>
      <x:c r="O99" s="22" t="str">
        <x:v>/Users/devups/.codex/skills/gccs-production-readiness-sequence/SKILL.md</x:v>
      </x:c>
      <x:c r="P99" s="22" t="str">
        <x:v>Retain evidence and rerun the applicable gate if launch scope, infrastructure, or regulated-data posture changes.</x:v>
      </x:c>
      <x:c r="Q99" s="22" t="str">
        <x:v>Production-readiness closure/evidence set records completion for the solo-controlled No-CUI pilot scope.</x:v>
      </x:c>
      <x:c r="R99" s="22" t="str">
        <x:v>/Users/devups/Development/CodexProjects/Gccs/docs/production-readiness-launch-closure-evidence.md; /Users/devups/Development/CodexProjects/Gccs/docs/production-readiness-completed-story-dod-review.md</x:v>
      </x:c>
      <x:c r="S99" s="22" t="str">
        <x:v>Evidence does not authorize broader production separation of duties, real CUI, FedRAMP status, or government approval.</x:v>
      </x:c>
      <x:c r="T99" s="13" t="str"/>
      <x:c r="U99" s="15"/>
      <x:c r="V99" s="1" t="str">
        <x:f>IF(OR(H99="Completed",H99="Not Applicable"),"No","Yes")</x:f>
        <x:v>No</x:v>
      </x:c>
    </x:row>
    <x:row r="100" ht="55" customHeight="1">
      <x:c r="A100" s="1" t="n">
        <x:v>96</x:v>
      </x:c>
      <x:c r="B100" s="1" t="str">
        <x:v>Production Readiness</x:v>
      </x:c>
      <x:c r="C100" s="22" t="str">
        <x:v>PR-4 readiness</x:v>
      </x:c>
      <x:c r="D100" s="1" t="str">
        <x:v>PR-4.3</x:v>
      </x:c>
      <x:c r="E100" s="22" t="str">
        <x:v>Decide Malware Scanning Launch Path</x:v>
      </x:c>
      <x:c r="F100" s="1" t="str">
        <x:v>Production readiness / governance</x:v>
      </x:c>
      <x:c r="G100" s="1" t="str">
        <x:v>Planned</x:v>
      </x:c>
      <x:c r="H100" s="1" t="str">
        <x:v>Completed</x:v>
      </x:c>
      <x:c r="I100" s="1" t="n">
        <x:f>COUNTIFS('Task Tracker'!$C$5:$C$800,D100,'Task Tracker'!$I$5:$I$800,"Completed")</x:f>
        <x:v>4</x:v>
      </x:c>
      <x:c r="J100" s="1" t="n">
        <x:f>COUNTIF('Task Tracker'!$C$5:$C$800,D100)</x:f>
        <x:v>4</x:v>
      </x:c>
      <x:c r="K100" s="1" t="n">
        <x:f>J100-I100</x:f>
        <x:v>0</x:v>
      </x:c>
      <x:c r="L100" s="1" t="str">
        <x:v>PR-4.2</x:v>
      </x:c>
      <x:c r="M100" s="22" t="str"/>
      <x:c r="N100" s="22" t="str">
        <x:v>Governed readiness artifact, acceptance evidence, smoke/automated evidence, and approval disposition</x:v>
      </x:c>
      <x:c r="O100" s="22" t="str">
        <x:v>/Users/devups/.codex/skills/gccs-production-readiness-sequence/SKILL.md</x:v>
      </x:c>
      <x:c r="P100" s="22" t="str">
        <x:v>Retain evidence and rerun the applicable gate if launch scope, infrastructure, or regulated-data posture changes.</x:v>
      </x:c>
      <x:c r="Q100" s="22" t="str">
        <x:v>Production-readiness closure/evidence set records completion for the solo-controlled No-CUI pilot scope.</x:v>
      </x:c>
      <x:c r="R100" s="22" t="str">
        <x:v>/Users/devups/Development/CodexProjects/Gccs/docs/production-readiness-launch-closure-evidence.md; /Users/devups/Development/CodexProjects/Gccs/docs/production-readiness-completed-story-dod-review.md</x:v>
      </x:c>
      <x:c r="S100" s="22" t="str">
        <x:v>Evidence does not authorize broader production separation of duties, real CUI, FedRAMP status, or government approval.</x:v>
      </x:c>
      <x:c r="T100" s="13" t="str"/>
      <x:c r="U100" s="15"/>
      <x:c r="V100" s="1" t="str">
        <x:f>IF(OR(H100="Completed",H100="Not Applicable"),"No","Yes")</x:f>
        <x:v>No</x:v>
      </x:c>
    </x:row>
    <x:row r="101" ht="55" customHeight="1">
      <x:c r="A101" s="1" t="n">
        <x:v>97</x:v>
      </x:c>
      <x:c r="B101" s="1" t="str">
        <x:v>Production Readiness</x:v>
      </x:c>
      <x:c r="C101" s="22" t="str">
        <x:v>PR-5 readiness</x:v>
      </x:c>
      <x:c r="D101" s="1" t="str">
        <x:v>PR-5.1</x:v>
      </x:c>
      <x:c r="E101" s="22" t="str">
        <x:v>Review High-Risk Obligation Content</x:v>
      </x:c>
      <x:c r="F101" s="1" t="str">
        <x:v>Production readiness / governance</x:v>
      </x:c>
      <x:c r="G101" s="1" t="str">
        <x:v>Planned</x:v>
      </x:c>
      <x:c r="H101" s="1" t="str">
        <x:v>Completed</x:v>
      </x:c>
      <x:c r="I101" s="1" t="n">
        <x:f>COUNTIFS('Task Tracker'!$C$5:$C$800,D101,'Task Tracker'!$I$5:$I$800,"Completed")</x:f>
        <x:v>4</x:v>
      </x:c>
      <x:c r="J101" s="1" t="n">
        <x:f>COUNTIF('Task Tracker'!$C$5:$C$800,D101)</x:f>
        <x:v>4</x:v>
      </x:c>
      <x:c r="K101" s="1" t="n">
        <x:f>J101-I101</x:f>
        <x:v>0</x:v>
      </x:c>
      <x:c r="L101" s="1" t="str">
        <x:v>PR-4.3</x:v>
      </x:c>
      <x:c r="M101" s="22" t="str"/>
      <x:c r="N101" s="22" t="str">
        <x:v>Governed readiness artifact, acceptance evidence, smoke/automated evidence, and approval disposition</x:v>
      </x:c>
      <x:c r="O101" s="22" t="str">
        <x:v>/Users/devups/.codex/skills/gccs-production-readiness-sequence/SKILL.md</x:v>
      </x:c>
      <x:c r="P101" s="22" t="str">
        <x:v>Retain evidence and rerun the applicable gate if launch scope, infrastructure, or regulated-data posture changes.</x:v>
      </x:c>
      <x:c r="Q101" s="22" t="str">
        <x:v>Production-readiness closure/evidence set records completion for the solo-controlled No-CUI pilot scope.</x:v>
      </x:c>
      <x:c r="R101" s="22" t="str">
        <x:v>/Users/devups/Development/CodexProjects/Gccs/docs/production-readiness-launch-closure-evidence.md; /Users/devups/Development/CodexProjects/Gccs/docs/production-readiness-completed-story-dod-review.md</x:v>
      </x:c>
      <x:c r="S101" s="22" t="str">
        <x:v>Evidence does not authorize broader production separation of duties, real CUI, FedRAMP status, or government approval.</x:v>
      </x:c>
      <x:c r="T101" s="13" t="str"/>
      <x:c r="U101" s="15"/>
      <x:c r="V101" s="1" t="str">
        <x:f>IF(OR(H101="Completed",H101="Not Applicable"),"No","Yes")</x:f>
        <x:v>No</x:v>
      </x:c>
    </x:row>
    <x:row r="102" ht="55" customHeight="1">
      <x:c r="A102" s="1" t="n">
        <x:v>98</x:v>
      </x:c>
      <x:c r="B102" s="1" t="str">
        <x:v>Production Readiness</x:v>
      </x:c>
      <x:c r="C102" s="22" t="str">
        <x:v>PR-5 readiness</x:v>
      </x:c>
      <x:c r="D102" s="1" t="str">
        <x:v>PR-5.2</x:v>
      </x:c>
      <x:c r="E102" s="22" t="str">
        <x:v>Review Customer-Facing Claims</x:v>
      </x:c>
      <x:c r="F102" s="1" t="str">
        <x:v>Production readiness / governance</x:v>
      </x:c>
      <x:c r="G102" s="1" t="str">
        <x:v>Planned</x:v>
      </x:c>
      <x:c r="H102" s="1" t="str">
        <x:v>Completed</x:v>
      </x:c>
      <x:c r="I102" s="1" t="n">
        <x:f>COUNTIFS('Task Tracker'!$C$5:$C$800,D102,'Task Tracker'!$I$5:$I$800,"Completed")</x:f>
        <x:v>4</x:v>
      </x:c>
      <x:c r="J102" s="1" t="n">
        <x:f>COUNTIF('Task Tracker'!$C$5:$C$800,D102)</x:f>
        <x:v>4</x:v>
      </x:c>
      <x:c r="K102" s="1" t="n">
        <x:f>J102-I102</x:f>
        <x:v>0</x:v>
      </x:c>
      <x:c r="L102" s="1" t="str">
        <x:v>PR-5.1</x:v>
      </x:c>
      <x:c r="M102" s="22" t="str"/>
      <x:c r="N102" s="22" t="str">
        <x:v>Governed readiness artifact, acceptance evidence, smoke/automated evidence, and approval disposition</x:v>
      </x:c>
      <x:c r="O102" s="22" t="str">
        <x:v>/Users/devups/.codex/skills/gccs-production-readiness-sequence/SKILL.md</x:v>
      </x:c>
      <x:c r="P102" s="22" t="str">
        <x:v>Retain evidence and rerun the applicable gate if launch scope, infrastructure, or regulated-data posture changes.</x:v>
      </x:c>
      <x:c r="Q102" s="22" t="str">
        <x:v>Production-readiness closure/evidence set records completion for the solo-controlled No-CUI pilot scope.</x:v>
      </x:c>
      <x:c r="R102" s="22" t="str">
        <x:v>/Users/devups/Development/CodexProjects/Gccs/docs/production-readiness-launch-closure-evidence.md; /Users/devups/Development/CodexProjects/Gccs/docs/production-readiness-completed-story-dod-review.md</x:v>
      </x:c>
      <x:c r="S102" s="22" t="str">
        <x:v>Evidence does not authorize broader production separation of duties, real CUI, FedRAMP status, or government approval.</x:v>
      </x:c>
      <x:c r="T102" s="13" t="str"/>
      <x:c r="U102" s="15"/>
      <x:c r="V102" s="1" t="str">
        <x:f>IF(OR(H102="Completed",H102="Not Applicable"),"No","Yes")</x:f>
        <x:v>No</x:v>
      </x:c>
    </x:row>
    <x:row r="103" ht="55" customHeight="1">
      <x:c r="A103" s="1" t="n">
        <x:v>99</x:v>
      </x:c>
      <x:c r="B103" s="1" t="str">
        <x:v>Production Readiness</x:v>
      </x:c>
      <x:c r="C103" s="22" t="str">
        <x:v>PR-5 readiness</x:v>
      </x:c>
      <x:c r="D103" s="1" t="str">
        <x:v>PR-5.3</x:v>
      </x:c>
      <x:c r="E103" s="22" t="str">
        <x:v>Finalize Support Runbooks</x:v>
      </x:c>
      <x:c r="F103" s="1" t="str">
        <x:v>Production readiness / governance</x:v>
      </x:c>
      <x:c r="G103" s="1" t="str">
        <x:v>Planned</x:v>
      </x:c>
      <x:c r="H103" s="1" t="str">
        <x:v>Completed</x:v>
      </x:c>
      <x:c r="I103" s="1" t="n">
        <x:f>COUNTIFS('Task Tracker'!$C$5:$C$800,D103,'Task Tracker'!$I$5:$I$800,"Completed")</x:f>
        <x:v>4</x:v>
      </x:c>
      <x:c r="J103" s="1" t="n">
        <x:f>COUNTIF('Task Tracker'!$C$5:$C$800,D103)</x:f>
        <x:v>4</x:v>
      </x:c>
      <x:c r="K103" s="1" t="n">
        <x:f>J103-I103</x:f>
        <x:v>0</x:v>
      </x:c>
      <x:c r="L103" s="1" t="str">
        <x:v>PR-5.2</x:v>
      </x:c>
      <x:c r="M103" s="22" t="str"/>
      <x:c r="N103" s="22" t="str">
        <x:v>Governed readiness artifact, acceptance evidence, smoke/automated evidence, and approval disposition</x:v>
      </x:c>
      <x:c r="O103" s="22" t="str">
        <x:v>/Users/devups/.codex/skills/gccs-production-readiness-sequence/SKILL.md</x:v>
      </x:c>
      <x:c r="P103" s="22" t="str">
        <x:v>Retain evidence and rerun the applicable gate if launch scope, infrastructure, or regulated-data posture changes.</x:v>
      </x:c>
      <x:c r="Q103" s="22" t="str">
        <x:v>Production-readiness closure/evidence set records completion for the solo-controlled No-CUI pilot scope.</x:v>
      </x:c>
      <x:c r="R103" s="22" t="str">
        <x:v>/Users/devups/Development/CodexProjects/Gccs/docs/production-readiness-launch-closure-evidence.md; /Users/devups/Development/CodexProjects/Gccs/docs/production-readiness-completed-story-dod-review.md</x:v>
      </x:c>
      <x:c r="S103" s="22" t="str">
        <x:v>Evidence does not authorize broader production separation of duties, real CUI, FedRAMP status, or government approval.</x:v>
      </x:c>
      <x:c r="T103" s="13" t="str"/>
      <x:c r="U103" s="15"/>
      <x:c r="V103" s="1" t="str">
        <x:f>IF(OR(H103="Completed",H103="Not Applicable"),"No","Yes")</x:f>
        <x:v>No</x:v>
      </x:c>
    </x:row>
    <x:row r="104" ht="55" customHeight="1">
      <x:c r="A104" s="1" t="n">
        <x:v>100</x:v>
      </x:c>
      <x:c r="B104" s="1" t="str">
        <x:v>Production Readiness</x:v>
      </x:c>
      <x:c r="C104" s="22" t="str">
        <x:v>PR-5 readiness</x:v>
      </x:c>
      <x:c r="D104" s="1" t="str">
        <x:v>PR-5.4</x:v>
      </x:c>
      <x:c r="E104" s="22" t="str">
        <x:v>Prepare Pilot Onboarding, Release Notes, And Known-Risk Log</x:v>
      </x:c>
      <x:c r="F104" s="1" t="str">
        <x:v>Production readiness / governance</x:v>
      </x:c>
      <x:c r="G104" s="1" t="str">
        <x:v>Planned</x:v>
      </x:c>
      <x:c r="H104" s="1" t="str">
        <x:v>Completed</x:v>
      </x:c>
      <x:c r="I104" s="1" t="n">
        <x:f>COUNTIFS('Task Tracker'!$C$5:$C$800,D104,'Task Tracker'!$I$5:$I$800,"Completed")</x:f>
        <x:v>4</x:v>
      </x:c>
      <x:c r="J104" s="1" t="n">
        <x:f>COUNTIF('Task Tracker'!$C$5:$C$800,D104)</x:f>
        <x:v>4</x:v>
      </x:c>
      <x:c r="K104" s="1" t="n">
        <x:f>J104-I104</x:f>
        <x:v>0</x:v>
      </x:c>
      <x:c r="L104" s="1" t="str">
        <x:v>PR-5.3</x:v>
      </x:c>
      <x:c r="M104" s="22" t="str"/>
      <x:c r="N104" s="22" t="str">
        <x:v>Governed readiness artifact, acceptance evidence, smoke/automated evidence, and approval disposition</x:v>
      </x:c>
      <x:c r="O104" s="22" t="str">
        <x:v>/Users/devups/.codex/skills/gccs-production-readiness-sequence/SKILL.md</x:v>
      </x:c>
      <x:c r="P104" s="22" t="str">
        <x:v>Retain evidence and rerun the applicable gate if launch scope, infrastructure, or regulated-data posture changes.</x:v>
      </x:c>
      <x:c r="Q104" s="22" t="str">
        <x:v>Production-readiness closure/evidence set records completion for the solo-controlled No-CUI pilot scope.</x:v>
      </x:c>
      <x:c r="R104" s="22" t="str">
        <x:v>/Users/devups/Development/CodexProjects/Gccs/docs/production-readiness-launch-closure-evidence.md; /Users/devups/Development/CodexProjects/Gccs/docs/production-readiness-completed-story-dod-review.md</x:v>
      </x:c>
      <x:c r="S104" s="22" t="str">
        <x:v>Evidence does not authorize broader production separation of duties, real CUI, FedRAMP status, or government approval.</x:v>
      </x:c>
      <x:c r="T104" s="13" t="str"/>
      <x:c r="U104" s="15"/>
      <x:c r="V104" s="1" t="str">
        <x:f>IF(OR(H104="Completed",H104="Not Applicable"),"No","Yes")</x:f>
        <x:v>No</x:v>
      </x:c>
    </x:row>
    <x:row r="105" ht="55" customHeight="1">
      <x:c r="A105" s="1" t="n">
        <x:v>101</x:v>
      </x:c>
      <x:c r="B105" s="1" t="str">
        <x:v>Production Readiness</x:v>
      </x:c>
      <x:c r="C105" s="22" t="str">
        <x:v>PR-6 readiness</x:v>
      </x:c>
      <x:c r="D105" s="1" t="str">
        <x:v>PR-6.1</x:v>
      </x:c>
      <x:c r="E105" s="22" t="str">
        <x:v>Collect Required Launch Approvals</x:v>
      </x:c>
      <x:c r="F105" s="1" t="str">
        <x:v>Production readiness / governance</x:v>
      </x:c>
      <x:c r="G105" s="1" t="str">
        <x:v>Planned</x:v>
      </x:c>
      <x:c r="H105" s="1" t="str">
        <x:v>Completed</x:v>
      </x:c>
      <x:c r="I105" s="1" t="n">
        <x:f>COUNTIFS('Task Tracker'!$C$5:$C$800,D105,'Task Tracker'!$I$5:$I$800,"Completed")</x:f>
        <x:v>7</x:v>
      </x:c>
      <x:c r="J105" s="1" t="n">
        <x:f>COUNTIF('Task Tracker'!$C$5:$C$800,D105)</x:f>
        <x:v>7</x:v>
      </x:c>
      <x:c r="K105" s="1" t="n">
        <x:f>J105-I105</x:f>
        <x:v>0</x:v>
      </x:c>
      <x:c r="L105" s="1" t="str">
        <x:v>PR-5.4</x:v>
      </x:c>
      <x:c r="M105" s="22" t="str"/>
      <x:c r="N105" s="22" t="str">
        <x:v>Governed readiness artifact, acceptance evidence, smoke/automated evidence, and approval disposition</x:v>
      </x:c>
      <x:c r="O105" s="22" t="str">
        <x:v>/Users/devups/.codex/skills/gccs-production-readiness-sequence/SKILL.md</x:v>
      </x:c>
      <x:c r="P105" s="22" t="str">
        <x:v>Retain evidence and rerun the applicable gate if launch scope, infrastructure, or regulated-data posture changes.</x:v>
      </x:c>
      <x:c r="Q105" s="22" t="str">
        <x:v>Production-readiness closure/evidence set records completion for the solo-controlled No-CUI pilot scope.</x:v>
      </x:c>
      <x:c r="R105" s="22" t="str">
        <x:v>/Users/devups/Development/CodexProjects/Gccs/docs/production-readiness-launch-closure-evidence.md; /Users/devups/Development/CodexProjects/Gccs/docs/production-readiness-completed-story-dod-review.md</x:v>
      </x:c>
      <x:c r="S105" s="22" t="str">
        <x:v>Evidence does not authorize broader production separation of duties, real CUI, FedRAMP status, or government approval.</x:v>
      </x:c>
      <x:c r="T105" s="13" t="str"/>
      <x:c r="U105" s="15"/>
      <x:c r="V105" s="1" t="str">
        <x:f>IF(OR(H105="Completed",H105="Not Applicable"),"No","Yes")</x:f>
        <x:v>No</x:v>
      </x:c>
    </x:row>
    <x:row r="106" ht="55" customHeight="1">
      <x:c r="A106" s="1" t="n">
        <x:v>102</x:v>
      </x:c>
      <x:c r="B106" s="1" t="str">
        <x:v>Production Readiness</x:v>
      </x:c>
      <x:c r="C106" s="22" t="str">
        <x:v>PR-6 readiness</x:v>
      </x:c>
      <x:c r="D106" s="1" t="str">
        <x:v>PR-6.2</x:v>
      </x:c>
      <x:c r="E106" s="22" t="str">
        <x:v>Tag Launch Candidate With Evidence Links</x:v>
      </x:c>
      <x:c r="F106" s="1" t="str">
        <x:v>Production readiness / governance</x:v>
      </x:c>
      <x:c r="G106" s="1" t="str">
        <x:v>Planned</x:v>
      </x:c>
      <x:c r="H106" s="1" t="str">
        <x:v>Completed</x:v>
      </x:c>
      <x:c r="I106" s="1" t="n">
        <x:f>COUNTIFS('Task Tracker'!$C$5:$C$800,D106,'Task Tracker'!$I$5:$I$800,"Completed")</x:f>
        <x:v>4</x:v>
      </x:c>
      <x:c r="J106" s="1" t="n">
        <x:f>COUNTIF('Task Tracker'!$C$5:$C$800,D106)</x:f>
        <x:v>4</x:v>
      </x:c>
      <x:c r="K106" s="1" t="n">
        <x:f>J106-I106</x:f>
        <x:v>0</x:v>
      </x:c>
      <x:c r="L106" s="1" t="str">
        <x:v>PR-6.1</x:v>
      </x:c>
      <x:c r="M106" s="22" t="str"/>
      <x:c r="N106" s="22" t="str">
        <x:v>Governed readiness artifact, acceptance evidence, smoke/automated evidence, and approval disposition</x:v>
      </x:c>
      <x:c r="O106" s="22" t="str">
        <x:v>/Users/devups/.codex/skills/gccs-production-readiness-sequence/SKILL.md</x:v>
      </x:c>
      <x:c r="P106" s="22" t="str">
        <x:v>Retain evidence and rerun the applicable gate if launch scope, infrastructure, or regulated-data posture changes.</x:v>
      </x:c>
      <x:c r="Q106" s="22" t="str">
        <x:v>Production-readiness closure/evidence set records completion for the solo-controlled No-CUI pilot scope.</x:v>
      </x:c>
      <x:c r="R106" s="22" t="str">
        <x:v>/Users/devups/Development/CodexProjects/Gccs/docs/production-readiness-launch-closure-evidence.md; /Users/devups/Development/CodexProjects/Gccs/docs/production-readiness-completed-story-dod-review.md</x:v>
      </x:c>
      <x:c r="S106" s="22" t="str">
        <x:v>Evidence does not authorize broader production separation of duties, real CUI, FedRAMP status, or government approval.</x:v>
      </x:c>
      <x:c r="T106" s="13" t="str"/>
      <x:c r="U106" s="15"/>
      <x:c r="V106" s="1" t="str">
        <x:f>IF(OR(H106="Completed",H106="Not Applicable"),"No","Yes")</x:f>
        <x:v>No</x:v>
      </x:c>
    </x:row>
    <x:row r="107" ht="55" customHeight="1">
      <x:c r="A107" s="1" t="n">
        <x:v>103</x:v>
      </x:c>
      <x:c r="B107" s="1" t="str">
        <x:v>Production Readiness</x:v>
      </x:c>
      <x:c r="C107" s="22" t="str">
        <x:v>PR-7 readiness</x:v>
      </x:c>
      <x:c r="D107" s="1" t="str">
        <x:v>PR-7.1</x:v>
      </x:c>
      <x:c r="E107" s="22" t="str">
        <x:v>Deploy Production Through Approved CI/CD</x:v>
      </x:c>
      <x:c r="F107" s="1" t="str">
        <x:v>Production readiness / governance</x:v>
      </x:c>
      <x:c r="G107" s="1" t="str">
        <x:v>Planned</x:v>
      </x:c>
      <x:c r="H107" s="1" t="str">
        <x:v>Completed</x:v>
      </x:c>
      <x:c r="I107" s="1" t="n">
        <x:f>COUNTIFS('Task Tracker'!$C$5:$C$800,D107,'Task Tracker'!$I$5:$I$800,"Completed")</x:f>
        <x:v>4</x:v>
      </x:c>
      <x:c r="J107" s="1" t="n">
        <x:f>COUNTIF('Task Tracker'!$C$5:$C$800,D107)</x:f>
        <x:v>4</x:v>
      </x:c>
      <x:c r="K107" s="1" t="n">
        <x:f>J107-I107</x:f>
        <x:v>0</x:v>
      </x:c>
      <x:c r="L107" s="1" t="str">
        <x:v>PR-6.2</x:v>
      </x:c>
      <x:c r="M107" s="22" t="str"/>
      <x:c r="N107" s="22" t="str">
        <x:v>Governed readiness artifact, acceptance evidence, smoke/automated evidence, and approval disposition</x:v>
      </x:c>
      <x:c r="O107" s="22" t="str">
        <x:v>/Users/devups/.codex/skills/gccs-production-readiness-sequence/SKILL.md</x:v>
      </x:c>
      <x:c r="P107" s="22" t="str">
        <x:v>Retain evidence and rerun the applicable gate if launch scope, infrastructure, or regulated-data posture changes.</x:v>
      </x:c>
      <x:c r="Q107" s="22" t="str">
        <x:v>Production-readiness closure/evidence set records completion for the solo-controlled No-CUI pilot scope.</x:v>
      </x:c>
      <x:c r="R107" s="22" t="str">
        <x:v>/Users/devups/Development/CodexProjects/Gccs/docs/production-readiness-launch-closure-evidence.md; /Users/devups/Development/CodexProjects/Gccs/docs/production-readiness-completed-story-dod-review.md</x:v>
      </x:c>
      <x:c r="S107" s="22" t="str">
        <x:v>Evidence does not authorize broader production separation of duties, real CUI, FedRAMP status, or government approval.</x:v>
      </x:c>
      <x:c r="T107" s="13" t="str"/>
      <x:c r="U107" s="15"/>
      <x:c r="V107" s="1" t="str">
        <x:f>IF(OR(H107="Completed",H107="Not Applicable"),"No","Yes")</x:f>
        <x:v>No</x:v>
      </x:c>
    </x:row>
    <x:row r="108" ht="55" customHeight="1">
      <x:c r="A108" s="1" t="n">
        <x:v>104</x:v>
      </x:c>
      <x:c r="B108" s="1" t="str">
        <x:v>Production Readiness</x:v>
      </x:c>
      <x:c r="C108" s="22" t="str">
        <x:v>PR-7 readiness</x:v>
      </x:c>
      <x:c r="D108" s="1" t="str">
        <x:v>PR-7.2</x:v>
      </x:c>
      <x:c r="E108" s="22" t="str">
        <x:v>Run Production Smoke Tests</x:v>
      </x:c>
      <x:c r="F108" s="1" t="str">
        <x:v>Production readiness / governance</x:v>
      </x:c>
      <x:c r="G108" s="1" t="str">
        <x:v>Planned</x:v>
      </x:c>
      <x:c r="H108" s="1" t="str">
        <x:v>Completed</x:v>
      </x:c>
      <x:c r="I108" s="1" t="n">
        <x:f>COUNTIFS('Task Tracker'!$C$5:$C$800,D108,'Task Tracker'!$I$5:$I$800,"Completed")</x:f>
        <x:v>4</x:v>
      </x:c>
      <x:c r="J108" s="1" t="n">
        <x:f>COUNTIF('Task Tracker'!$C$5:$C$800,D108)</x:f>
        <x:v>4</x:v>
      </x:c>
      <x:c r="K108" s="1" t="n">
        <x:f>J108-I108</x:f>
        <x:v>0</x:v>
      </x:c>
      <x:c r="L108" s="1" t="str">
        <x:v>PR-7.1</x:v>
      </x:c>
      <x:c r="M108" s="22" t="str"/>
      <x:c r="N108" s="22" t="str">
        <x:v>Governed readiness artifact, acceptance evidence, smoke/automated evidence, and approval disposition</x:v>
      </x:c>
      <x:c r="O108" s="22" t="str">
        <x:v>/Users/devups/.codex/skills/gccs-production-readiness-sequence/SKILL.md</x:v>
      </x:c>
      <x:c r="P108" s="22" t="str">
        <x:v>Retain evidence and rerun the applicable gate if launch scope, infrastructure, or regulated-data posture changes.</x:v>
      </x:c>
      <x:c r="Q108" s="22" t="str">
        <x:v>Production-readiness closure/evidence set records completion for the solo-controlled No-CUI pilot scope.</x:v>
      </x:c>
      <x:c r="R108" s="22" t="str">
        <x:v>/Users/devups/Development/CodexProjects/Gccs/docs/production-readiness-launch-closure-evidence.md; /Users/devups/Development/CodexProjects/Gccs/docs/production-readiness-completed-story-dod-review.md</x:v>
      </x:c>
      <x:c r="S108" s="22" t="str">
        <x:v>Evidence does not authorize broader production separation of duties, real CUI, FedRAMP status, or government approval.</x:v>
      </x:c>
      <x:c r="T108" s="13" t="str"/>
      <x:c r="U108" s="15"/>
      <x:c r="V108" s="1" t="str">
        <x:f>IF(OR(H108="Completed",H108="Not Applicable"),"No","Yes")</x:f>
        <x:v>No</x:v>
      </x:c>
    </x:row>
    <x:row r="109" ht="55" customHeight="1">
      <x:c r="A109" s="1" t="n">
        <x:v>105</x:v>
      </x:c>
      <x:c r="B109" s="1" t="str">
        <x:v>Production Readiness</x:v>
      </x:c>
      <x:c r="C109" s="22" t="str">
        <x:v>PR-7 readiness</x:v>
      </x:c>
      <x:c r="D109" s="1" t="str">
        <x:v>PR-7.3</x:v>
      </x:c>
      <x:c r="E109" s="22" t="str">
        <x:v>Onboard Controlled Pilot Customers</x:v>
      </x:c>
      <x:c r="F109" s="1" t="str">
        <x:v>Production readiness / governance</x:v>
      </x:c>
      <x:c r="G109" s="1" t="str">
        <x:v>Planned</x:v>
      </x:c>
      <x:c r="H109" s="1" t="str">
        <x:v>Completed</x:v>
      </x:c>
      <x:c r="I109" s="1" t="n">
        <x:f>COUNTIFS('Task Tracker'!$C$5:$C$800,D109,'Task Tracker'!$I$5:$I$800,"Completed")</x:f>
        <x:v>4</x:v>
      </x:c>
      <x:c r="J109" s="1" t="n">
        <x:f>COUNTIF('Task Tracker'!$C$5:$C$800,D109)</x:f>
        <x:v>4</x:v>
      </x:c>
      <x:c r="K109" s="1" t="n">
        <x:f>J109-I109</x:f>
        <x:v>0</x:v>
      </x:c>
      <x:c r="L109" s="1" t="str">
        <x:v>PR-7.2</x:v>
      </x:c>
      <x:c r="M109" s="22" t="str"/>
      <x:c r="N109" s="22" t="str">
        <x:v>Governed readiness artifact, acceptance evidence, smoke/automated evidence, and approval disposition</x:v>
      </x:c>
      <x:c r="O109" s="22" t="str">
        <x:v>/Users/devups/.codex/skills/gccs-production-readiness-sequence/SKILL.md</x:v>
      </x:c>
      <x:c r="P109" s="22" t="str">
        <x:v>Retain evidence and rerun the applicable gate if launch scope, infrastructure, or regulated-data posture changes.</x:v>
      </x:c>
      <x:c r="Q109" s="22" t="str">
        <x:v>Production-readiness closure/evidence set records completion for the solo-controlled No-CUI pilot scope.</x:v>
      </x:c>
      <x:c r="R109" s="22" t="str">
        <x:v>/Users/devups/Development/CodexProjects/Gccs/docs/production-readiness-launch-closure-evidence.md; /Users/devups/Development/CodexProjects/Gccs/docs/production-readiness-completed-story-dod-review.md</x:v>
      </x:c>
      <x:c r="S109" s="22" t="str">
        <x:v>Evidence does not authorize broader production separation of duties, real CUI, FedRAMP status, or government approval.</x:v>
      </x:c>
      <x:c r="T109" s="13" t="str"/>
      <x:c r="U109" s="15"/>
      <x:c r="V109" s="1" t="str">
        <x:f>IF(OR(H109="Completed",H109="Not Applicable"),"No","Yes")</x:f>
        <x:v>No</x:v>
      </x:c>
    </x:row>
    <x:row r="110" ht="55" customHeight="1">
      <x:c r="A110" s="1" t="n">
        <x:v>106</x:v>
      </x:c>
      <x:c r="B110" s="1" t="str">
        <x:v>Production Readiness</x:v>
      </x:c>
      <x:c r="C110" s="22" t="str">
        <x:v>PR-8 readiness</x:v>
      </x:c>
      <x:c r="D110" s="1" t="str">
        <x:v>PR-8.1</x:v>
      </x:c>
      <x:c r="E110" s="22" t="str">
        <x:v>Monitor Pilot Signals Daily</x:v>
      </x:c>
      <x:c r="F110" s="1" t="str">
        <x:v>Production readiness / governance</x:v>
      </x:c>
      <x:c r="G110" s="1" t="str">
        <x:v>Planned</x:v>
      </x:c>
      <x:c r="H110" s="1" t="str">
        <x:v>Completed</x:v>
      </x:c>
      <x:c r="I110" s="1" t="n">
        <x:f>COUNTIFS('Task Tracker'!$C$5:$C$800,D110,'Task Tracker'!$I$5:$I$800,"Completed")</x:f>
        <x:v>4</x:v>
      </x:c>
      <x:c r="J110" s="1" t="n">
        <x:f>COUNTIF('Task Tracker'!$C$5:$C$800,D110)</x:f>
        <x:v>4</x:v>
      </x:c>
      <x:c r="K110" s="1" t="n">
        <x:f>J110-I110</x:f>
        <x:v>0</x:v>
      </x:c>
      <x:c r="L110" s="1" t="str">
        <x:v>PR-7.3</x:v>
      </x:c>
      <x:c r="M110" s="22" t="str"/>
      <x:c r="N110" s="22" t="str">
        <x:v>Governed readiness artifact, acceptance evidence, smoke/automated evidence, and approval disposition</x:v>
      </x:c>
      <x:c r="O110" s="22" t="str">
        <x:v>/Users/devups/.codex/skills/gccs-production-readiness-sequence/SKILL.md</x:v>
      </x:c>
      <x:c r="P110" s="22" t="str">
        <x:v>Retain evidence and rerun the applicable gate if launch scope, infrastructure, or regulated-data posture changes.</x:v>
      </x:c>
      <x:c r="Q110" s="22" t="str">
        <x:v>Production-readiness closure/evidence set records completion for the solo-controlled No-CUI pilot scope.</x:v>
      </x:c>
      <x:c r="R110" s="22" t="str">
        <x:v>/Users/devups/Development/CodexProjects/Gccs/docs/production-readiness-launch-closure-evidence.md; /Users/devups/Development/CodexProjects/Gccs/docs/production-readiness-completed-story-dod-review.md</x:v>
      </x:c>
      <x:c r="S110" s="22" t="str">
        <x:v>Evidence does not authorize broader production separation of duties, real CUI, FedRAMP status, or government approval.</x:v>
      </x:c>
      <x:c r="T110" s="13" t="str"/>
      <x:c r="U110" s="15"/>
      <x:c r="V110" s="1" t="str">
        <x:f>IF(OR(H110="Completed",H110="Not Applicable"),"No","Yes")</x:f>
        <x:v>No</x:v>
      </x:c>
    </x:row>
    <x:row r="111" ht="55" customHeight="1">
      <x:c r="A111" s="1" t="n">
        <x:v>107</x:v>
      </x:c>
      <x:c r="B111" s="1" t="str">
        <x:v>Production Readiness</x:v>
      </x:c>
      <x:c r="C111" s="22" t="str">
        <x:v>PR-8 readiness</x:v>
      </x:c>
      <x:c r="D111" s="1" t="str">
        <x:v>PR-8.2</x:v>
      </x:c>
      <x:c r="E111" s="22" t="str">
        <x:v>Hold Post-Launch Readiness Review</x:v>
      </x:c>
      <x:c r="F111" s="1" t="str">
        <x:v>Production readiness / governance</x:v>
      </x:c>
      <x:c r="G111" s="1" t="str">
        <x:v>Planned</x:v>
      </x:c>
      <x:c r="H111" s="1" t="str">
        <x:v>Completed</x:v>
      </x:c>
      <x:c r="I111" s="1" t="n">
        <x:f>COUNTIFS('Task Tracker'!$C$5:$C$800,D111,'Task Tracker'!$I$5:$I$800,"Completed")</x:f>
        <x:v>4</x:v>
      </x:c>
      <x:c r="J111" s="1" t="n">
        <x:f>COUNTIF('Task Tracker'!$C$5:$C$800,D111)</x:f>
        <x:v>4</x:v>
      </x:c>
      <x:c r="K111" s="1" t="n">
        <x:f>J111-I111</x:f>
        <x:v>0</x:v>
      </x:c>
      <x:c r="L111" s="1" t="str">
        <x:v>PR-8.1</x:v>
      </x:c>
      <x:c r="M111" s="22" t="str"/>
      <x:c r="N111" s="22" t="str">
        <x:v>Governed readiness artifact, acceptance evidence, smoke/automated evidence, and approval disposition</x:v>
      </x:c>
      <x:c r="O111" s="22" t="str">
        <x:v>/Users/devups/.codex/skills/gccs-production-readiness-sequence/SKILL.md</x:v>
      </x:c>
      <x:c r="P111" s="22" t="str">
        <x:v>Retain evidence and rerun the applicable gate if launch scope, infrastructure, or regulated-data posture changes.</x:v>
      </x:c>
      <x:c r="Q111" s="22" t="str">
        <x:v>Production-readiness closure/evidence set records completion for the solo-controlled No-CUI pilot scope.</x:v>
      </x:c>
      <x:c r="R111" s="22" t="str">
        <x:v>/Users/devups/Development/CodexProjects/Gccs/docs/production-readiness-launch-closure-evidence.md; /Users/devups/Development/CodexProjects/Gccs/docs/production-readiness-completed-story-dod-review.md</x:v>
      </x:c>
      <x:c r="S111" s="22" t="str">
        <x:v>Evidence does not authorize broader production separation of duties, real CUI, FedRAMP status, or government approval.</x:v>
      </x:c>
      <x:c r="T111" s="13" t="str"/>
      <x:c r="U111" s="15"/>
      <x:c r="V111" s="1" t="str">
        <x:f>IF(OR(H111="Completed",H111="Not Applicable"),"No","Yes")</x:f>
        <x:v>No</x:v>
      </x:c>
    </x:row>
    <x:row r="112" ht="55" customHeight="1">
      <x:c r="A112" s="1" t="n">
        <x:v>108</x:v>
      </x:c>
      <x:c r="B112" s="1" t="str">
        <x:v>Production Readiness</x:v>
      </x:c>
      <x:c r="C112" s="22" t="str">
        <x:v>PR-8 readiness</x:v>
      </x:c>
      <x:c r="D112" s="1" t="str">
        <x:v>PR-8.3</x:v>
      </x:c>
      <x:c r="E112" s="22" t="str">
        <x:v>Gate Phase 2 Until MVP Controls Are Stable</x:v>
      </x:c>
      <x:c r="F112" s="1" t="str">
        <x:v>Production readiness / governance</x:v>
      </x:c>
      <x:c r="G112" s="1" t="str">
        <x:v>Planned</x:v>
      </x:c>
      <x:c r="H112" s="1" t="str">
        <x:v>Completed</x:v>
      </x:c>
      <x:c r="I112" s="1" t="n">
        <x:f>COUNTIFS('Task Tracker'!$C$5:$C$800,D112,'Task Tracker'!$I$5:$I$800,"Completed")</x:f>
        <x:v>4</x:v>
      </x:c>
      <x:c r="J112" s="1" t="n">
        <x:f>COUNTIF('Task Tracker'!$C$5:$C$800,D112)</x:f>
        <x:v>4</x:v>
      </x:c>
      <x:c r="K112" s="1" t="n">
        <x:f>J112-I112</x:f>
        <x:v>0</x:v>
      </x:c>
      <x:c r="L112" s="1" t="str">
        <x:v>PR-8.2</x:v>
      </x:c>
      <x:c r="M112" s="22" t="str">
        <x:v>Broader production use remains gated by production-grade separation-of-duties approval.</x:v>
      </x:c>
      <x:c r="N112" s="22" t="str">
        <x:v>Governed readiness artifact, acceptance evidence, smoke/automated evidence, and approval disposition</x:v>
      </x:c>
      <x:c r="O112" s="22" t="str">
        <x:v>/Users/devups/.codex/skills/gccs-production-readiness-sequence/SKILL.md</x:v>
      </x:c>
      <x:c r="P112" s="22" t="str">
        <x:v>Retain evidence and rerun the applicable gate if launch scope, infrastructure, or regulated-data posture changes.</x:v>
      </x:c>
      <x:c r="Q112" s="22" t="str">
        <x:v>Production-readiness closure/evidence set records completion for the solo-controlled No-CUI pilot scope.</x:v>
      </x:c>
      <x:c r="R112" s="22" t="str">
        <x:v>/Users/devups/Development/CodexProjects/Gccs/docs/production-readiness-launch-closure-evidence.md; /Users/devups/Development/CodexProjects/Gccs/docs/production-readiness-completed-story-dod-review.md</x:v>
      </x:c>
      <x:c r="S112" s="22" t="str">
        <x:v>Evidence does not authorize broader production separation of duties, real CUI, FedRAMP status, or government approval.</x:v>
      </x:c>
      <x:c r="T112" s="13" t="str"/>
      <x:c r="U112" s="15"/>
      <x:c r="V112" s="1" t="str">
        <x:f>IF(OR(H112="Completed",H112="Not Applicable"),"No","Yes")</x:f>
        <x:v>No</x:v>
      </x:c>
    </x:row>
    <x:row r="113" ht="55" customHeight="1">
      <x:c r="A113" s="1" t="n">
        <x:v>109</x:v>
      </x:c>
      <x:c r="B113" s="1" t="str">
        <x:v>Phase 2</x:v>
      </x:c>
      <x:c r="C113" s="22" t="str">
        <x:v>Extraction Job Intake</x:v>
      </x:c>
      <x:c r="D113" s="1" t="str">
        <x:v>18.1</x:v>
      </x:c>
      <x:c r="E113" s="22" t="str">
        <x:v>Extraction Job Intake</x:v>
      </x:c>
      <x:c r="F113" s="1" t="str">
        <x:v>Software implementation</x:v>
      </x:c>
      <x:c r="G113" s="1" t="str">
        <x:v>Planned</x:v>
      </x:c>
      <x:c r="H113" s="1" t="str">
        <x:v>Completed</x:v>
      </x:c>
      <x:c r="I113" s="1" t="n">
        <x:f>COUNTIFS('Task Tracker'!$C$5:$C$800,D113,'Task Tracker'!$I$5:$I$800,"Completed")</x:f>
        <x:v>5</x:v>
      </x:c>
      <x:c r="J113" s="1" t="n">
        <x:f>COUNTIF('Task Tracker'!$C$5:$C$800,D113)</x:f>
        <x:v>5</x:v>
      </x:c>
      <x:c r="K113" s="1" t="n">
        <x:f>J113-I113</x:f>
        <x:v>0</x:v>
      </x:c>
      <x:c r="L113" s="1" t="str"/>
      <x:c r="M113" s="22" t="str"/>
      <x:c r="N113" s="22" t="str">
        <x:v>Implementation trace plus focused smoke, automated, and story-level regression evidence</x:v>
      </x:c>
      <x:c r="O113" s="22" t="str">
        <x:v>/Users/devups/.codex/skills/gccs-story-sequence/SKILL.md</x:v>
      </x:c>
      <x:c r="P113" s="22" t="str">
        <x:v>Retain traceability; rerun focused verification if the affected boundary changes.</x:v>
      </x:c>
      <x:c r="Q113" s="22" t="str">
        <x:v>Story-labeled commit dd130559 contains delivery and focused test/test-result files: feat: implement story 18.1 extraction job intake</x:v>
      </x:c>
      <x:c r="R113" s="22" t="str">
        <x:v>git commit dd130559a1974d94c95647cdb2e7be71dc64f89d; /Users/devups/Development/CodexProjects/Gccs/docs/development-story-test-cases.md</x:v>
      </x:c>
      <x:c r="S113" s="22" t="str">
        <x:v>Completion is based on immutable repository evidence; tests were not rerun and current working-tree drift was not re-certified in this reporting-only task.</x:v>
      </x:c>
      <x:c r="T113" s="13" t="str"/>
      <x:c r="U113" s="15"/>
      <x:c r="V113" s="1" t="str">
        <x:f>IF(OR(H113="Completed",H113="Not Applicable"),"No","Yes")</x:f>
        <x:v>No</x:v>
      </x:c>
    </x:row>
    <x:row r="114" ht="55" customHeight="1">
      <x:c r="A114" s="1" t="n">
        <x:v>110</x:v>
      </x:c>
      <x:c r="B114" s="1" t="str">
        <x:v>Phase 2</x:v>
      </x:c>
      <x:c r="C114" s="22" t="str">
        <x:v>Text Extraction And Clause Candidate Detection</x:v>
      </x:c>
      <x:c r="D114" s="1" t="str">
        <x:v>18.2</x:v>
      </x:c>
      <x:c r="E114" s="22" t="str">
        <x:v>Text Extraction And Clause Candidate Detection</x:v>
      </x:c>
      <x:c r="F114" s="1" t="str">
        <x:v>Software implementation</x:v>
      </x:c>
      <x:c r="G114" s="1" t="str">
        <x:v>Planned</x:v>
      </x:c>
      <x:c r="H114" s="1" t="str">
        <x:v>Completed</x:v>
      </x:c>
      <x:c r="I114" s="1" t="n">
        <x:f>COUNTIFS('Task Tracker'!$C$5:$C$800,D114,'Task Tracker'!$I$5:$I$800,"Completed")</x:f>
        <x:v>5</x:v>
      </x:c>
      <x:c r="J114" s="1" t="n">
        <x:f>COUNTIF('Task Tracker'!$C$5:$C$800,D114)</x:f>
        <x:v>5</x:v>
      </x:c>
      <x:c r="K114" s="1" t="n">
        <x:f>J114-I114</x:f>
        <x:v>0</x:v>
      </x:c>
      <x:c r="L114" s="1" t="str">
        <x:v>18.1</x:v>
      </x:c>
      <x:c r="M114" s="22" t="str"/>
      <x:c r="N114" s="22" t="str">
        <x:v>Implementation trace plus focused smoke, automated, and story-level regression evidence</x:v>
      </x:c>
      <x:c r="O114" s="22" t="str">
        <x:v>/Users/devups/.codex/skills/gccs-story-sequence/SKILL.md</x:v>
      </x:c>
      <x:c r="P114" s="22" t="str">
        <x:v>Retain traceability; rerun focused verification if the affected boundary changes.</x:v>
      </x:c>
      <x:c r="Q114" s="22" t="str">
        <x:v>Story-labeled commit 16c7cf87 contains delivery and focused test/test-result files: feat: implement story 18.2 clause candidate detection</x:v>
      </x:c>
      <x:c r="R114" s="22" t="str">
        <x:v>git commit 16c7cf873300ceaf7dc9ed89ee609199f591ad09; /Users/devups/Development/CodexProjects/Gccs/docs/development-story-test-cases.md</x:v>
      </x:c>
      <x:c r="S114" s="22" t="str">
        <x:v>Completion is based on immutable repository evidence; tests were not rerun and current working-tree drift was not re-certified in this reporting-only task.</x:v>
      </x:c>
      <x:c r="T114" s="13" t="str"/>
      <x:c r="U114" s="15"/>
      <x:c r="V114" s="1" t="str">
        <x:f>IF(OR(H114="Completed",H114="Not Applicable"),"No","Yes")</x:f>
        <x:v>No</x:v>
      </x:c>
    </x:row>
    <x:row r="115" ht="55" customHeight="1">
      <x:c r="A115" s="1" t="n">
        <x:v>111</x:v>
      </x:c>
      <x:c r="B115" s="1" t="str">
        <x:v>Phase 2</x:v>
      </x:c>
      <x:c r="C115" s="22" t="str">
        <x:v>Extraction Results Review Screen</x:v>
      </x:c>
      <x:c r="D115" s="1" t="str">
        <x:v>18.3</x:v>
      </x:c>
      <x:c r="E115" s="22" t="str">
        <x:v>Extraction Results Review Screen</x:v>
      </x:c>
      <x:c r="F115" s="1" t="str">
        <x:v>Software implementation</x:v>
      </x:c>
      <x:c r="G115" s="1" t="str">
        <x:v>Planned</x:v>
      </x:c>
      <x:c r="H115" s="1" t="str">
        <x:v>Completed</x:v>
      </x:c>
      <x:c r="I115" s="1" t="n">
        <x:f>COUNTIFS('Task Tracker'!$C$5:$C$800,D115,'Task Tracker'!$I$5:$I$800,"Completed")</x:f>
        <x:v>5</x:v>
      </x:c>
      <x:c r="J115" s="1" t="n">
        <x:f>COUNTIF('Task Tracker'!$C$5:$C$800,D115)</x:f>
        <x:v>5</x:v>
      </x:c>
      <x:c r="K115" s="1" t="n">
        <x:f>J115-I115</x:f>
        <x:v>0</x:v>
      </x:c>
      <x:c r="L115" s="1" t="str">
        <x:v>18.2</x:v>
      </x:c>
      <x:c r="M115" s="22" t="str"/>
      <x:c r="N115" s="22" t="str">
        <x:v>Implementation trace plus focused smoke, automated, and story-level regression evidence</x:v>
      </x:c>
      <x:c r="O115" s="22" t="str">
        <x:v>/Users/devups/.codex/skills/gccs-story-sequence/SKILL.md</x:v>
      </x:c>
      <x:c r="P115" s="22" t="str">
        <x:v>Retain traceability; rerun focused verification if the affected boundary changes.</x:v>
      </x:c>
      <x:c r="Q115" s="22" t="str">
        <x:v>Story-labeled commit 396da2f1 contains delivery and focused test/test-result files: feat: implement story 18.3 extraction review</x:v>
      </x:c>
      <x:c r="R115" s="22" t="str">
        <x:v>git commit 396da2f15a62fc712696ca5e1b75b3a9670c71e0; /Users/devups/Development/CodexProjects/Gccs/docs/development-story-test-cases.md</x:v>
      </x:c>
      <x:c r="S115" s="22" t="str">
        <x:v>Completion is based on immutable repository evidence; tests were not rerun and current working-tree drift was not re-certified in this reporting-only task.</x:v>
      </x:c>
      <x:c r="T115" s="13" t="str"/>
      <x:c r="U115" s="15"/>
      <x:c r="V115" s="1" t="str">
        <x:f>IF(OR(H115="Completed",H115="Not Applicable"),"No","Yes")</x:f>
        <x:v>No</x:v>
      </x:c>
    </x:row>
    <x:row r="116" ht="55" customHeight="1">
      <x:c r="A116" s="1" t="n">
        <x:v>112</x:v>
      </x:c>
      <x:c r="B116" s="1" t="str">
        <x:v>Phase 2</x:v>
      </x:c>
      <x:c r="C116" s="22" t="str">
        <x:v>Review States For Extracted Clauses</x:v>
      </x:c>
      <x:c r="D116" s="1" t="str">
        <x:v>19.1</x:v>
      </x:c>
      <x:c r="E116" s="22" t="str">
        <x:v>Review States For Extracted Clauses</x:v>
      </x:c>
      <x:c r="F116" s="1" t="str">
        <x:v>Software implementation</x:v>
      </x:c>
      <x:c r="G116" s="1" t="str">
        <x:v>Planned</x:v>
      </x:c>
      <x:c r="H116" s="1" t="str">
        <x:v>Completed</x:v>
      </x:c>
      <x:c r="I116" s="1" t="n">
        <x:f>COUNTIFS('Task Tracker'!$C$5:$C$800,D116,'Task Tracker'!$I$5:$I$800,"Completed")</x:f>
        <x:v>5</x:v>
      </x:c>
      <x:c r="J116" s="1" t="n">
        <x:f>COUNTIF('Task Tracker'!$C$5:$C$800,D116)</x:f>
        <x:v>5</x:v>
      </x:c>
      <x:c r="K116" s="1" t="n">
        <x:f>J116-I116</x:f>
        <x:v>0</x:v>
      </x:c>
      <x:c r="L116" s="1" t="str">
        <x:v>18.3</x:v>
      </x:c>
      <x:c r="M116" s="22" t="str"/>
      <x:c r="N116" s="22" t="str">
        <x:v>Implementation trace plus focused smoke, automated, and story-level regression evidence</x:v>
      </x:c>
      <x:c r="O116" s="22" t="str">
        <x:v>/Users/devups/.codex/skills/gccs-story-sequence/SKILL.md</x:v>
      </x:c>
      <x:c r="P116" s="22" t="str">
        <x:v>Retain traceability; rerun focused verification if the affected boundary changes.</x:v>
      </x:c>
      <x:c r="Q116" s="22" t="str">
        <x:v>Story-labeled commit 25c29fcd contains delivery and focused test/test-result files: feat: implement story 19.1 clause review states</x:v>
      </x:c>
      <x:c r="R116" s="22" t="str">
        <x:v>git commit 25c29fcd744545888127939661ae3f9562649464; /Users/devups/Development/CodexProjects/Gccs/docs/development-story-test-cases.md</x:v>
      </x:c>
      <x:c r="S116" s="22" t="str">
        <x:v>Completion is based on immutable repository evidence; tests were not rerun and current working-tree drift was not re-certified in this reporting-only task.</x:v>
      </x:c>
      <x:c r="T116" s="13" t="str"/>
      <x:c r="U116" s="15"/>
      <x:c r="V116" s="1" t="str">
        <x:f>IF(OR(H116="Completed",H116="Not Applicable"),"No","Yes")</x:f>
        <x:v>No</x:v>
      </x:c>
    </x:row>
    <x:row r="117" ht="55" customHeight="1">
      <x:c r="A117" s="1" t="n">
        <x:v>113</x:v>
      </x:c>
      <x:c r="B117" s="1" t="str">
        <x:v>Phase 2</x:v>
      </x:c>
      <x:c r="C117" s="22" t="str">
        <x:v>AI-Suggested Obligation Review</x:v>
      </x:c>
      <x:c r="D117" s="1" t="str">
        <x:v>19.2</x:v>
      </x:c>
      <x:c r="E117" s="22" t="str">
        <x:v>AI-Suggested Obligation Review</x:v>
      </x:c>
      <x:c r="F117" s="1" t="str">
        <x:v>Software implementation</x:v>
      </x:c>
      <x:c r="G117" s="1" t="str">
        <x:v>Planned</x:v>
      </x:c>
      <x:c r="H117" s="1" t="str">
        <x:v>Completed</x:v>
      </x:c>
      <x:c r="I117" s="1" t="n">
        <x:f>COUNTIFS('Task Tracker'!$C$5:$C$800,D117,'Task Tracker'!$I$5:$I$800,"Completed")</x:f>
        <x:v>5</x:v>
      </x:c>
      <x:c r="J117" s="1" t="n">
        <x:f>COUNTIF('Task Tracker'!$C$5:$C$800,D117)</x:f>
        <x:v>5</x:v>
      </x:c>
      <x:c r="K117" s="1" t="n">
        <x:f>J117-I117</x:f>
        <x:v>0</x:v>
      </x:c>
      <x:c r="L117" s="1" t="str">
        <x:v>19.1</x:v>
      </x:c>
      <x:c r="M117" s="22" t="str"/>
      <x:c r="N117" s="22" t="str">
        <x:v>Implementation trace plus focused smoke, automated, and story-level regression evidence</x:v>
      </x:c>
      <x:c r="O117" s="22" t="str">
        <x:v>/Users/devups/.codex/skills/gccs-story-sequence/SKILL.md</x:v>
      </x:c>
      <x:c r="P117" s="22" t="str">
        <x:v>Retain traceability; rerun focused verification if the affected boundary changes.</x:v>
      </x:c>
      <x:c r="Q117" s="22" t="str">
        <x:v>Story-labeled commit acfa64ff contains delivery and focused test/test-result files: feat: implement story 19.2 suggested obligation review</x:v>
      </x:c>
      <x:c r="R117" s="22" t="str">
        <x:v>git commit acfa64ffd5b24066f5c8fa0b6979f4e22de6c67e; /Users/devups/Development/CodexProjects/Gccs/docs/development-story-test-cases.md</x:v>
      </x:c>
      <x:c r="S117" s="22" t="str">
        <x:v>Completion is based on immutable repository evidence; tests were not rerun and current working-tree drift was not re-certified in this reporting-only task.</x:v>
      </x:c>
      <x:c r="T117" s="13" t="str"/>
      <x:c r="U117" s="15"/>
      <x:c r="V117" s="1" t="str">
        <x:f>IF(OR(H117="Completed",H117="Not Applicable"),"No","Yes")</x:f>
        <x:v>No</x:v>
      </x:c>
    </x:row>
    <x:row r="118" ht="55" customHeight="1">
      <x:c r="A118" s="1" t="n">
        <x:v>114</x:v>
      </x:c>
      <x:c r="B118" s="1" t="str">
        <x:v>Phase 2</x:v>
      </x:c>
      <x:c r="C118" s="22" t="str">
        <x:v>Expert Escalation Queue</x:v>
      </x:c>
      <x:c r="D118" s="1" t="str">
        <x:v>19.3</x:v>
      </x:c>
      <x:c r="E118" s="22" t="str">
        <x:v>Expert Escalation Queue</x:v>
      </x:c>
      <x:c r="F118" s="1" t="str">
        <x:v>Software implementation</x:v>
      </x:c>
      <x:c r="G118" s="1" t="str">
        <x:v>Planned</x:v>
      </x:c>
      <x:c r="H118" s="1" t="str">
        <x:v>Completed</x:v>
      </x:c>
      <x:c r="I118" s="1" t="n">
        <x:f>COUNTIFS('Task Tracker'!$C$5:$C$800,D118,'Task Tracker'!$I$5:$I$800,"Completed")</x:f>
        <x:v>5</x:v>
      </x:c>
      <x:c r="J118" s="1" t="n">
        <x:f>COUNTIF('Task Tracker'!$C$5:$C$800,D118)</x:f>
        <x:v>5</x:v>
      </x:c>
      <x:c r="K118" s="1" t="n">
        <x:f>J118-I118</x:f>
        <x:v>0</x:v>
      </x:c>
      <x:c r="L118" s="1" t="str">
        <x:v>19.2</x:v>
      </x:c>
      <x:c r="M118" s="22" t="str"/>
      <x:c r="N118" s="22" t="str">
        <x:v>Implementation trace plus focused smoke, automated, and story-level regression evidence</x:v>
      </x:c>
      <x:c r="O118" s="22" t="str">
        <x:v>/Users/devups/.codex/skills/gccs-story-sequence/SKILL.md</x:v>
      </x:c>
      <x:c r="P118" s="22" t="str">
        <x:v>Retain traceability; rerun focused verification if the affected boundary changes.</x:v>
      </x:c>
      <x:c r="Q118" s="22" t="str">
        <x:v>Story-labeled commit 165c0410 contains delivery and focused test/test-result files: feat: implement story 19.3 expert review queue</x:v>
      </x:c>
      <x:c r="R118" s="22" t="str">
        <x:v>git commit 165c04109f431e76f50279ba9b997e01283f0059; /Users/devups/Development/CodexProjects/Gccs/docs/development-story-test-cases.md</x:v>
      </x:c>
      <x:c r="S118" s="22" t="str">
        <x:v>Completion is based on immutable repository evidence; tests were not rerun and current working-tree drift was not re-certified in this reporting-only task.</x:v>
      </x:c>
      <x:c r="T118" s="13" t="str"/>
      <x:c r="U118" s="15"/>
      <x:c r="V118" s="1" t="str">
        <x:f>IF(OR(H118="Completed",H118="Not Applicable"),"No","Yes")</x:f>
        <x:v>No</x:v>
      </x:c>
    </x:row>
    <x:row r="119" ht="55" customHeight="1">
      <x:c r="A119" s="1" t="n">
        <x:v>115</x:v>
      </x:c>
      <x:c r="B119" s="1" t="str">
        <x:v>Phase 2</x:v>
      </x:c>
      <x:c r="C119" s="22" t="str">
        <x:v>Versioned Clause Records</x:v>
      </x:c>
      <x:c r="D119" s="1" t="str">
        <x:v>20.1</x:v>
      </x:c>
      <x:c r="E119" s="22" t="str">
        <x:v>Versioned Clause Records</x:v>
      </x:c>
      <x:c r="F119" s="1" t="str">
        <x:v>Software implementation</x:v>
      </x:c>
      <x:c r="G119" s="1" t="str">
        <x:v>Planned</x:v>
      </x:c>
      <x:c r="H119" s="1" t="str">
        <x:v>Completed</x:v>
      </x:c>
      <x:c r="I119" s="1" t="n">
        <x:f>COUNTIFS('Task Tracker'!$C$5:$C$800,D119,'Task Tracker'!$I$5:$I$800,"Completed")</x:f>
        <x:v>5</x:v>
      </x:c>
      <x:c r="J119" s="1" t="n">
        <x:f>COUNTIF('Task Tracker'!$C$5:$C$800,D119)</x:f>
        <x:v>5</x:v>
      </x:c>
      <x:c r="K119" s="1" t="n">
        <x:f>J119-I119</x:f>
        <x:v>0</x:v>
      </x:c>
      <x:c r="L119" s="1" t="str">
        <x:v>19.3</x:v>
      </x:c>
      <x:c r="M119" s="22" t="str"/>
      <x:c r="N119" s="22" t="str">
        <x:v>Implementation trace plus focused smoke, automated, and story-level regression evidence</x:v>
      </x:c>
      <x:c r="O119" s="22" t="str">
        <x:v>/Users/devups/.codex/skills/gccs-story-sequence/SKILL.md</x:v>
      </x:c>
      <x:c r="P119" s="22" t="str">
        <x:v>Retain traceability; rerun focused verification if the affected boundary changes.</x:v>
      </x:c>
      <x:c r="Q119" s="22" t="str">
        <x:v>Story-labeled commit b8ebb12e contains delivery and focused test/test-result files: feat: implement story 20.1 clause version records</x:v>
      </x:c>
      <x:c r="R119" s="22" t="str">
        <x:v>git commit b8ebb12e101b9f1c6e39edaac1bc9a4bf97e8232; /Users/devups/Development/CodexProjects/Gccs/docs/development-story-test-cases.md</x:v>
      </x:c>
      <x:c r="S119" s="22" t="str">
        <x:v>Completion is based on immutable repository evidence; tests were not rerun and current working-tree drift was not re-certified in this reporting-only task.</x:v>
      </x:c>
      <x:c r="T119" s="13" t="str"/>
      <x:c r="U119" s="15"/>
      <x:c r="V119" s="1" t="str">
        <x:f>IF(OR(H119="Completed",H119="Not Applicable"),"No","Yes")</x:f>
        <x:v>No</x:v>
      </x:c>
    </x:row>
    <x:row r="120" ht="55" customHeight="1">
      <x:c r="A120" s="1" t="n">
        <x:v>116</x:v>
      </x:c>
      <x:c r="B120" s="1" t="str">
        <x:v>Phase 2</x:v>
      </x:c>
      <x:c r="C120" s="22" t="str">
        <x:v>Clause Search And Discovery</x:v>
      </x:c>
      <x:c r="D120" s="1" t="str">
        <x:v>20.2</x:v>
      </x:c>
      <x:c r="E120" s="22" t="str">
        <x:v>Clause Search And Discovery</x:v>
      </x:c>
      <x:c r="F120" s="1" t="str">
        <x:v>Software implementation</x:v>
      </x:c>
      <x:c r="G120" s="1" t="str">
        <x:v>Planned</x:v>
      </x:c>
      <x:c r="H120" s="1" t="str">
        <x:v>Completed</x:v>
      </x:c>
      <x:c r="I120" s="1" t="n">
        <x:f>COUNTIFS('Task Tracker'!$C$5:$C$800,D120,'Task Tracker'!$I$5:$I$800,"Completed")</x:f>
        <x:v>5</x:v>
      </x:c>
      <x:c r="J120" s="1" t="n">
        <x:f>COUNTIF('Task Tracker'!$C$5:$C$800,D120)</x:f>
        <x:v>5</x:v>
      </x:c>
      <x:c r="K120" s="1" t="n">
        <x:f>J120-I120</x:f>
        <x:v>0</x:v>
      </x:c>
      <x:c r="L120" s="1" t="str">
        <x:v>20.1</x:v>
      </x:c>
      <x:c r="M120" s="22" t="str"/>
      <x:c r="N120" s="22" t="str">
        <x:v>Implementation trace plus focused smoke, automated, and story-level regression evidence</x:v>
      </x:c>
      <x:c r="O120" s="22" t="str">
        <x:v>/Users/devups/.codex/skills/gccs-story-sequence/SKILL.md</x:v>
      </x:c>
      <x:c r="P120" s="22" t="str">
        <x:v>Retain traceability; rerun focused verification if the affected boundary changes.</x:v>
      </x:c>
      <x:c r="Q120" s="22" t="str">
        <x:v>Story-labeled commit a802aed5 contains delivery and focused test/test-result files: feat: implement story 20.2 clause search discovery</x:v>
      </x:c>
      <x:c r="R120" s="22" t="str">
        <x:v>git commit a802aed5d4c9306a017910f1d8083d2c525c8f0f; /Users/devups/Development/CodexProjects/Gccs/docs/development-story-test-cases.md</x:v>
      </x:c>
      <x:c r="S120" s="22" t="str">
        <x:v>Completion is based on immutable repository evidence; tests were not rerun and current working-tree drift was not re-certified in this reporting-only task.</x:v>
      </x:c>
      <x:c r="T120" s="13" t="str"/>
      <x:c r="U120" s="15"/>
      <x:c r="V120" s="1" t="str">
        <x:f>IF(OR(H120="Completed",H120="Not Applicable"),"No","Yes")</x:f>
        <x:v>No</x:v>
      </x:c>
    </x:row>
    <x:row r="121" ht="55" customHeight="1">
      <x:c r="A121" s="1" t="n">
        <x:v>117</x:v>
      </x:c>
      <x:c r="B121" s="1" t="str">
        <x:v>Phase 2</x:v>
      </x:c>
      <x:c r="C121" s="22" t="str">
        <x:v>Clause-To-Obligation Mapping</x:v>
      </x:c>
      <x:c r="D121" s="1" t="str">
        <x:v>20.3</x:v>
      </x:c>
      <x:c r="E121" s="22" t="str">
        <x:v>Clause-To-Obligation Mapping</x:v>
      </x:c>
      <x:c r="F121" s="1" t="str">
        <x:v>Software implementation</x:v>
      </x:c>
      <x:c r="G121" s="1" t="str">
        <x:v>Planned</x:v>
      </x:c>
      <x:c r="H121" s="1" t="str">
        <x:v>Completed</x:v>
      </x:c>
      <x:c r="I121" s="1" t="n">
        <x:f>COUNTIFS('Task Tracker'!$C$5:$C$800,D121,'Task Tracker'!$I$5:$I$800,"Completed")</x:f>
        <x:v>5</x:v>
      </x:c>
      <x:c r="J121" s="1" t="n">
        <x:f>COUNTIF('Task Tracker'!$C$5:$C$800,D121)</x:f>
        <x:v>5</x:v>
      </x:c>
      <x:c r="K121" s="1" t="n">
        <x:f>J121-I121</x:f>
        <x:v>0</x:v>
      </x:c>
      <x:c r="L121" s="1" t="str">
        <x:v>20.2</x:v>
      </x:c>
      <x:c r="M121" s="22" t="str"/>
      <x:c r="N121" s="22" t="str">
        <x:v>Implementation trace plus focused smoke, automated, and story-level regression evidence</x:v>
      </x:c>
      <x:c r="O121" s="22" t="str">
        <x:v>/Users/devups/.codex/skills/gccs-story-sequence/SKILL.md</x:v>
      </x:c>
      <x:c r="P121" s="22" t="str">
        <x:v>Retain traceability; rerun focused verification if the affected boundary changes.</x:v>
      </x:c>
      <x:c r="Q121" s="22" t="str">
        <x:v>Story-labeled commit cb7f4935 contains delivery and focused test/test-result files: feat: implement story 20.3 clause obligation mappings</x:v>
      </x:c>
      <x:c r="R121" s="22" t="str">
        <x:v>git commit cb7f4935ae0d809fe3928ab820b60b9ee2b02c42; /Users/devups/Development/CodexProjects/Gccs/docs/development-story-test-cases.md</x:v>
      </x:c>
      <x:c r="S121" s="22" t="str">
        <x:v>Completion is based on immutable repository evidence; tests were not rerun and current working-tree drift was not re-certified in this reporting-only task.</x:v>
      </x:c>
      <x:c r="T121" s="13" t="str"/>
      <x:c r="U121" s="15"/>
      <x:c r="V121" s="1" t="str">
        <x:f>IF(OR(H121="Completed",H121="Not Applicable"),"No","Yes")</x:f>
        <x:v>No</x:v>
      </x:c>
    </x:row>
    <x:row r="122" ht="55" customHeight="1">
      <x:c r="A122" s="1" t="n">
        <x:v>118</x:v>
      </x:c>
      <x:c r="B122" s="1" t="str">
        <x:v>Phase 2</x:v>
      </x:c>
      <x:c r="C122" s="22" t="str">
        <x:v>Applicability Facts Model</x:v>
      </x:c>
      <x:c r="D122" s="1" t="str">
        <x:v>21.1</x:v>
      </x:c>
      <x:c r="E122" s="22" t="str">
        <x:v>Applicability Facts Model</x:v>
      </x:c>
      <x:c r="F122" s="1" t="str">
        <x:v>Software implementation</x:v>
      </x:c>
      <x:c r="G122" s="1" t="str">
        <x:v>Planned</x:v>
      </x:c>
      <x:c r="H122" s="1" t="str">
        <x:v>Completed</x:v>
      </x:c>
      <x:c r="I122" s="1" t="n">
        <x:f>COUNTIFS('Task Tracker'!$C$5:$C$800,D122,'Task Tracker'!$I$5:$I$800,"Completed")</x:f>
        <x:v>5</x:v>
      </x:c>
      <x:c r="J122" s="1" t="n">
        <x:f>COUNTIF('Task Tracker'!$C$5:$C$800,D122)</x:f>
        <x:v>5</x:v>
      </x:c>
      <x:c r="K122" s="1" t="n">
        <x:f>J122-I122</x:f>
        <x:v>0</x:v>
      </x:c>
      <x:c r="L122" s="1" t="str">
        <x:v>20.3</x:v>
      </x:c>
      <x:c r="M122" s="22" t="str"/>
      <x:c r="N122" s="22" t="str">
        <x:v>Implementation trace plus focused smoke, automated, and story-level regression evidence</x:v>
      </x:c>
      <x:c r="O122" s="22" t="str">
        <x:v>/Users/devups/.codex/skills/gccs-story-sequence/SKILL.md</x:v>
      </x:c>
      <x:c r="P122" s="22" t="str">
        <x:v>Retain traceability; rerun focused verification if the affected boundary changes.</x:v>
      </x:c>
      <x:c r="Q122" s="22" t="str">
        <x:v>Story-labeled commit 76c515a6 contains delivery and focused test/test-result files: feat: implement story 21.1 applicability facts model</x:v>
      </x:c>
      <x:c r="R122" s="22" t="str">
        <x:v>git commit 76c515a64dbd8c6a2b57ff0e91195d25ceebe467; /Users/devups/Development/CodexProjects/Gccs/docs/development-story-test-cases.md</x:v>
      </x:c>
      <x:c r="S122" s="22" t="str">
        <x:v>Completion is based on immutable repository evidence; tests were not rerun and current working-tree drift was not re-certified in this reporting-only task.</x:v>
      </x:c>
      <x:c r="T122" s="13" t="str"/>
      <x:c r="U122" s="15"/>
      <x:c r="V122" s="1" t="str">
        <x:f>IF(OR(H122="Completed",H122="Not Applicable"),"No","Yes")</x:f>
        <x:v>No</x:v>
      </x:c>
    </x:row>
    <x:row r="123" ht="55" customHeight="1">
      <x:c r="A123" s="1" t="n">
        <x:v>119</x:v>
      </x:c>
      <x:c r="B123" s="1" t="str">
        <x:v>Phase 2</x:v>
      </x:c>
      <x:c r="C123" s="22" t="str">
        <x:v>Rule Evaluation</x:v>
      </x:c>
      <x:c r="D123" s="1" t="str">
        <x:v>21.2</x:v>
      </x:c>
      <x:c r="E123" s="22" t="str">
        <x:v>Rule Evaluation</x:v>
      </x:c>
      <x:c r="F123" s="1" t="str">
        <x:v>Software implementation</x:v>
      </x:c>
      <x:c r="G123" s="1" t="str">
        <x:v>Planned</x:v>
      </x:c>
      <x:c r="H123" s="1" t="str">
        <x:v>Completed</x:v>
      </x:c>
      <x:c r="I123" s="1" t="n">
        <x:f>COUNTIFS('Task Tracker'!$C$5:$C$800,D123,'Task Tracker'!$I$5:$I$800,"Completed")</x:f>
        <x:v>5</x:v>
      </x:c>
      <x:c r="J123" s="1" t="n">
        <x:f>COUNTIF('Task Tracker'!$C$5:$C$800,D123)</x:f>
        <x:v>5</x:v>
      </x:c>
      <x:c r="K123" s="1" t="n">
        <x:f>J123-I123</x:f>
        <x:v>0</x:v>
      </x:c>
      <x:c r="L123" s="1" t="str">
        <x:v>21.1</x:v>
      </x:c>
      <x:c r="M123" s="22" t="str"/>
      <x:c r="N123" s="22" t="str">
        <x:v>Implementation trace plus focused smoke, automated, and story-level regression evidence</x:v>
      </x:c>
      <x:c r="O123" s="22" t="str">
        <x:v>/Users/devups/.codex/skills/gccs-story-sequence/SKILL.md</x:v>
      </x:c>
      <x:c r="P123" s="22" t="str">
        <x:v>Retain traceability; rerun focused verification if the affected boundary changes.</x:v>
      </x:c>
      <x:c r="Q123" s="22" t="str">
        <x:v>Story-labeled commit 445334a6 contains delivery and focused test/test-result files: feat: implement story 21.2 rule evaluation</x:v>
      </x:c>
      <x:c r="R123" s="22" t="str">
        <x:v>git commit 445334a658443c3caf750c189bc623a78578ce9e; /Users/devups/Development/CodexProjects/Gccs/docs/development-story-test-cases.md</x:v>
      </x:c>
      <x:c r="S123" s="22" t="str">
        <x:v>Completion is based on immutable repository evidence; tests were not rerun and current working-tree drift was not re-certified in this reporting-only task.</x:v>
      </x:c>
      <x:c r="T123" s="13" t="str"/>
      <x:c r="U123" s="15"/>
      <x:c r="V123" s="1" t="str">
        <x:f>IF(OR(H123="Completed",H123="Not Applicable"),"No","Yes")</x:f>
        <x:v>No</x:v>
      </x:c>
    </x:row>
    <x:row r="124" ht="55" customHeight="1">
      <x:c r="A124" s="1" t="n">
        <x:v>120</x:v>
      </x:c>
      <x:c r="B124" s="1" t="str">
        <x:v>Phase 2</x:v>
      </x:c>
      <x:c r="C124" s="22" t="str">
        <x:v>Obligation Applicability Updates</x:v>
      </x:c>
      <x:c r="D124" s="1" t="str">
        <x:v>21.3</x:v>
      </x:c>
      <x:c r="E124" s="22" t="str">
        <x:v>Obligation Applicability Updates</x:v>
      </x:c>
      <x:c r="F124" s="1" t="str">
        <x:v>Software implementation</x:v>
      </x:c>
      <x:c r="G124" s="1" t="str">
        <x:v>Planned</x:v>
      </x:c>
      <x:c r="H124" s="1" t="str">
        <x:v>Completed</x:v>
      </x:c>
      <x:c r="I124" s="1" t="n">
        <x:f>COUNTIFS('Task Tracker'!$C$5:$C$800,D124,'Task Tracker'!$I$5:$I$800,"Completed")</x:f>
        <x:v>5</x:v>
      </x:c>
      <x:c r="J124" s="1" t="n">
        <x:f>COUNTIF('Task Tracker'!$C$5:$C$800,D124)</x:f>
        <x:v>5</x:v>
      </x:c>
      <x:c r="K124" s="1" t="n">
        <x:f>J124-I124</x:f>
        <x:v>0</x:v>
      </x:c>
      <x:c r="L124" s="1" t="str">
        <x:v>21.2</x:v>
      </x:c>
      <x:c r="M124" s="22" t="str"/>
      <x:c r="N124" s="22" t="str">
        <x:v>Implementation trace plus focused smoke, automated, and story-level regression evidence</x:v>
      </x:c>
      <x:c r="O124" s="22" t="str">
        <x:v>/Users/devups/.codex/skills/gccs-story-sequence/SKILL.md</x:v>
      </x:c>
      <x:c r="P124" s="22" t="str">
        <x:v>Retain traceability; rerun focused verification if the affected boundary changes.</x:v>
      </x:c>
      <x:c r="Q124" s="22" t="str">
        <x:v>Story-labeled commit ed04050b contains delivery and focused test/test-result files: feat: implement story 21.3 obligation applicability updates</x:v>
      </x:c>
      <x:c r="R124" s="22" t="str">
        <x:v>git commit ed04050bf329fe02701bd4d390e6d09f2cad75d6; /Users/devups/Development/CodexProjects/Gccs/docs/development-story-test-cases.md</x:v>
      </x:c>
      <x:c r="S124" s="22" t="str">
        <x:v>Completion is based on immutable repository evidence; tests were not rerun and current working-tree drift was not re-certified in this reporting-only task.</x:v>
      </x:c>
      <x:c r="T124" s="13" t="str"/>
      <x:c r="U124" s="15"/>
      <x:c r="V124" s="1" t="str">
        <x:f>IF(OR(H124="Completed",H124="Not Applicable"),"No","Yes")</x:f>
        <x:v>No</x:v>
      </x:c>
    </x:row>
    <x:row r="125" ht="55" customHeight="1">
      <x:c r="A125" s="1" t="n">
        <x:v>121</x:v>
      </x:c>
      <x:c r="B125" s="1" t="str">
        <x:v>Phase 2</x:v>
      </x:c>
      <x:c r="C125" s="22" t="str">
        <x:v>SAM.gov API Configuration</x:v>
      </x:c>
      <x:c r="D125" s="1" t="str">
        <x:v>22.1</x:v>
      </x:c>
      <x:c r="E125" s="22" t="str">
        <x:v>SAM.gov API Configuration</x:v>
      </x:c>
      <x:c r="F125" s="1" t="str">
        <x:v>Software implementation</x:v>
      </x:c>
      <x:c r="G125" s="1" t="str">
        <x:v>Planned</x:v>
      </x:c>
      <x:c r="H125" s="1" t="str">
        <x:v>Completed</x:v>
      </x:c>
      <x:c r="I125" s="1" t="n">
        <x:f>COUNTIFS('Task Tracker'!$C$5:$C$800,D125,'Task Tracker'!$I$5:$I$800,"Completed")</x:f>
        <x:v>5</x:v>
      </x:c>
      <x:c r="J125" s="1" t="n">
        <x:f>COUNTIF('Task Tracker'!$C$5:$C$800,D125)</x:f>
        <x:v>5</x:v>
      </x:c>
      <x:c r="K125" s="1" t="n">
        <x:f>J125-I125</x:f>
        <x:v>0</x:v>
      </x:c>
      <x:c r="L125" s="1" t="str">
        <x:v>21.3</x:v>
      </x:c>
      <x:c r="M125" s="22" t="str"/>
      <x:c r="N125" s="22" t="str">
        <x:v>Implementation trace plus focused smoke, automated, and story-level regression evidence</x:v>
      </x:c>
      <x:c r="O125" s="22" t="str">
        <x:v>/Users/devups/.codex/skills/gccs-story-sequence/SKILL.md</x:v>
      </x:c>
      <x:c r="P125" s="22" t="str">
        <x:v>Retain traceability; rerun focused verification if the affected boundary changes.</x:v>
      </x:c>
      <x:c r="Q125" s="22" t="str">
        <x:v>Story-labeled commit b7472914 contains delivery and focused test/test-result files: feat: implement story 22.1 samgov api configuration</x:v>
      </x:c>
      <x:c r="R125" s="22" t="str">
        <x:v>git commit b7472914bdbac5a42c8c10d54d6701b1e3ff7da9; /Users/devups/Development/CodexProjects/Gccs/docs/development-story-test-cases.md</x:v>
      </x:c>
      <x:c r="S125" s="22" t="str">
        <x:v>Completion is based on immutable repository evidence; tests were not rerun and current working-tree drift was not re-certified in this reporting-only task.</x:v>
      </x:c>
      <x:c r="T125" s="13" t="str"/>
      <x:c r="U125" s="15"/>
      <x:c r="V125" s="1" t="str">
        <x:f>IF(OR(H125="Completed",H125="Not Applicable"),"No","Yes")</x:f>
        <x:v>No</x:v>
      </x:c>
    </x:row>
    <x:row r="126" ht="55" customHeight="1">
      <x:c r="A126" s="1" t="n">
        <x:v>122</x:v>
      </x:c>
      <x:c r="B126" s="1" t="str">
        <x:v>Phase 2</x:v>
      </x:c>
      <x:c r="C126" s="22" t="str">
        <x:v>Company Entity Lookup</x:v>
      </x:c>
      <x:c r="D126" s="1" t="str">
        <x:v>22.2</x:v>
      </x:c>
      <x:c r="E126" s="22" t="str">
        <x:v>Company Entity Lookup</x:v>
      </x:c>
      <x:c r="F126" s="1" t="str">
        <x:v>Software implementation</x:v>
      </x:c>
      <x:c r="G126" s="1" t="str">
        <x:v>Planned</x:v>
      </x:c>
      <x:c r="H126" s="1" t="str">
        <x:v>Completed</x:v>
      </x:c>
      <x:c r="I126" s="1" t="n">
        <x:f>COUNTIFS('Task Tracker'!$C$5:$C$800,D126,'Task Tracker'!$I$5:$I$800,"Completed")</x:f>
        <x:v>5</x:v>
      </x:c>
      <x:c r="J126" s="1" t="n">
        <x:f>COUNTIF('Task Tracker'!$C$5:$C$800,D126)</x:f>
        <x:v>5</x:v>
      </x:c>
      <x:c r="K126" s="1" t="n">
        <x:f>J126-I126</x:f>
        <x:v>0</x:v>
      </x:c>
      <x:c r="L126" s="1" t="str">
        <x:v>22.1</x:v>
      </x:c>
      <x:c r="M126" s="22" t="str"/>
      <x:c r="N126" s="22" t="str">
        <x:v>Implementation trace plus focused smoke, automated, and story-level regression evidence</x:v>
      </x:c>
      <x:c r="O126" s="22" t="str">
        <x:v>/Users/devups/.codex/skills/gccs-story-sequence/SKILL.md</x:v>
      </x:c>
      <x:c r="P126" s="22" t="str">
        <x:v>Retain traceability; rerun focused verification if the affected boundary changes.</x:v>
      </x:c>
      <x:c r="Q126" s="22" t="str">
        <x:v>Story-labeled commit da16a3cc contains delivery and focused test/test-result files: feat: implement story 22.2 company entity lookup</x:v>
      </x:c>
      <x:c r="R126" s="22" t="str">
        <x:v>git commit da16a3cc5327db8669f246e1bb18bc9bb66ab39d; /Users/devups/Development/CodexProjects/Gccs/docs/development-story-test-cases.md</x:v>
      </x:c>
      <x:c r="S126" s="22" t="str">
        <x:v>Completion is based on immutable repository evidence; tests were not rerun and current working-tree drift was not re-certified in this reporting-only task.</x:v>
      </x:c>
      <x:c r="T126" s="13" t="str"/>
      <x:c r="U126" s="15"/>
      <x:c r="V126" s="1" t="str">
        <x:f>IF(OR(H126="Completed",H126="Not Applicable"),"No","Yes")</x:f>
        <x:v>No</x:v>
      </x:c>
    </x:row>
    <x:row r="127" ht="55" customHeight="1">
      <x:c r="A127" s="1" t="n">
        <x:v>123</x:v>
      </x:c>
      <x:c r="B127" s="1" t="str">
        <x:v>Phase 2</x:v>
      </x:c>
      <x:c r="C127" s="22" t="str">
        <x:v>Subcontractor Entity Lookup</x:v>
      </x:c>
      <x:c r="D127" s="1" t="str">
        <x:v>22.3</x:v>
      </x:c>
      <x:c r="E127" s="22" t="str">
        <x:v>Subcontractor Entity Lookup</x:v>
      </x:c>
      <x:c r="F127" s="1" t="str">
        <x:v>Software implementation</x:v>
      </x:c>
      <x:c r="G127" s="1" t="str">
        <x:v>Planned</x:v>
      </x:c>
      <x:c r="H127" s="1" t="str">
        <x:v>Completed</x:v>
      </x:c>
      <x:c r="I127" s="1" t="n">
        <x:f>COUNTIFS('Task Tracker'!$C$5:$C$800,D127,'Task Tracker'!$I$5:$I$800,"Completed")</x:f>
        <x:v>5</x:v>
      </x:c>
      <x:c r="J127" s="1" t="n">
        <x:f>COUNTIF('Task Tracker'!$C$5:$C$800,D127)</x:f>
        <x:v>5</x:v>
      </x:c>
      <x:c r="K127" s="1" t="n">
        <x:f>J127-I127</x:f>
        <x:v>0</x:v>
      </x:c>
      <x:c r="L127" s="1" t="str">
        <x:v>22.2</x:v>
      </x:c>
      <x:c r="M127" s="22" t="str"/>
      <x:c r="N127" s="22" t="str">
        <x:v>Implementation trace plus focused smoke, automated, and story-level regression evidence</x:v>
      </x:c>
      <x:c r="O127" s="22" t="str">
        <x:v>/Users/devups/.codex/skills/gccs-story-sequence/SKILL.md</x:v>
      </x:c>
      <x:c r="P127" s="22" t="str">
        <x:v>Retain traceability; rerun focused verification if the affected boundary changes.</x:v>
      </x:c>
      <x:c r="Q127" s="22" t="str">
        <x:v>Story-labeled commit 9f04c429 contains delivery and focused test/test-result files: feat: implement story 22.3 subcontractor entity lookup</x:v>
      </x:c>
      <x:c r="R127" s="22" t="str">
        <x:v>git commit 9f04c4297755fe411805cf71cdd3ed9589b71f79; /Users/devups/Development/CodexProjects/Gccs/docs/development-story-test-cases.md</x:v>
      </x:c>
      <x:c r="S127" s="22" t="str">
        <x:v>Completion is based on immutable repository evidence; tests were not rerun and current working-tree drift was not re-certified in this reporting-only task.</x:v>
      </x:c>
      <x:c r="T127" s="13" t="str"/>
      <x:c r="U127" s="15"/>
      <x:c r="V127" s="1" t="str">
        <x:f>IF(OR(H127="Completed",H127="Not Applicable"),"No","Yes")</x:f>
        <x:v>No</x:v>
      </x:c>
    </x:row>
    <x:row r="128" ht="55" customHeight="1">
      <x:c r="A128" s="1" t="n">
        <x:v>124</x:v>
      </x:c>
      <x:c r="B128" s="1" t="str">
        <x:v>Phase 2</x:v>
      </x:c>
      <x:c r="C128" s="22" t="str">
        <x:v>Size Standard Reference Data</x:v>
      </x:c>
      <x:c r="D128" s="1" t="str">
        <x:v>23.1</x:v>
      </x:c>
      <x:c r="E128" s="22" t="str">
        <x:v>Size Standard Reference Data</x:v>
      </x:c>
      <x:c r="F128" s="1" t="str">
        <x:v>Software implementation</x:v>
      </x:c>
      <x:c r="G128" s="1" t="str">
        <x:v>Planned</x:v>
      </x:c>
      <x:c r="H128" s="1" t="str">
        <x:v>Completed</x:v>
      </x:c>
      <x:c r="I128" s="1" t="n">
        <x:f>COUNTIFS('Task Tracker'!$C$5:$C$800,D128,'Task Tracker'!$I$5:$I$800,"Completed")</x:f>
        <x:v>5</x:v>
      </x:c>
      <x:c r="J128" s="1" t="n">
        <x:f>COUNTIF('Task Tracker'!$C$5:$C$800,D128)</x:f>
        <x:v>5</x:v>
      </x:c>
      <x:c r="K128" s="1" t="n">
        <x:f>J128-I128</x:f>
        <x:v>0</x:v>
      </x:c>
      <x:c r="L128" s="1" t="str">
        <x:v>22.3</x:v>
      </x:c>
      <x:c r="M128" s="22" t="str"/>
      <x:c r="N128" s="22" t="str">
        <x:v>Implementation trace plus focused smoke, automated, and story-level regression evidence</x:v>
      </x:c>
      <x:c r="O128" s="22" t="str">
        <x:v>/Users/devups/.codex/skills/gccs-story-sequence/SKILL.md</x:v>
      </x:c>
      <x:c r="P128" s="22" t="str">
        <x:v>Retain traceability; rerun focused verification if the affected boundary changes.</x:v>
      </x:c>
      <x:c r="Q128" s="22" t="str">
        <x:v>Story-labeled commit 4bb1e952 contains delivery and focused test/test-result files: feat: implement story 23.1 size standard reference data</x:v>
      </x:c>
      <x:c r="R128" s="22" t="str">
        <x:v>git commit 4bb1e9522d1b50faf8936fab1c6563764c9a2d7a; /Users/devups/Development/CodexProjects/Gccs/docs/development-story-test-cases.md</x:v>
      </x:c>
      <x:c r="S128" s="22" t="str">
        <x:v>Completion is based on immutable repository evidence; tests were not rerun and current working-tree drift was not re-certified in this reporting-only task.</x:v>
      </x:c>
      <x:c r="T128" s="13" t="str"/>
      <x:c r="U128" s="15"/>
      <x:c r="V128" s="1" t="str">
        <x:f>IF(OR(H128="Completed",H128="Not Applicable"),"No","Yes")</x:f>
        <x:v>No</x:v>
      </x:c>
    </x:row>
    <x:row r="129" ht="55" customHeight="1">
      <x:c r="A129" s="1" t="n">
        <x:v>125</x:v>
      </x:c>
      <x:c r="B129" s="1" t="str">
        <x:v>Phase 2</x:v>
      </x:c>
      <x:c r="C129" s="22" t="str">
        <x:v>Company Size Evaluation Helper</x:v>
      </x:c>
      <x:c r="D129" s="1" t="str">
        <x:v>23.2</x:v>
      </x:c>
      <x:c r="E129" s="22" t="str">
        <x:v>Company Size Evaluation Helper</x:v>
      </x:c>
      <x:c r="F129" s="1" t="str">
        <x:v>Software implementation</x:v>
      </x:c>
      <x:c r="G129" s="1" t="str">
        <x:v>Planned</x:v>
      </x:c>
      <x:c r="H129" s="1" t="str">
        <x:v>Completed</x:v>
      </x:c>
      <x:c r="I129" s="1" t="n">
        <x:f>COUNTIFS('Task Tracker'!$C$5:$C$800,D129,'Task Tracker'!$I$5:$I$800,"Completed")</x:f>
        <x:v>5</x:v>
      </x:c>
      <x:c r="J129" s="1" t="n">
        <x:f>COUNTIF('Task Tracker'!$C$5:$C$800,D129)</x:f>
        <x:v>5</x:v>
      </x:c>
      <x:c r="K129" s="1" t="n">
        <x:f>J129-I129</x:f>
        <x:v>0</x:v>
      </x:c>
      <x:c r="L129" s="1" t="str">
        <x:v>23.1</x:v>
      </x:c>
      <x:c r="M129" s="22" t="str"/>
      <x:c r="N129" s="22" t="str">
        <x:v>Implementation trace plus focused smoke, automated, and story-level regression evidence</x:v>
      </x:c>
      <x:c r="O129" s="22" t="str">
        <x:v>/Users/devups/.codex/skills/gccs-story-sequence/SKILL.md</x:v>
      </x:c>
      <x:c r="P129" s="22" t="str">
        <x:v>Retain traceability; rerun focused verification if the affected boundary changes.</x:v>
      </x:c>
      <x:c r="Q129" s="22" t="str">
        <x:v>Story-labeled commit 8e8bb3f0 contains delivery and focused test/test-result files: feat: implement story 23.2 company size evaluation helper</x:v>
      </x:c>
      <x:c r="R129" s="22" t="str">
        <x:v>git commit 8e8bb3f017c561e2cb44348506cab6ed6cbe4222; /Users/devups/Development/CodexProjects/Gccs/docs/development-story-test-cases.md</x:v>
      </x:c>
      <x:c r="S129" s="22" t="str">
        <x:v>Completion is based on immutable repository evidence; tests were not rerun and current working-tree drift was not re-certified in this reporting-only task.</x:v>
      </x:c>
      <x:c r="T129" s="13" t="str"/>
      <x:c r="U129" s="15"/>
      <x:c r="V129" s="1" t="str">
        <x:f>IF(OR(H129="Completed",H129="Not Applicable"),"No","Yes")</x:f>
        <x:v>No</x:v>
      </x:c>
    </x:row>
    <x:row r="130" ht="55" customHeight="1">
      <x:c r="A130" s="1" t="n">
        <x:v>126</x:v>
      </x:c>
      <x:c r="B130" s="1" t="str">
        <x:v>Phase 2</x:v>
      </x:c>
      <x:c r="C130" s="22" t="str">
        <x:v>Opportunity NAICS Size Check</x:v>
      </x:c>
      <x:c r="D130" s="1" t="str">
        <x:v>23.3</x:v>
      </x:c>
      <x:c r="E130" s="22" t="str">
        <x:v>Opportunity NAICS Size Check</x:v>
      </x:c>
      <x:c r="F130" s="1" t="str">
        <x:v>Software implementation</x:v>
      </x:c>
      <x:c r="G130" s="1" t="str">
        <x:v>Planned</x:v>
      </x:c>
      <x:c r="H130" s="1" t="str">
        <x:v>Completed</x:v>
      </x:c>
      <x:c r="I130" s="1" t="n">
        <x:f>COUNTIFS('Task Tracker'!$C$5:$C$800,D130,'Task Tracker'!$I$5:$I$800,"Completed")</x:f>
        <x:v>5</x:v>
      </x:c>
      <x:c r="J130" s="1" t="n">
        <x:f>COUNTIF('Task Tracker'!$C$5:$C$800,D130)</x:f>
        <x:v>5</x:v>
      </x:c>
      <x:c r="K130" s="1" t="n">
        <x:f>J130-I130</x:f>
        <x:v>0</x:v>
      </x:c>
      <x:c r="L130" s="1" t="str">
        <x:v>23.2</x:v>
      </x:c>
      <x:c r="M130" s="22" t="str"/>
      <x:c r="N130" s="22" t="str">
        <x:v>Implementation trace plus focused smoke, automated, and story-level regression evidence</x:v>
      </x:c>
      <x:c r="O130" s="22" t="str">
        <x:v>/Users/devups/.codex/skills/gccs-story-sequence/SKILL.md</x:v>
      </x:c>
      <x:c r="P130" s="22" t="str">
        <x:v>Retain traceability; rerun focused verification if the affected boundary changes.</x:v>
      </x:c>
      <x:c r="Q130" s="22" t="str">
        <x:v>Story-labeled commit 68fb3277 contains delivery and focused test/test-result files: feat: implement story 23.3 opportunity naics size check</x:v>
      </x:c>
      <x:c r="R130" s="22" t="str">
        <x:v>git commit 68fb3277e58483ef3bfdd4eda891cd95164ad25b; /Users/devups/Development/CodexProjects/Gccs/docs/development-story-test-cases.md</x:v>
      </x:c>
      <x:c r="S130" s="22" t="str">
        <x:v>Completion is based on immutable repository evidence; tests were not rerun and current working-tree drift was not re-certified in this reporting-only task.</x:v>
      </x:c>
      <x:c r="T130" s="13" t="str"/>
      <x:c r="U130" s="15"/>
      <x:c r="V130" s="1" t="str">
        <x:f>IF(OR(H130="Completed",H130="Not Applicable"),"No","Yes")</x:f>
        <x:v>No</x:v>
      </x:c>
    </x:row>
    <x:row r="131" ht="55" customHeight="1">
      <x:c r="A131" s="1" t="n">
        <x:v>127</x:v>
      </x:c>
      <x:c r="B131" s="1" t="str">
        <x:v>Phase 2</x:v>
      </x:c>
      <x:c r="C131" s="22" t="str">
        <x:v>Expanded Subcontractor Compliance Profile</x:v>
      </x:c>
      <x:c r="D131" s="1" t="str">
        <x:v>24.1</x:v>
      </x:c>
      <x:c r="E131" s="22" t="str">
        <x:v>Expanded Subcontractor Compliance Profile</x:v>
      </x:c>
      <x:c r="F131" s="1" t="str">
        <x:v>Software implementation</x:v>
      </x:c>
      <x:c r="G131" s="1" t="str">
        <x:v>Planned</x:v>
      </x:c>
      <x:c r="H131" s="1" t="str">
        <x:v>Completed</x:v>
      </x:c>
      <x:c r="I131" s="1" t="n">
        <x:f>COUNTIFS('Task Tracker'!$C$5:$C$800,D131,'Task Tracker'!$I$5:$I$800,"Completed")</x:f>
        <x:v>5</x:v>
      </x:c>
      <x:c r="J131" s="1" t="n">
        <x:f>COUNTIF('Task Tracker'!$C$5:$C$800,D131)</x:f>
        <x:v>5</x:v>
      </x:c>
      <x:c r="K131" s="1" t="n">
        <x:f>J131-I131</x:f>
        <x:v>0</x:v>
      </x:c>
      <x:c r="L131" s="1" t="str">
        <x:v>23.3</x:v>
      </x:c>
      <x:c r="M131" s="22" t="str"/>
      <x:c r="N131" s="22" t="str">
        <x:v>Implementation trace plus focused smoke, automated, and story-level regression evidence</x:v>
      </x:c>
      <x:c r="O131" s="22" t="str">
        <x:v>/Users/devups/.codex/skills/gccs-story-sequence/SKILL.md</x:v>
      </x:c>
      <x:c r="P131" s="22" t="str">
        <x:v>Retain traceability; rerun focused verification if the affected boundary changes.</x:v>
      </x:c>
      <x:c r="Q131" s="22" t="str">
        <x:v>Story-labeled commit 3eac5644 contains delivery and focused test/test-result files: feat: implement story 24.1 expanded subcontractor profile</x:v>
      </x:c>
      <x:c r="R131" s="22" t="str">
        <x:v>git commit 3eac56445f80e6adfb6edb6688ebd993cbcc9127; /Users/devups/Development/CodexProjects/Gccs/docs/development-story-test-cases.md</x:v>
      </x:c>
      <x:c r="S131" s="22" t="str">
        <x:v>Completion is based on immutable repository evidence; tests were not rerun and current working-tree drift was not re-certified in this reporting-only task.</x:v>
      </x:c>
      <x:c r="T131" s="13" t="str"/>
      <x:c r="U131" s="15"/>
      <x:c r="V131" s="1" t="str">
        <x:f>IF(OR(H131="Completed",H131="Not Applicable"),"No","Yes")</x:f>
        <x:v>No</x:v>
      </x:c>
    </x:row>
    <x:row r="132" ht="55" customHeight="1">
      <x:c r="A132" s="1" t="n">
        <x:v>128</x:v>
      </x:c>
      <x:c r="B132" s="1" t="str">
        <x:v>Phase 2</x:v>
      </x:c>
      <x:c r="C132" s="22" t="str">
        <x:v>Subcontractor Risk Status</x:v>
      </x:c>
      <x:c r="D132" s="1" t="str">
        <x:v>24.2</x:v>
      </x:c>
      <x:c r="E132" s="22" t="str">
        <x:v>Subcontractor Risk Status</x:v>
      </x:c>
      <x:c r="F132" s="1" t="str">
        <x:v>Software implementation</x:v>
      </x:c>
      <x:c r="G132" s="1" t="str">
        <x:v>Planned</x:v>
      </x:c>
      <x:c r="H132" s="1" t="str">
        <x:v>Completed</x:v>
      </x:c>
      <x:c r="I132" s="1" t="n">
        <x:f>COUNTIFS('Task Tracker'!$C$5:$C$800,D132,'Task Tracker'!$I$5:$I$800,"Completed")</x:f>
        <x:v>5</x:v>
      </x:c>
      <x:c r="J132" s="1" t="n">
        <x:f>COUNTIF('Task Tracker'!$C$5:$C$800,D132)</x:f>
        <x:v>5</x:v>
      </x:c>
      <x:c r="K132" s="1" t="n">
        <x:f>J132-I132</x:f>
        <x:v>0</x:v>
      </x:c>
      <x:c r="L132" s="1" t="str">
        <x:v>24.1</x:v>
      </x:c>
      <x:c r="M132" s="22" t="str"/>
      <x:c r="N132" s="22" t="str">
        <x:v>Implementation trace plus focused smoke, automated, and story-level regression evidence</x:v>
      </x:c>
      <x:c r="O132" s="22" t="str">
        <x:v>/Users/devups/.codex/skills/gccs-story-sequence/SKILL.md</x:v>
      </x:c>
      <x:c r="P132" s="22" t="str">
        <x:v>Retain traceability; rerun focused verification if the affected boundary changes.</x:v>
      </x:c>
      <x:c r="Q132" s="22" t="str">
        <x:v>Story-labeled commit e8687b59 contains delivery and focused test/test-result files: feat: implement story 24.2 subcontractor risk status</x:v>
      </x:c>
      <x:c r="R132" s="22" t="str">
        <x:v>git commit e8687b592fb08fb507a36c261f07a320e477fd6a; /Users/devups/Development/CodexProjects/Gccs/docs/development-story-test-cases.md</x:v>
      </x:c>
      <x:c r="S132" s="22" t="str">
        <x:v>Completion is based on immutable repository evidence; tests were not rerun and current working-tree drift was not re-certified in this reporting-only task.</x:v>
      </x:c>
      <x:c r="T132" s="13" t="str"/>
      <x:c r="U132" s="15"/>
      <x:c r="V132" s="1" t="str">
        <x:f>IF(OR(H132="Completed",H132="Not Applicable"),"No","Yes")</x:f>
        <x:v>No</x:v>
      </x:c>
    </x:row>
    <x:row r="133" ht="55" customHeight="1">
      <x:c r="A133" s="1" t="n">
        <x:v>129</x:v>
      </x:c>
      <x:c r="B133" s="1" t="str">
        <x:v>Phase 2</x:v>
      </x:c>
      <x:c r="C133" s="22" t="str">
        <x:v>Contract-Specific Subcontractor Obligations</x:v>
      </x:c>
      <x:c r="D133" s="1" t="str">
        <x:v>24.3</x:v>
      </x:c>
      <x:c r="E133" s="22" t="str">
        <x:v>Contract-Specific Subcontractor Obligations</x:v>
      </x:c>
      <x:c r="F133" s="1" t="str">
        <x:v>Software implementation</x:v>
      </x:c>
      <x:c r="G133" s="1" t="str">
        <x:v>Planned</x:v>
      </x:c>
      <x:c r="H133" s="1" t="str">
        <x:v>Completed</x:v>
      </x:c>
      <x:c r="I133" s="1" t="n">
        <x:f>COUNTIFS('Task Tracker'!$C$5:$C$800,D133,'Task Tracker'!$I$5:$I$800,"Completed")</x:f>
        <x:v>5</x:v>
      </x:c>
      <x:c r="J133" s="1" t="n">
        <x:f>COUNTIF('Task Tracker'!$C$5:$C$800,D133)</x:f>
        <x:v>5</x:v>
      </x:c>
      <x:c r="K133" s="1" t="n">
        <x:f>J133-I133</x:f>
        <x:v>0</x:v>
      </x:c>
      <x:c r="L133" s="1" t="str">
        <x:v>24.2</x:v>
      </x:c>
      <x:c r="M133" s="22" t="str"/>
      <x:c r="N133" s="22" t="str">
        <x:v>Implementation trace plus focused smoke, automated, and story-level regression evidence</x:v>
      </x:c>
      <x:c r="O133" s="22" t="str">
        <x:v>/Users/devups/.codex/skills/gccs-story-sequence/SKILL.md</x:v>
      </x:c>
      <x:c r="P133" s="22" t="str">
        <x:v>Retain traceability; rerun focused verification if the affected boundary changes.</x:v>
      </x:c>
      <x:c r="Q133" s="22" t="str">
        <x:v>Story-labeled commit a3478234 contains delivery and focused test/test-result files: feat: implement story 24.3 supplier obligations</x:v>
      </x:c>
      <x:c r="R133" s="22" t="str">
        <x:v>git commit a34782346bf7d16defaf99c5d0f919ba635f172a; /Users/devups/Development/CodexProjects/Gccs/docs/development-story-test-cases.md</x:v>
      </x:c>
      <x:c r="S133" s="22" t="str">
        <x:v>Completion is based on immutable repository evidence; tests were not rerun and current working-tree drift was not re-certified in this reporting-only task.</x:v>
      </x:c>
      <x:c r="T133" s="13" t="str"/>
      <x:c r="U133" s="15"/>
      <x:c r="V133" s="1" t="str">
        <x:f>IF(OR(H133="Completed",H133="Not Applicable"),"No","Yes")</x:f>
        <x:v>No</x:v>
      </x:c>
    </x:row>
    <x:row r="134" ht="55" customHeight="1">
      <x:c r="A134" s="1" t="n">
        <x:v>130</x:v>
      </x:c>
      <x:c r="B134" s="1" t="str">
        <x:v>Phase 2</x:v>
      </x:c>
      <x:c r="C134" s="22" t="str">
        <x:v>Approved Template Library</x:v>
      </x:c>
      <x:c r="D134" s="1" t="str">
        <x:v>25.1</x:v>
      </x:c>
      <x:c r="E134" s="22" t="str">
        <x:v>Approved Template Library</x:v>
      </x:c>
      <x:c r="F134" s="1" t="str">
        <x:v>Software implementation</x:v>
      </x:c>
      <x:c r="G134" s="1" t="str">
        <x:v>Planned</x:v>
      </x:c>
      <x:c r="H134" s="1" t="str">
        <x:v>Completed</x:v>
      </x:c>
      <x:c r="I134" s="1" t="n">
        <x:f>COUNTIFS('Task Tracker'!$C$5:$C$800,D134,'Task Tracker'!$I$5:$I$800,"Completed")</x:f>
        <x:v>5</x:v>
      </x:c>
      <x:c r="J134" s="1" t="n">
        <x:f>COUNTIF('Task Tracker'!$C$5:$C$800,D134)</x:f>
        <x:v>5</x:v>
      </x:c>
      <x:c r="K134" s="1" t="n">
        <x:f>J134-I134</x:f>
        <x:v>0</x:v>
      </x:c>
      <x:c r="L134" s="1" t="str">
        <x:v>24.3</x:v>
      </x:c>
      <x:c r="M134" s="22" t="str"/>
      <x:c r="N134" s="22" t="str">
        <x:v>Implementation trace plus focused smoke, automated, and story-level regression evidence</x:v>
      </x:c>
      <x:c r="O134" s="22" t="str">
        <x:v>/Users/devups/.codex/skills/gccs-story-sequence/SKILL.md</x:v>
      </x:c>
      <x:c r="P134" s="22" t="str">
        <x:v>Retain traceability; rerun focused verification if the affected boundary changes.</x:v>
      </x:c>
      <x:c r="Q134" s="22" t="str">
        <x:v>Story-labeled commit 0daa2526 contains delivery and focused test/test-result files: feat: implement story 25.1 policy template library</x:v>
      </x:c>
      <x:c r="R134" s="22" t="str">
        <x:v>git commit 0daa252632f9726dbf8dc1d2eb9f5468326d4301; /Users/devups/Development/CodexProjects/Gccs/docs/development-story-test-cases.md</x:v>
      </x:c>
      <x:c r="S134" s="22" t="str">
        <x:v>Completion is based on immutable repository evidence; tests were not rerun and current working-tree drift was not re-certified in this reporting-only task.</x:v>
      </x:c>
      <x:c r="T134" s="13" t="str"/>
      <x:c r="U134" s="15"/>
      <x:c r="V134" s="1" t="str">
        <x:f>IF(OR(H134="Completed",H134="Not Applicable"),"No","Yes")</x:f>
        <x:v>No</x:v>
      </x:c>
    </x:row>
    <x:row r="135" ht="55" customHeight="1">
      <x:c r="A135" s="1" t="n">
        <x:v>131</x:v>
      </x:c>
      <x:c r="B135" s="1" t="str">
        <x:v>Phase 2</x:v>
      </x:c>
      <x:c r="C135" s="22" t="str">
        <x:v>Generate Draft Policy From Template</x:v>
      </x:c>
      <x:c r="D135" s="1" t="str">
        <x:v>25.2</x:v>
      </x:c>
      <x:c r="E135" s="22" t="str">
        <x:v>Generate Draft Policy From Template</x:v>
      </x:c>
      <x:c r="F135" s="1" t="str">
        <x:v>Software implementation</x:v>
      </x:c>
      <x:c r="G135" s="1" t="str">
        <x:v>Planned</x:v>
      </x:c>
      <x:c r="H135" s="1" t="str">
        <x:v>Completed</x:v>
      </x:c>
      <x:c r="I135" s="1" t="n">
        <x:f>COUNTIFS('Task Tracker'!$C$5:$C$800,D135,'Task Tracker'!$I$5:$I$800,"Completed")</x:f>
        <x:v>5</x:v>
      </x:c>
      <x:c r="J135" s="1" t="n">
        <x:f>COUNTIF('Task Tracker'!$C$5:$C$800,D135)</x:f>
        <x:v>5</x:v>
      </x:c>
      <x:c r="K135" s="1" t="n">
        <x:f>J135-I135</x:f>
        <x:v>0</x:v>
      </x:c>
      <x:c r="L135" s="1" t="str">
        <x:v>25.1</x:v>
      </x:c>
      <x:c r="M135" s="22" t="str"/>
      <x:c r="N135" s="22" t="str">
        <x:v>Implementation trace plus focused smoke, automated, and story-level regression evidence</x:v>
      </x:c>
      <x:c r="O135" s="22" t="str">
        <x:v>/Users/devups/.codex/skills/gccs-story-sequence/SKILL.md</x:v>
      </x:c>
      <x:c r="P135" s="22" t="str">
        <x:v>Retain traceability; rerun focused verification if the affected boundary changes.</x:v>
      </x:c>
      <x:c r="Q135" s="22" t="str">
        <x:v>Story-labeled commit dd077072 contains delivery and focused test/test-result files: feat: implement story 25.2 draft policy generation</x:v>
      </x:c>
      <x:c r="R135" s="22" t="str">
        <x:v>git commit dd077072409d94ba77c2809d84b1c5920c4ec093; /Users/devups/Development/CodexProjects/Gccs/docs/development-story-test-cases.md</x:v>
      </x:c>
      <x:c r="S135" s="22" t="str">
        <x:v>Completion is based on immutable repository evidence; tests were not rerun and current working-tree drift was not re-certified in this reporting-only task.</x:v>
      </x:c>
      <x:c r="T135" s="13" t="str"/>
      <x:c r="U135" s="15"/>
      <x:c r="V135" s="1" t="str">
        <x:f>IF(OR(H135="Completed",H135="Not Applicable"),"No","Yes")</x:f>
        <x:v>No</x:v>
      </x:c>
    </x:row>
    <x:row r="136" ht="55" customHeight="1">
      <x:c r="A136" s="1" t="n">
        <x:v>132</x:v>
      </x:c>
      <x:c r="B136" s="1" t="str">
        <x:v>Phase 2</x:v>
      </x:c>
      <x:c r="C136" s="22" t="str">
        <x:v>Policy Approval And Evidence Linking</x:v>
      </x:c>
      <x:c r="D136" s="1" t="str">
        <x:v>25.3</x:v>
      </x:c>
      <x:c r="E136" s="22" t="str">
        <x:v>Policy Approval And Evidence Linking</x:v>
      </x:c>
      <x:c r="F136" s="1" t="str">
        <x:v>Software implementation</x:v>
      </x:c>
      <x:c r="G136" s="1" t="str">
        <x:v>Planned</x:v>
      </x:c>
      <x:c r="H136" s="1" t="str">
        <x:v>Completed</x:v>
      </x:c>
      <x:c r="I136" s="1" t="n">
        <x:f>COUNTIFS('Task Tracker'!$C$5:$C$800,D136,'Task Tracker'!$I$5:$I$800,"Completed")</x:f>
        <x:v>5</x:v>
      </x:c>
      <x:c r="J136" s="1" t="n">
        <x:f>COUNTIF('Task Tracker'!$C$5:$C$800,D136)</x:f>
        <x:v>5</x:v>
      </x:c>
      <x:c r="K136" s="1" t="n">
        <x:f>J136-I136</x:f>
        <x:v>0</x:v>
      </x:c>
      <x:c r="L136" s="1" t="str">
        <x:v>25.2</x:v>
      </x:c>
      <x:c r="M136" s="22" t="str"/>
      <x:c r="N136" s="22" t="str">
        <x:v>Implementation trace plus focused smoke, automated, and story-level regression evidence</x:v>
      </x:c>
      <x:c r="O136" s="22" t="str">
        <x:v>/Users/devups/.codex/skills/gccs-story-sequence/SKILL.md</x:v>
      </x:c>
      <x:c r="P136" s="22" t="str">
        <x:v>Retain traceability; rerun focused verification if the affected boundary changes.</x:v>
      </x:c>
      <x:c r="Q136" s="22" t="str">
        <x:v>Story-labeled commit 64f25a5b contains delivery and focused test/test-result files: feat: implement story 25.3 policy approval evidence</x:v>
      </x:c>
      <x:c r="R136" s="22" t="str">
        <x:v>git commit 64f25a5b3b453a23b76542620c3cc66427703b14; /Users/devups/Development/CodexProjects/Gccs/docs/development-story-test-cases.md</x:v>
      </x:c>
      <x:c r="S136" s="22" t="str">
        <x:v>Completion is based on immutable repository evidence; tests were not rerun and current working-tree drift was not re-certified in this reporting-only task.</x:v>
      </x:c>
      <x:c r="T136" s="13" t="str"/>
      <x:c r="U136" s="15"/>
      <x:c r="V136" s="1" t="str">
        <x:f>IF(OR(H136="Completed",H136="Not Applicable"),"No","Yes")</x:f>
        <x:v>No</x:v>
      </x:c>
    </x:row>
    <x:row r="137" ht="55" customHeight="1">
      <x:c r="A137" s="1" t="n">
        <x:v>133</x:v>
      </x:c>
      <x:c r="B137" s="1" t="str">
        <x:v>Phase 2</x:v>
      </x:c>
      <x:c r="C137" s="22" t="str">
        <x:v>Evidence Request Creation</x:v>
      </x:c>
      <x:c r="D137" s="1" t="str">
        <x:v>26.1</x:v>
      </x:c>
      <x:c r="E137" s="22" t="str">
        <x:v>Evidence Request Creation</x:v>
      </x:c>
      <x:c r="F137" s="1" t="str">
        <x:v>Software implementation</x:v>
      </x:c>
      <x:c r="G137" s="1" t="str">
        <x:v>Planned</x:v>
      </x:c>
      <x:c r="H137" s="1" t="str">
        <x:v>Completed</x:v>
      </x:c>
      <x:c r="I137" s="1" t="n">
        <x:f>COUNTIFS('Task Tracker'!$C$5:$C$800,D137,'Task Tracker'!$I$5:$I$800,"Completed")</x:f>
        <x:v>5</x:v>
      </x:c>
      <x:c r="J137" s="1" t="n">
        <x:f>COUNTIF('Task Tracker'!$C$5:$C$800,D137)</x:f>
        <x:v>5</x:v>
      </x:c>
      <x:c r="K137" s="1" t="n">
        <x:f>J137-I137</x:f>
        <x:v>0</x:v>
      </x:c>
      <x:c r="L137" s="1" t="str">
        <x:v>25.3</x:v>
      </x:c>
      <x:c r="M137" s="22" t="str"/>
      <x:c r="N137" s="22" t="str">
        <x:v>Implementation trace plus focused smoke, automated, and story-level regression evidence</x:v>
      </x:c>
      <x:c r="O137" s="22" t="str">
        <x:v>/Users/devups/.codex/skills/gccs-story-sequence/SKILL.md</x:v>
      </x:c>
      <x:c r="P137" s="22" t="str">
        <x:v>Retain traceability; rerun focused verification if the affected boundary changes.</x:v>
      </x:c>
      <x:c r="Q137" s="22" t="str">
        <x:v>Story-labeled commit ac0e60c3 contains delivery and focused test/test-result files: feat: implement story 26.1 evidence request creation</x:v>
      </x:c>
      <x:c r="R137" s="22" t="str">
        <x:v>git commit ac0e60c32f9e130feafb02305447a890801c832d; /Users/devups/Development/CodexProjects/Gccs/docs/development-story-test-cases.md</x:v>
      </x:c>
      <x:c r="S137" s="22" t="str">
        <x:v>Completion is based on immutable repository evidence; tests were not rerun and current working-tree drift was not re-certified in this reporting-only task.</x:v>
      </x:c>
      <x:c r="T137" s="13" t="str"/>
      <x:c r="U137" s="15"/>
      <x:c r="V137" s="1" t="str">
        <x:f>IF(OR(H137="Completed",H137="Not Applicable"),"No","Yes")</x:f>
        <x:v>No</x:v>
      </x:c>
    </x:row>
    <x:row r="138" ht="55" customHeight="1">
      <x:c r="A138" s="1" t="n">
        <x:v>134</x:v>
      </x:c>
      <x:c r="B138" s="1" t="str">
        <x:v>Phase 2</x:v>
      </x:c>
      <x:c r="C138" s="22" t="str">
        <x:v>Evidence Submission And Review</x:v>
      </x:c>
      <x:c r="D138" s="1" t="str">
        <x:v>26.2</x:v>
      </x:c>
      <x:c r="E138" s="22" t="str">
        <x:v>Evidence Submission And Review</x:v>
      </x:c>
      <x:c r="F138" s="1" t="str">
        <x:v>Software implementation</x:v>
      </x:c>
      <x:c r="G138" s="1" t="str">
        <x:v>Planned</x:v>
      </x:c>
      <x:c r="H138" s="1" t="str">
        <x:v>Completed</x:v>
      </x:c>
      <x:c r="I138" s="1" t="n">
        <x:f>COUNTIFS('Task Tracker'!$C$5:$C$800,D138,'Task Tracker'!$I$5:$I$800,"Completed")</x:f>
        <x:v>5</x:v>
      </x:c>
      <x:c r="J138" s="1" t="n">
        <x:f>COUNTIF('Task Tracker'!$C$5:$C$800,D138)</x:f>
        <x:v>5</x:v>
      </x:c>
      <x:c r="K138" s="1" t="n">
        <x:f>J138-I138</x:f>
        <x:v>0</x:v>
      </x:c>
      <x:c r="L138" s="1" t="str">
        <x:v>26.1</x:v>
      </x:c>
      <x:c r="M138" s="22" t="str"/>
      <x:c r="N138" s="22" t="str">
        <x:v>Implementation trace plus focused smoke, automated, and story-level regression evidence</x:v>
      </x:c>
      <x:c r="O138" s="22" t="str">
        <x:v>/Users/devups/.codex/skills/gccs-story-sequence/SKILL.md</x:v>
      </x:c>
      <x:c r="P138" s="22" t="str">
        <x:v>Retain traceability; rerun focused verification if the affected boundary changes.</x:v>
      </x:c>
      <x:c r="Q138" s="22" t="str">
        <x:v>Story-labeled commit df020ea4 contains delivery and focused test/test-result files: feat: implement story 26.2 evidence request review</x:v>
      </x:c>
      <x:c r="R138" s="22" t="str">
        <x:v>git commit df020ea4f8f8cb7fb8a2ddd480d885b77c16edc1; /Users/devups/Development/CodexProjects/Gccs/docs/development-story-test-cases.md</x:v>
      </x:c>
      <x:c r="S138" s="22" t="str">
        <x:v>Completion is based on immutable repository evidence; tests were not rerun and current working-tree drift was not re-certified in this reporting-only task.</x:v>
      </x:c>
      <x:c r="T138" s="13" t="str"/>
      <x:c r="U138" s="15"/>
      <x:c r="V138" s="1" t="str">
        <x:f>IF(OR(H138="Completed",H138="Not Applicable"),"No","Yes")</x:f>
        <x:v>No</x:v>
      </x:c>
    </x:row>
    <x:row r="139" ht="55" customHeight="1">
      <x:c r="A139" s="1" t="n">
        <x:v>135</x:v>
      </x:c>
      <x:c r="B139" s="1" t="str">
        <x:v>Phase 2</x:v>
      </x:c>
      <x:c r="C139" s="22" t="str">
        <x:v>Evidence Request Dashboard</x:v>
      </x:c>
      <x:c r="D139" s="1" t="str">
        <x:v>26.3</x:v>
      </x:c>
      <x:c r="E139" s="22" t="str">
        <x:v>Evidence Request Dashboard</x:v>
      </x:c>
      <x:c r="F139" s="1" t="str">
        <x:v>Software implementation</x:v>
      </x:c>
      <x:c r="G139" s="1" t="str">
        <x:v>Planned</x:v>
      </x:c>
      <x:c r="H139" s="1" t="str">
        <x:v>Completed</x:v>
      </x:c>
      <x:c r="I139" s="1" t="n">
        <x:f>COUNTIFS('Task Tracker'!$C$5:$C$800,D139,'Task Tracker'!$I$5:$I$800,"Completed")</x:f>
        <x:v>5</x:v>
      </x:c>
      <x:c r="J139" s="1" t="n">
        <x:f>COUNTIF('Task Tracker'!$C$5:$C$800,D139)</x:f>
        <x:v>5</x:v>
      </x:c>
      <x:c r="K139" s="1" t="n">
        <x:f>J139-I139</x:f>
        <x:v>0</x:v>
      </x:c>
      <x:c r="L139" s="1" t="str">
        <x:v>26.2</x:v>
      </x:c>
      <x:c r="M139" s="22" t="str"/>
      <x:c r="N139" s="22" t="str">
        <x:v>Implementation trace plus focused smoke, automated, and story-level regression evidence</x:v>
      </x:c>
      <x:c r="O139" s="22" t="str">
        <x:v>/Users/devups/.codex/skills/gccs-story-sequence/SKILL.md</x:v>
      </x:c>
      <x:c r="P139" s="22" t="str">
        <x:v>Retain traceability; rerun focused verification if the affected boundary changes.</x:v>
      </x:c>
      <x:c r="Q139" s="22" t="str">
        <x:v>Story-labeled commit 23bdfff0 contains delivery and focused test/test-result files: feat: implement story 26.3 evidence request dashboard</x:v>
      </x:c>
      <x:c r="R139" s="22" t="str">
        <x:v>git commit 23bdfff01f4622694f5033975134b9fb93753769; /Users/devups/Development/CodexProjects/Gccs/docs/development-story-test-cases.md</x:v>
      </x:c>
      <x:c r="S139" s="22" t="str">
        <x:v>Completion is based on immutable repository evidence; tests were not rerun and current working-tree drift was not re-certified in this reporting-only task.</x:v>
      </x:c>
      <x:c r="T139" s="13" t="str"/>
      <x:c r="U139" s="15"/>
      <x:c r="V139" s="1" t="str">
        <x:f>IF(OR(H139="Completed",H139="Not Applicable"),"No","Yes")</x:f>
        <x:v>No</x:v>
      </x:c>
    </x:row>
    <x:row r="140" ht="55" customHeight="1">
      <x:c r="A140" s="1" t="n">
        <x:v>136</x:v>
      </x:c>
      <x:c r="B140" s="1" t="str">
        <x:v>Phase 2</x:v>
      </x:c>
      <x:c r="C140" s="22" t="str">
        <x:v>Level 2 Control Assessment Detail</x:v>
      </x:c>
      <x:c r="D140" s="1" t="str">
        <x:v>27.1</x:v>
      </x:c>
      <x:c r="E140" s="22" t="str">
        <x:v>Level 2 Control Assessment Detail</x:v>
      </x:c>
      <x:c r="F140" s="1" t="str">
        <x:v>Software implementation</x:v>
      </x:c>
      <x:c r="G140" s="1" t="str">
        <x:v>Planned</x:v>
      </x:c>
      <x:c r="H140" s="1" t="str">
        <x:v>Completed</x:v>
      </x:c>
      <x:c r="I140" s="1" t="n">
        <x:f>COUNTIFS('Task Tracker'!$C$5:$C$800,D140,'Task Tracker'!$I$5:$I$800,"Completed")</x:f>
        <x:v>5</x:v>
      </x:c>
      <x:c r="J140" s="1" t="n">
        <x:f>COUNTIF('Task Tracker'!$C$5:$C$800,D140)</x:f>
        <x:v>5</x:v>
      </x:c>
      <x:c r="K140" s="1" t="n">
        <x:f>J140-I140</x:f>
        <x:v>0</x:v>
      </x:c>
      <x:c r="L140" s="1" t="str">
        <x:v>26.3</x:v>
      </x:c>
      <x:c r="M140" s="22" t="str"/>
      <x:c r="N140" s="22" t="str">
        <x:v>Implementation trace plus focused smoke, automated, and story-level regression evidence</x:v>
      </x:c>
      <x:c r="O140" s="22" t="str">
        <x:v>/Users/devups/.codex/skills/gccs-story-sequence/SKILL.md</x:v>
      </x:c>
      <x:c r="P140" s="22" t="str">
        <x:v>Retain traceability; rerun focused verification if the affected boundary changes.</x:v>
      </x:c>
      <x:c r="Q140" s="22" t="str">
        <x:v>Story-labeled commit adc68858 contains delivery and focused test/test-result files: feat: implement story 27.1 control assessment detail</x:v>
      </x:c>
      <x:c r="R140" s="22" t="str">
        <x:v>git commit adc68858b77a627e4dd43fb225df6f4936694f63; /Users/devups/Development/CodexProjects/Gccs/docs/development-story-test-cases.md</x:v>
      </x:c>
      <x:c r="S140" s="22" t="str">
        <x:v>Completion is based on immutable repository evidence; tests were not rerun and current working-tree drift was not re-certified in this reporting-only task.</x:v>
      </x:c>
      <x:c r="T140" s="13" t="str"/>
      <x:c r="U140" s="15"/>
      <x:c r="V140" s="1" t="str">
        <x:f>IF(OR(H140="Completed",H140="Not Applicable"),"No","Yes")</x:f>
        <x:v>No</x:v>
      </x:c>
    </x:row>
    <x:row r="141" ht="55" customHeight="1">
      <x:c r="A141" s="1" t="n">
        <x:v>137</x:v>
      </x:c>
      <x:c r="B141" s="1" t="str">
        <x:v>Phase 2</x:v>
      </x:c>
      <x:c r="C141" s="22" t="str">
        <x:v>Responsibility Matrix</x:v>
      </x:c>
      <x:c r="D141" s="1" t="str">
        <x:v>27.2</x:v>
      </x:c>
      <x:c r="E141" s="22" t="str">
        <x:v>Responsibility Matrix</x:v>
      </x:c>
      <x:c r="F141" s="1" t="str">
        <x:v>Software implementation</x:v>
      </x:c>
      <x:c r="G141" s="1" t="str">
        <x:v>Planned</x:v>
      </x:c>
      <x:c r="H141" s="1" t="str">
        <x:v>Completed</x:v>
      </x:c>
      <x:c r="I141" s="1" t="n">
        <x:f>COUNTIFS('Task Tracker'!$C$5:$C$800,D141,'Task Tracker'!$I$5:$I$800,"Completed")</x:f>
        <x:v>5</x:v>
      </x:c>
      <x:c r="J141" s="1" t="n">
        <x:f>COUNTIF('Task Tracker'!$C$5:$C$800,D141)</x:f>
        <x:v>5</x:v>
      </x:c>
      <x:c r="K141" s="1" t="n">
        <x:f>J141-I141</x:f>
        <x:v>0</x:v>
      </x:c>
      <x:c r="L141" s="1" t="str">
        <x:v>27.1</x:v>
      </x:c>
      <x:c r="M141" s="22" t="str"/>
      <x:c r="N141" s="22" t="str">
        <x:v>Implementation trace plus focused smoke, automated, and story-level regression evidence</x:v>
      </x:c>
      <x:c r="O141" s="22" t="str">
        <x:v>/Users/devups/.codex/skills/gccs-story-sequence/SKILL.md</x:v>
      </x:c>
      <x:c r="P141" s="22" t="str">
        <x:v>Retain traceability; rerun focused verification if the affected boundary changes.</x:v>
      </x:c>
      <x:c r="Q141" s="22" t="str">
        <x:v>Story-labeled commit eeeb4ece contains delivery and focused test/test-result files: feat: implement story 27.2 responsibility matrix</x:v>
      </x:c>
      <x:c r="R141" s="22" t="str">
        <x:v>git commit eeeb4ecea34e99ec89f99493469d9546ffab96c4; /Users/devups/Development/CodexProjects/Gccs/docs/development-story-test-cases.md</x:v>
      </x:c>
      <x:c r="S141" s="22" t="str">
        <x:v>Completion is based on immutable repository evidence; tests were not rerun and current working-tree drift was not re-certified in this reporting-only task.</x:v>
      </x:c>
      <x:c r="T141" s="13" t="str"/>
      <x:c r="U141" s="15"/>
      <x:c r="V141" s="1" t="str">
        <x:f>IF(OR(H141="Completed",H141="Not Applicable"),"No","Yes")</x:f>
        <x:v>No</x:v>
      </x:c>
    </x:row>
    <x:row r="142" ht="55" customHeight="1">
      <x:c r="A142" s="1" t="n">
        <x:v>138</x:v>
      </x:c>
      <x:c r="B142" s="1" t="str">
        <x:v>Phase 2</x:v>
      </x:c>
      <x:c r="C142" s="22" t="str">
        <x:v>Readiness Gap Prioritization</x:v>
      </x:c>
      <x:c r="D142" s="1" t="str">
        <x:v>27.3</x:v>
      </x:c>
      <x:c r="E142" s="22" t="str">
        <x:v>Readiness Gap Prioritization</x:v>
      </x:c>
      <x:c r="F142" s="1" t="str">
        <x:v>Software implementation</x:v>
      </x:c>
      <x:c r="G142" s="1" t="str">
        <x:v>Planned</x:v>
      </x:c>
      <x:c r="H142" s="1" t="str">
        <x:v>Completed</x:v>
      </x:c>
      <x:c r="I142" s="1" t="n">
        <x:f>COUNTIFS('Task Tracker'!$C$5:$C$800,D142,'Task Tracker'!$I$5:$I$800,"Completed")</x:f>
        <x:v>5</x:v>
      </x:c>
      <x:c r="J142" s="1" t="n">
        <x:f>COUNTIF('Task Tracker'!$C$5:$C$800,D142)</x:f>
        <x:v>5</x:v>
      </x:c>
      <x:c r="K142" s="1" t="n">
        <x:f>J142-I142</x:f>
        <x:v>0</x:v>
      </x:c>
      <x:c r="L142" s="1" t="str">
        <x:v>27.2</x:v>
      </x:c>
      <x:c r="M142" s="22" t="str"/>
      <x:c r="N142" s="22" t="str">
        <x:v>Implementation trace plus focused smoke, automated, and story-level regression evidence</x:v>
      </x:c>
      <x:c r="O142" s="22" t="str">
        <x:v>/Users/devups/.codex/skills/gccs-story-sequence/SKILL.md</x:v>
      </x:c>
      <x:c r="P142" s="22" t="str">
        <x:v>Retain traceability; rerun focused verification if the affected boundary changes.</x:v>
      </x:c>
      <x:c r="Q142" s="22" t="str">
        <x:v>Story-labeled commit fb48aaa9 contains delivery and focused test/test-result files: feat: implement story 27.3 readiness gap prioritization</x:v>
      </x:c>
      <x:c r="R142" s="22" t="str">
        <x:v>git commit fb48aaa9115b8dc109980d2bb577b27fdc9974d6; /Users/devups/Development/CodexProjects/Gccs/docs/development-story-test-cases.md</x:v>
      </x:c>
      <x:c r="S142" s="22" t="str">
        <x:v>Completion is based on immutable repository evidence; tests were not rerun and current working-tree drift was not re-certified in this reporting-only task.</x:v>
      </x:c>
      <x:c r="T142" s="13" t="str"/>
      <x:c r="U142" s="15"/>
      <x:c r="V142" s="1" t="str">
        <x:f>IF(OR(H142="Completed",H142="Not Applicable"),"No","Yes")</x:f>
        <x:v>No</x:v>
      </x:c>
    </x:row>
    <x:row r="143" ht="55" customHeight="1">
      <x:c r="A143" s="1" t="n">
        <x:v>139</x:v>
      </x:c>
      <x:c r="B143" s="1" t="str">
        <x:v>Phase 2</x:v>
      </x:c>
      <x:c r="C143" s="22" t="str">
        <x:v>Level 2 Readiness Report</x:v>
      </x:c>
      <x:c r="D143" s="1" t="str">
        <x:v>27.4</x:v>
      </x:c>
      <x:c r="E143" s="22" t="str">
        <x:v>Level 2 Readiness Report</x:v>
      </x:c>
      <x:c r="F143" s="1" t="str">
        <x:v>Software implementation</x:v>
      </x:c>
      <x:c r="G143" s="1" t="str">
        <x:v>Planned</x:v>
      </x:c>
      <x:c r="H143" s="1" t="str">
        <x:v>Completed</x:v>
      </x:c>
      <x:c r="I143" s="1" t="n">
        <x:f>COUNTIFS('Task Tracker'!$C$5:$C$800,D143,'Task Tracker'!$I$5:$I$800,"Completed")</x:f>
        <x:v>5</x:v>
      </x:c>
      <x:c r="J143" s="1" t="n">
        <x:f>COUNTIF('Task Tracker'!$C$5:$C$800,D143)</x:f>
        <x:v>5</x:v>
      </x:c>
      <x:c r="K143" s="1" t="n">
        <x:f>J143-I143</x:f>
        <x:v>0</x:v>
      </x:c>
      <x:c r="L143" s="1" t="str">
        <x:v>27.3</x:v>
      </x:c>
      <x:c r="M143" s="22" t="str"/>
      <x:c r="N143" s="22" t="str">
        <x:v>Implementation trace plus focused smoke, automated, and story-level regression evidence</x:v>
      </x:c>
      <x:c r="O143" s="22" t="str">
        <x:v>/Users/devups/.codex/skills/gccs-story-sequence/SKILL.md</x:v>
      </x:c>
      <x:c r="P143" s="22" t="str">
        <x:v>Retain traceability; rerun focused verification if the affected boundary changes.</x:v>
      </x:c>
      <x:c r="Q143" s="22" t="str">
        <x:v>Story-labeled commit a3911b7c contains delivery and focused test/test-result files: feat: implement story 27.4 level 2 readiness report</x:v>
      </x:c>
      <x:c r="R143" s="22" t="str">
        <x:v>git commit a3911b7c779f8b6adae14fa9911cde37ae2e8e6a; /Users/devups/Development/CodexProjects/Gccs/docs/development-story-test-cases.md</x:v>
      </x:c>
      <x:c r="S143" s="22" t="str">
        <x:v>Completion is based on immutable repository evidence; tests were not rerun and current working-tree drift was not re-certified in this reporting-only task.</x:v>
      </x:c>
      <x:c r="T143" s="13" t="str"/>
      <x:c r="U143" s="15"/>
      <x:c r="V143" s="1" t="str">
        <x:f>IF(OR(H143="Completed",H143="Not Applicable"),"No","Yes")</x:f>
        <x:v>No</x:v>
      </x:c>
    </x:row>
    <x:row r="144" ht="55" customHeight="1">
      <x:c r="A144" s="1" t="n">
        <x:v>140</x:v>
      </x:c>
      <x:c r="B144" s="1" t="str">
        <x:v>Phase 2</x:v>
      </x:c>
      <x:c r="C144" s="22" t="str">
        <x:v>Curated Test Document Set</x:v>
      </x:c>
      <x:c r="D144" s="1" t="str">
        <x:v>28.1</x:v>
      </x:c>
      <x:c r="E144" s="22" t="str">
        <x:v>Curated Test Document Set</x:v>
      </x:c>
      <x:c r="F144" s="1" t="str">
        <x:v>Software implementation</x:v>
      </x:c>
      <x:c r="G144" s="1" t="str">
        <x:v>Planned</x:v>
      </x:c>
      <x:c r="H144" s="1" t="str">
        <x:v>Completed</x:v>
      </x:c>
      <x:c r="I144" s="1" t="n">
        <x:f>COUNTIFS('Task Tracker'!$C$5:$C$800,D144,'Task Tracker'!$I$5:$I$800,"Completed")</x:f>
        <x:v>5</x:v>
      </x:c>
      <x:c r="J144" s="1" t="n">
        <x:f>COUNTIF('Task Tracker'!$C$5:$C$800,D144)</x:f>
        <x:v>5</x:v>
      </x:c>
      <x:c r="K144" s="1" t="n">
        <x:f>J144-I144</x:f>
        <x:v>0</x:v>
      </x:c>
      <x:c r="L144" s="1" t="str">
        <x:v>27.4</x:v>
      </x:c>
      <x:c r="M144" s="22" t="str"/>
      <x:c r="N144" s="22" t="str">
        <x:v>Implementation trace plus focused smoke, automated, and story-level regression evidence</x:v>
      </x:c>
      <x:c r="O144" s="22" t="str">
        <x:v>/Users/devups/.codex/skills/gccs-story-sequence/SKILL.md</x:v>
      </x:c>
      <x:c r="P144" s="22" t="str">
        <x:v>Retain traceability; rerun focused verification if the affected boundary changes.</x:v>
      </x:c>
      <x:c r="Q144" s="22" t="str">
        <x:v>Story-labeled commit 5d9a5ef3 contains delivery and focused test/test-result files: Implement Story 28.1: Curated Test Document Set,Story 28.2: Precision And Recall Evaluation and Story 28.3: Extraction Regression Review.</x:v>
      </x:c>
      <x:c r="R144" s="22" t="str">
        <x:v>git commit 5d9a5ef3cb3c1e4cf0b8783c83494440ac9325ab; /Users/devups/Development/CodexProjects/Gccs/docs/development-story-test-cases.md</x:v>
      </x:c>
      <x:c r="S144" s="22" t="str">
        <x:v>Completion is based on immutable repository evidence; tests were not rerun and current working-tree drift was not re-certified in this reporting-only task.</x:v>
      </x:c>
      <x:c r="T144" s="13" t="str"/>
      <x:c r="U144" s="15"/>
      <x:c r="V144" s="1" t="str">
        <x:f>IF(OR(H144="Completed",H144="Not Applicable"),"No","Yes")</x:f>
        <x:v>No</x:v>
      </x:c>
    </x:row>
    <x:row r="145" ht="55" customHeight="1">
      <x:c r="A145" s="1" t="n">
        <x:v>141</x:v>
      </x:c>
      <x:c r="B145" s="1" t="str">
        <x:v>Phase 2</x:v>
      </x:c>
      <x:c r="C145" s="22" t="str">
        <x:v>Precision And Recall Evaluation</x:v>
      </x:c>
      <x:c r="D145" s="1" t="str">
        <x:v>28.2</x:v>
      </x:c>
      <x:c r="E145" s="22" t="str">
        <x:v>Precision And Recall Evaluation</x:v>
      </x:c>
      <x:c r="F145" s="1" t="str">
        <x:v>Software implementation</x:v>
      </x:c>
      <x:c r="G145" s="1" t="str">
        <x:v>Planned</x:v>
      </x:c>
      <x:c r="H145" s="1" t="str">
        <x:v>Completed</x:v>
      </x:c>
      <x:c r="I145" s="1" t="n">
        <x:f>COUNTIFS('Task Tracker'!$C$5:$C$800,D145,'Task Tracker'!$I$5:$I$800,"Completed")</x:f>
        <x:v>5</x:v>
      </x:c>
      <x:c r="J145" s="1" t="n">
        <x:f>COUNTIF('Task Tracker'!$C$5:$C$800,D145)</x:f>
        <x:v>5</x:v>
      </x:c>
      <x:c r="K145" s="1" t="n">
        <x:f>J145-I145</x:f>
        <x:v>0</x:v>
      </x:c>
      <x:c r="L145" s="1" t="str">
        <x:v>28.1</x:v>
      </x:c>
      <x:c r="M145" s="22" t="str"/>
      <x:c r="N145" s="22" t="str">
        <x:v>Implementation trace plus focused smoke, automated, and story-level regression evidence</x:v>
      </x:c>
      <x:c r="O145" s="22" t="str">
        <x:v>/Users/devups/.codex/skills/gccs-story-sequence/SKILL.md</x:v>
      </x:c>
      <x:c r="P145" s="22" t="str">
        <x:v>Retain traceability; rerun focused verification if the affected boundary changes.</x:v>
      </x:c>
      <x:c r="Q145" s="22" t="str">
        <x:v>Story-labeled commit 5d9a5ef3 contains delivery and focused test/test-result files: Implement Story 28.1: Curated Test Document Set,Story 28.2: Precision And Recall Evaluation and Story 28.3: Extraction Regression Review.</x:v>
      </x:c>
      <x:c r="R145" s="22" t="str">
        <x:v>git commit 5d9a5ef3cb3c1e4cf0b8783c83494440ac9325ab; /Users/devups/Development/CodexProjects/Gccs/docs/development-story-test-cases.md</x:v>
      </x:c>
      <x:c r="S145" s="22" t="str">
        <x:v>Completion is based on immutable repository evidence; tests were not rerun and current working-tree drift was not re-certified in this reporting-only task.</x:v>
      </x:c>
      <x:c r="T145" s="13" t="str"/>
      <x:c r="U145" s="15"/>
      <x:c r="V145" s="1" t="str">
        <x:f>IF(OR(H145="Completed",H145="Not Applicable"),"No","Yes")</x:f>
        <x:v>No</x:v>
      </x:c>
    </x:row>
    <x:row r="146" ht="55" customHeight="1">
      <x:c r="A146" s="1" t="n">
        <x:v>142</x:v>
      </x:c>
      <x:c r="B146" s="1" t="str">
        <x:v>Phase 2</x:v>
      </x:c>
      <x:c r="C146" s="22" t="str">
        <x:v>Extraction Regression Review</x:v>
      </x:c>
      <x:c r="D146" s="1" t="str">
        <x:v>28.3</x:v>
      </x:c>
      <x:c r="E146" s="22" t="str">
        <x:v>Extraction Regression Review</x:v>
      </x:c>
      <x:c r="F146" s="1" t="str">
        <x:v>Software implementation</x:v>
      </x:c>
      <x:c r="G146" s="1" t="str">
        <x:v>Planned</x:v>
      </x:c>
      <x:c r="H146" s="1" t="str">
        <x:v>Completed</x:v>
      </x:c>
      <x:c r="I146" s="1" t="n">
        <x:f>COUNTIFS('Task Tracker'!$C$5:$C$800,D146,'Task Tracker'!$I$5:$I$800,"Completed")</x:f>
        <x:v>5</x:v>
      </x:c>
      <x:c r="J146" s="1" t="n">
        <x:f>COUNTIF('Task Tracker'!$C$5:$C$800,D146)</x:f>
        <x:v>5</x:v>
      </x:c>
      <x:c r="K146" s="1" t="n">
        <x:f>J146-I146</x:f>
        <x:v>0</x:v>
      </x:c>
      <x:c r="L146" s="1" t="str">
        <x:v>28.2</x:v>
      </x:c>
      <x:c r="M146" s="22" t="str"/>
      <x:c r="N146" s="22" t="str">
        <x:v>Implementation trace plus focused smoke, automated, and story-level regression evidence</x:v>
      </x:c>
      <x:c r="O146" s="22" t="str">
        <x:v>/Users/devups/.codex/skills/gccs-story-sequence/SKILL.md</x:v>
      </x:c>
      <x:c r="P146" s="22" t="str">
        <x:v>Retain traceability; rerun focused verification if the affected boundary changes.</x:v>
      </x:c>
      <x:c r="Q146" s="22" t="str">
        <x:v>Story-labeled commit 5d9a5ef3 contains delivery and focused test/test-result files: Implement Story 28.1: Curated Test Document Set,Story 28.2: Precision And Recall Evaluation and Story 28.3: Extraction Regression Review.</x:v>
      </x:c>
      <x:c r="R146" s="22" t="str">
        <x:v>git commit 5d9a5ef3cb3c1e4cf0b8783c83494440ac9325ab; /Users/devups/Development/CodexProjects/Gccs/docs/development-story-test-cases.md</x:v>
      </x:c>
      <x:c r="S146" s="22" t="str">
        <x:v>Completion is based on immutable repository evidence; tests were not rerun and current working-tree drift was not re-certified in this reporting-only task.</x:v>
      </x:c>
      <x:c r="T146" s="13" t="str"/>
      <x:c r="U146" s="15"/>
      <x:c r="V146" s="1" t="str">
        <x:f>IF(OR(H146="Completed",H146="Not Applicable"),"No","Yes")</x:f>
        <x:v>No</x:v>
      </x:c>
    </x:row>
    <x:row r="147" ht="55" customHeight="1">
      <x:c r="A147" s="1" t="n">
        <x:v>143</x:v>
      </x:c>
      <x:c r="B147" s="1" t="str">
        <x:v>Phase 3</x:v>
      </x:c>
      <x:c r="C147" s="22" t="str">
        <x:v>SSP Data Model And Sections</x:v>
      </x:c>
      <x:c r="D147" s="1" t="str">
        <x:v>29.1</x:v>
      </x:c>
      <x:c r="E147" s="22" t="str">
        <x:v>SSP Data Model And Sections</x:v>
      </x:c>
      <x:c r="F147" s="1" t="str">
        <x:v>Software implementation</x:v>
      </x:c>
      <x:c r="G147" s="1" t="str">
        <x:v>Planned</x:v>
      </x:c>
      <x:c r="H147" s="1" t="str">
        <x:v>Completed</x:v>
      </x:c>
      <x:c r="I147" s="1" t="n">
        <x:f>COUNTIFS('Task Tracker'!$C$5:$C$800,D147,'Task Tracker'!$I$5:$I$800,"Completed")</x:f>
        <x:v>5</x:v>
      </x:c>
      <x:c r="J147" s="1" t="n">
        <x:f>COUNTIF('Task Tracker'!$C$5:$C$800,D147)</x:f>
        <x:v>5</x:v>
      </x:c>
      <x:c r="K147" s="1" t="n">
        <x:f>J147-I147</x:f>
        <x:v>0</x:v>
      </x:c>
      <x:c r="L147" s="1" t="str"/>
      <x:c r="M147" s="22" t="str"/>
      <x:c r="N147" s="22" t="str">
        <x:v>Implementation trace plus focused smoke, automated, and story-level regression evidence</x:v>
      </x:c>
      <x:c r="O147" s="22" t="str">
        <x:v>/Users/devups/.codex/skills/gccs-story-sequence/SKILL.md</x:v>
      </x:c>
      <x:c r="P147" s="22" t="str">
        <x:v>Retain traceability; rerun focused verification if the affected boundary changes.</x:v>
      </x:c>
      <x:c r="Q147" s="22" t="str">
        <x:v>Story-labeled commit 5ae47c84 contains delivery and focused test/test-result files: feat: implement story 29.1 ssp data model sections</x:v>
      </x:c>
      <x:c r="R147" s="22" t="str">
        <x:v>git commit 5ae47c84afa3620c727f80007ff49d9542215964; /Users/devups/Development/CodexProjects/Gccs/docs/development-story-test-cases.md</x:v>
      </x:c>
      <x:c r="S147" s="22" t="str">
        <x:v>Completion is based on immutable repository evidence; tests were not rerun and current working-tree drift was not re-certified in this reporting-only task.</x:v>
      </x:c>
      <x:c r="T147" s="13" t="str"/>
      <x:c r="U147" s="15"/>
      <x:c r="V147" s="1" t="str">
        <x:f>IF(OR(H147="Completed",H147="Not Applicable"),"No","Yes")</x:f>
        <x:v>No</x:v>
      </x:c>
    </x:row>
    <x:row r="148" ht="55" customHeight="1">
      <x:c r="A148" s="1" t="n">
        <x:v>144</x:v>
      </x:c>
      <x:c r="B148" s="1" t="str">
        <x:v>Phase 3</x:v>
      </x:c>
      <x:c r="C148" s="22" t="str">
        <x:v>SSP Narrative Builder</x:v>
      </x:c>
      <x:c r="D148" s="1" t="str">
        <x:v>29.2</x:v>
      </x:c>
      <x:c r="E148" s="22" t="str">
        <x:v>SSP Narrative Builder</x:v>
      </x:c>
      <x:c r="F148" s="1" t="str">
        <x:v>Software implementation</x:v>
      </x:c>
      <x:c r="G148" s="1" t="str">
        <x:v>Planned</x:v>
      </x:c>
      <x:c r="H148" s="1" t="str">
        <x:v>Completed</x:v>
      </x:c>
      <x:c r="I148" s="1" t="n">
        <x:f>COUNTIFS('Task Tracker'!$C$5:$C$800,D148,'Task Tracker'!$I$5:$I$800,"Completed")</x:f>
        <x:v>5</x:v>
      </x:c>
      <x:c r="J148" s="1" t="n">
        <x:f>COUNTIF('Task Tracker'!$C$5:$C$800,D148)</x:f>
        <x:v>5</x:v>
      </x:c>
      <x:c r="K148" s="1" t="n">
        <x:f>J148-I148</x:f>
        <x:v>0</x:v>
      </x:c>
      <x:c r="L148" s="1" t="str">
        <x:v>29.1</x:v>
      </x:c>
      <x:c r="M148" s="22" t="str"/>
      <x:c r="N148" s="22" t="str">
        <x:v>Implementation trace plus focused smoke, automated, and story-level regression evidence</x:v>
      </x:c>
      <x:c r="O148" s="22" t="str">
        <x:v>/Users/devups/.codex/skills/gccs-story-sequence/SKILL.md</x:v>
      </x:c>
      <x:c r="P148" s="22" t="str">
        <x:v>Retain traceability; rerun focused verification if the affected boundary changes.</x:v>
      </x:c>
      <x:c r="Q148" s="22" t="str">
        <x:v>Story-labeled commit 72fc12f7 contains delivery and focused test/test-result files: feat: implement story 29.2 ssp narrative builder</x:v>
      </x:c>
      <x:c r="R148" s="22" t="str">
        <x:v>git commit 72fc12f711dbf06d9eeb7c29e1024747dfe15a00; /Users/devups/Development/CodexProjects/Gccs/docs/development-story-test-cases.md</x:v>
      </x:c>
      <x:c r="S148" s="22" t="str">
        <x:v>Completion is based on immutable repository evidence; tests were not rerun and current working-tree drift was not re-certified in this reporting-only task.</x:v>
      </x:c>
      <x:c r="T148" s="13" t="str"/>
      <x:c r="U148" s="15"/>
      <x:c r="V148" s="1" t="str">
        <x:f>IF(OR(H148="Completed",H148="Not Applicable"),"No","Yes")</x:f>
        <x:v>No</x:v>
      </x:c>
    </x:row>
    <x:row r="149" ht="55" customHeight="1">
      <x:c r="A149" s="1" t="n">
        <x:v>145</x:v>
      </x:c>
      <x:c r="B149" s="1" t="str">
        <x:v>Phase 3</x:v>
      </x:c>
      <x:c r="C149" s="22" t="str">
        <x:v>SSP Export And Review Package</x:v>
      </x:c>
      <x:c r="D149" s="1" t="str">
        <x:v>29.3</x:v>
      </x:c>
      <x:c r="E149" s="22" t="str">
        <x:v>SSP Export And Review Package</x:v>
      </x:c>
      <x:c r="F149" s="1" t="str">
        <x:v>Software implementation</x:v>
      </x:c>
      <x:c r="G149" s="1" t="str">
        <x:v>Planned</x:v>
      </x:c>
      <x:c r="H149" s="1" t="str">
        <x:v>Completed</x:v>
      </x:c>
      <x:c r="I149" s="1" t="n">
        <x:f>COUNTIFS('Task Tracker'!$C$5:$C$800,D149,'Task Tracker'!$I$5:$I$800,"Completed")</x:f>
        <x:v>5</x:v>
      </x:c>
      <x:c r="J149" s="1" t="n">
        <x:f>COUNTIF('Task Tracker'!$C$5:$C$800,D149)</x:f>
        <x:v>5</x:v>
      </x:c>
      <x:c r="K149" s="1" t="n">
        <x:f>J149-I149</x:f>
        <x:v>0</x:v>
      </x:c>
      <x:c r="L149" s="1" t="str">
        <x:v>29.2</x:v>
      </x:c>
      <x:c r="M149" s="22" t="str"/>
      <x:c r="N149" s="22" t="str">
        <x:v>Implementation trace plus focused smoke, automated, and story-level regression evidence</x:v>
      </x:c>
      <x:c r="O149" s="22" t="str">
        <x:v>/Users/devups/.codex/skills/gccs-story-sequence/SKILL.md</x:v>
      </x:c>
      <x:c r="P149" s="22" t="str">
        <x:v>Retain traceability; rerun focused verification if the affected boundary changes.</x:v>
      </x:c>
      <x:c r="Q149" s="22" t="str">
        <x:v>Story-labeled commit edcefb14 contains delivery and focused test/test-result files: feat: implement story 29.3 ssp export package</x:v>
      </x:c>
      <x:c r="R149" s="22" t="str">
        <x:v>git commit edcefb14dfd19cce927fc50330d405c8ea1190d1; /Users/devups/Development/CodexProjects/Gccs/docs/development-story-test-cases.md</x:v>
      </x:c>
      <x:c r="S149" s="22" t="str">
        <x:v>Completion is based on immutable repository evidence; tests were not rerun and current working-tree drift was not re-certified in this reporting-only task.</x:v>
      </x:c>
      <x:c r="T149" s="13" t="str"/>
      <x:c r="U149" s="15"/>
      <x:c r="V149" s="1" t="str">
        <x:f>IF(OR(H149="Completed",H149="Not Applicable"),"No","Yes")</x:f>
        <x:v>No</x:v>
      </x:c>
    </x:row>
    <x:row r="150" ht="55" customHeight="1">
      <x:c r="A150" s="1" t="n">
        <x:v>146</x:v>
      </x:c>
      <x:c r="B150" s="1" t="str">
        <x:v>Phase 3</x:v>
      </x:c>
      <x:c r="C150" s="22" t="str">
        <x:v>Scoring Rule Baseline</x:v>
      </x:c>
      <x:c r="D150" s="1" t="str">
        <x:v>30.1</x:v>
      </x:c>
      <x:c r="E150" s="22" t="str">
        <x:v>Scoring Rule Baseline</x:v>
      </x:c>
      <x:c r="F150" s="1" t="str">
        <x:v>Software implementation</x:v>
      </x:c>
      <x:c r="G150" s="1" t="str">
        <x:v>Planned</x:v>
      </x:c>
      <x:c r="H150" s="1" t="str">
        <x:v>Completed</x:v>
      </x:c>
      <x:c r="I150" s="1" t="n">
        <x:f>COUNTIFS('Task Tracker'!$C$5:$C$800,D150,'Task Tracker'!$I$5:$I$800,"Completed")</x:f>
        <x:v>5</x:v>
      </x:c>
      <x:c r="J150" s="1" t="n">
        <x:f>COUNTIF('Task Tracker'!$C$5:$C$800,D150)</x:f>
        <x:v>5</x:v>
      </x:c>
      <x:c r="K150" s="1" t="n">
        <x:f>J150-I150</x:f>
        <x:v>0</x:v>
      </x:c>
      <x:c r="L150" s="1" t="str">
        <x:v>29.3</x:v>
      </x:c>
      <x:c r="M150" s="22" t="str"/>
      <x:c r="N150" s="22" t="str">
        <x:v>Implementation trace plus focused smoke, automated, and story-level regression evidence</x:v>
      </x:c>
      <x:c r="O150" s="22" t="str">
        <x:v>/Users/devups/.codex/skills/gccs-story-sequence/SKILL.md</x:v>
      </x:c>
      <x:c r="P150" s="22" t="str">
        <x:v>Retain traceability; rerun focused verification if the affected boundary changes.</x:v>
      </x:c>
      <x:c r="Q150" s="22" t="str">
        <x:v>Story-labeled commit 2d1b1078 contains delivery and focused test/test-result files: feat: implement story 30.1 sprs scoring rules</x:v>
      </x:c>
      <x:c r="R150" s="22" t="str">
        <x:v>git commit 2d1b10784a77cdede7ca0456529f2d356680736c; /Users/devups/Development/CodexProjects/Gccs/docs/development-story-test-cases.md</x:v>
      </x:c>
      <x:c r="S150" s="22" t="str">
        <x:v>Completion is based on immutable repository evidence; tests were not rerun and current working-tree drift was not re-certified in this reporting-only task.</x:v>
      </x:c>
      <x:c r="T150" s="13" t="str"/>
      <x:c r="U150" s="15"/>
      <x:c r="V150" s="1" t="str">
        <x:f>IF(OR(H150="Completed",H150="Not Applicable"),"No","Yes")</x:f>
        <x:v>No</x:v>
      </x:c>
    </x:row>
    <x:row r="151" ht="55" customHeight="1">
      <x:c r="A151" s="1" t="n">
        <x:v>147</x:v>
      </x:c>
      <x:c r="B151" s="1" t="str">
        <x:v>Phase 3</x:v>
      </x:c>
      <x:c r="C151" s="22" t="str">
        <x:v>Score Calculation Workspace</x:v>
      </x:c>
      <x:c r="D151" s="1" t="str">
        <x:v>30.2</x:v>
      </x:c>
      <x:c r="E151" s="22" t="str">
        <x:v>Score Calculation Workspace</x:v>
      </x:c>
      <x:c r="F151" s="1" t="str">
        <x:v>Software implementation</x:v>
      </x:c>
      <x:c r="G151" s="1" t="str">
        <x:v>Planned</x:v>
      </x:c>
      <x:c r="H151" s="1" t="str">
        <x:v>Completed</x:v>
      </x:c>
      <x:c r="I151" s="1" t="n">
        <x:f>COUNTIFS('Task Tracker'!$C$5:$C$800,D151,'Task Tracker'!$I$5:$I$800,"Completed")</x:f>
        <x:v>5</x:v>
      </x:c>
      <x:c r="J151" s="1" t="n">
        <x:f>COUNTIF('Task Tracker'!$C$5:$C$800,D151)</x:f>
        <x:v>5</x:v>
      </x:c>
      <x:c r="K151" s="1" t="n">
        <x:f>J151-I151</x:f>
        <x:v>0</x:v>
      </x:c>
      <x:c r="L151" s="1" t="str">
        <x:v>30.1</x:v>
      </x:c>
      <x:c r="M151" s="22" t="str"/>
      <x:c r="N151" s="22" t="str">
        <x:v>Implementation trace plus focused smoke, automated, and story-level regression evidence</x:v>
      </x:c>
      <x:c r="O151" s="22" t="str">
        <x:v>/Users/devups/.codex/skills/gccs-story-sequence/SKILL.md</x:v>
      </x:c>
      <x:c r="P151" s="22" t="str">
        <x:v>Retain traceability; rerun focused verification if the affected boundary changes.</x:v>
      </x:c>
      <x:c r="Q151" s="22" t="str">
        <x:v>Story-labeled commit e785faa1 contains delivery and focused test/test-result files: feat: implement story 30.2 sprs score calculation</x:v>
      </x:c>
      <x:c r="R151" s="22" t="str">
        <x:v>git commit e785faa18508a315e3d4d763b8d9346fba816d97; /Users/devups/Development/CodexProjects/Gccs/docs/development-story-test-cases.md</x:v>
      </x:c>
      <x:c r="S151" s="22" t="str">
        <x:v>Completion is based on immutable repository evidence; tests were not rerun and current working-tree drift was not re-certified in this reporting-only task.</x:v>
      </x:c>
      <x:c r="T151" s="13" t="str"/>
      <x:c r="U151" s="15"/>
      <x:c r="V151" s="1" t="str">
        <x:f>IF(OR(H151="Completed",H151="Not Applicable"),"No","Yes")</x:f>
        <x:v>No</x:v>
      </x:c>
    </x:row>
    <x:row r="152" ht="55" customHeight="1">
      <x:c r="A152" s="1" t="n">
        <x:v>148</x:v>
      </x:c>
      <x:c r="B152" s="1" t="str">
        <x:v>Phase 3</x:v>
      </x:c>
      <x:c r="C152" s="22" t="str">
        <x:v>SPRS Readiness Report</x:v>
      </x:c>
      <x:c r="D152" s="1" t="str">
        <x:v>30.3</x:v>
      </x:c>
      <x:c r="E152" s="22" t="str">
        <x:v>SPRS Readiness Report</x:v>
      </x:c>
      <x:c r="F152" s="1" t="str">
        <x:v>Software implementation</x:v>
      </x:c>
      <x:c r="G152" s="1" t="str">
        <x:v>Planned</x:v>
      </x:c>
      <x:c r="H152" s="1" t="str">
        <x:v>Completed</x:v>
      </x:c>
      <x:c r="I152" s="1" t="n">
        <x:f>COUNTIFS('Task Tracker'!$C$5:$C$800,D152,'Task Tracker'!$I$5:$I$800,"Completed")</x:f>
        <x:v>5</x:v>
      </x:c>
      <x:c r="J152" s="1" t="n">
        <x:f>COUNTIF('Task Tracker'!$C$5:$C$800,D152)</x:f>
        <x:v>5</x:v>
      </x:c>
      <x:c r="K152" s="1" t="n">
        <x:f>J152-I152</x:f>
        <x:v>0</x:v>
      </x:c>
      <x:c r="L152" s="1" t="str">
        <x:v>30.2</x:v>
      </x:c>
      <x:c r="M152" s="22" t="str"/>
      <x:c r="N152" s="22" t="str">
        <x:v>Implementation trace plus focused smoke, automated, and story-level regression evidence</x:v>
      </x:c>
      <x:c r="O152" s="22" t="str">
        <x:v>/Users/devups/.codex/skills/gccs-story-sequence/SKILL.md</x:v>
      </x:c>
      <x:c r="P152" s="22" t="str">
        <x:v>Retain traceability; rerun focused verification if the affected boundary changes.</x:v>
      </x:c>
      <x:c r="Q152" s="22" t="str">
        <x:v>Story-labeled commit 647dd90e contains delivery and focused test/test-result files: feat: implement story 30.3 sprs readiness report</x:v>
      </x:c>
      <x:c r="R152" s="22" t="str">
        <x:v>git commit 647dd90efeea30c4c0f464692f2148623f8cd1a3; /Users/devups/Development/CodexProjects/Gccs/docs/development-story-test-cases.md</x:v>
      </x:c>
      <x:c r="S152" s="22" t="str">
        <x:v>Completion is based on immutable repository evidence; tests were not rerun and current working-tree drift was not re-certified in this reporting-only task.</x:v>
      </x:c>
      <x:c r="T152" s="13" t="str"/>
      <x:c r="U152" s="15"/>
      <x:c r="V152" s="1" t="str">
        <x:f>IF(OR(H152="Completed",H152="Not Applicable"),"No","Yes")</x:f>
        <x:v>No</x:v>
      </x:c>
    </x:row>
    <x:row r="153" ht="55" customHeight="1">
      <x:c r="A153" s="1" t="n">
        <x:v>149</x:v>
      </x:c>
      <x:c r="B153" s="1" t="str">
        <x:v>Phase 3</x:v>
      </x:c>
      <x:c r="C153" s="22" t="str">
        <x:v>eSRS Applicability And Reporting Calendar</x:v>
      </x:c>
      <x:c r="D153" s="1" t="str">
        <x:v>31.1</x:v>
      </x:c>
      <x:c r="E153" s="22" t="str">
        <x:v>eSRS Applicability And Reporting Calendar</x:v>
      </x:c>
      <x:c r="F153" s="1" t="str">
        <x:v>Software implementation</x:v>
      </x:c>
      <x:c r="G153" s="1" t="str">
        <x:v>Planned</x:v>
      </x:c>
      <x:c r="H153" s="1" t="str">
        <x:v>Completed</x:v>
      </x:c>
      <x:c r="I153" s="1" t="n">
        <x:f>COUNTIFS('Task Tracker'!$C$5:$C$800,D153,'Task Tracker'!$I$5:$I$800,"Completed")</x:f>
        <x:v>5</x:v>
      </x:c>
      <x:c r="J153" s="1" t="n">
        <x:f>COUNTIF('Task Tracker'!$C$5:$C$800,D153)</x:f>
        <x:v>5</x:v>
      </x:c>
      <x:c r="K153" s="1" t="n">
        <x:f>J153-I153</x:f>
        <x:v>0</x:v>
      </x:c>
      <x:c r="L153" s="1" t="str">
        <x:v>30.3</x:v>
      </x:c>
      <x:c r="M153" s="22" t="str"/>
      <x:c r="N153" s="22" t="str">
        <x:v>Implementation trace plus focused smoke, automated, and story-level regression evidence</x:v>
      </x:c>
      <x:c r="O153" s="22" t="str">
        <x:v>/Users/devups/.codex/skills/gccs-story-sequence/SKILL.md</x:v>
      </x:c>
      <x:c r="P153" s="22" t="str">
        <x:v>Retain traceability; rerun focused verification if the affected boundary changes.</x:v>
      </x:c>
      <x:c r="Q153" s="22" t="str">
        <x:v>Story-labeled commit 3bafa680 contains delivery and focused test/test-result files: feat: implement story 31.1 esrs reporting calendar</x:v>
      </x:c>
      <x:c r="R153" s="22" t="str">
        <x:v>git commit 3bafa680135122b729967748110276b6ffc95a1f; /Users/devups/Development/CodexProjects/Gccs/docs/development-story-test-cases.md</x:v>
      </x:c>
      <x:c r="S153" s="22" t="str">
        <x:v>Completion is based on immutable repository evidence; tests were not rerun and current working-tree drift was not re-certified in this reporting-only task.</x:v>
      </x:c>
      <x:c r="T153" s="13" t="str"/>
      <x:c r="U153" s="15"/>
      <x:c r="V153" s="1" t="str">
        <x:f>IF(OR(H153="Completed",H153="Not Applicable"),"No","Yes")</x:f>
        <x:v>No</x:v>
      </x:c>
    </x:row>
    <x:row r="154" ht="55" customHeight="1">
      <x:c r="A154" s="1" t="n">
        <x:v>150</x:v>
      </x:c>
      <x:c r="B154" s="1" t="str">
        <x:v>Phase 3</x:v>
      </x:c>
      <x:c r="C154" s="22" t="str">
        <x:v>Subcontracting Report Data Collection</x:v>
      </x:c>
      <x:c r="D154" s="1" t="str">
        <x:v>31.2</x:v>
      </x:c>
      <x:c r="E154" s="22" t="str">
        <x:v>Subcontracting Report Data Collection</x:v>
      </x:c>
      <x:c r="F154" s="1" t="str">
        <x:v>Software implementation</x:v>
      </x:c>
      <x:c r="G154" s="1" t="str">
        <x:v>Planned</x:v>
      </x:c>
      <x:c r="H154" s="1" t="str">
        <x:v>Completed</x:v>
      </x:c>
      <x:c r="I154" s="1" t="n">
        <x:f>COUNTIFS('Task Tracker'!$C$5:$C$800,D154,'Task Tracker'!$I$5:$I$800,"Completed")</x:f>
        <x:v>5</x:v>
      </x:c>
      <x:c r="J154" s="1" t="n">
        <x:f>COUNTIF('Task Tracker'!$C$5:$C$800,D154)</x:f>
        <x:v>5</x:v>
      </x:c>
      <x:c r="K154" s="1" t="n">
        <x:f>J154-I154</x:f>
        <x:v>0</x:v>
      </x:c>
      <x:c r="L154" s="1" t="str">
        <x:v>31.1</x:v>
      </x:c>
      <x:c r="M154" s="22" t="str"/>
      <x:c r="N154" s="22" t="str">
        <x:v>Implementation trace plus focused smoke, automated, and story-level regression evidence</x:v>
      </x:c>
      <x:c r="O154" s="22" t="str">
        <x:v>/Users/devups/.codex/skills/gccs-story-sequence/SKILL.md</x:v>
      </x:c>
      <x:c r="P154" s="22" t="str">
        <x:v>Retain traceability; rerun focused verification if the affected boundary changes.</x:v>
      </x:c>
      <x:c r="Q154" s="22" t="str">
        <x:v>Story-labeled commit b28e9202 contains delivery and focused test/test-result files: feat: implement story 31.2 subcontracting report data</x:v>
      </x:c>
      <x:c r="R154" s="22" t="str">
        <x:v>git commit b28e92023f1bef6f27f8b5831b55878443a593ed; /Users/devups/Development/CodexProjects/Gccs/docs/development-story-test-cases.md</x:v>
      </x:c>
      <x:c r="S154" s="22" t="str">
        <x:v>Completion is based on immutable repository evidence; tests were not rerun and current working-tree drift was not re-certified in this reporting-only task.</x:v>
      </x:c>
      <x:c r="T154" s="13" t="str"/>
      <x:c r="U154" s="15"/>
      <x:c r="V154" s="1" t="str">
        <x:f>IF(OR(H154="Completed",H154="Not Applicable"),"No","Yes")</x:f>
        <x:v>No</x:v>
      </x:c>
    </x:row>
    <x:row r="155" ht="55" customHeight="1">
      <x:c r="A155" s="1" t="n">
        <x:v>151</x:v>
      </x:c>
      <x:c r="B155" s="1" t="str">
        <x:v>Phase 3</x:v>
      </x:c>
      <x:c r="C155" s="22" t="str">
        <x:v>eSRS Report Package</x:v>
      </x:c>
      <x:c r="D155" s="1" t="str">
        <x:v>31.3</x:v>
      </x:c>
      <x:c r="E155" s="22" t="str">
        <x:v>eSRS Report Package</x:v>
      </x:c>
      <x:c r="F155" s="1" t="str">
        <x:v>Software implementation</x:v>
      </x:c>
      <x:c r="G155" s="1" t="str">
        <x:v>Planned</x:v>
      </x:c>
      <x:c r="H155" s="1" t="str">
        <x:v>Completed</x:v>
      </x:c>
      <x:c r="I155" s="1" t="n">
        <x:f>COUNTIFS('Task Tracker'!$C$5:$C$800,D155,'Task Tracker'!$I$5:$I$800,"Completed")</x:f>
        <x:v>5</x:v>
      </x:c>
      <x:c r="J155" s="1" t="n">
        <x:f>COUNTIF('Task Tracker'!$C$5:$C$800,D155)</x:f>
        <x:v>5</x:v>
      </x:c>
      <x:c r="K155" s="1" t="n">
        <x:f>J155-I155</x:f>
        <x:v>0</x:v>
      </x:c>
      <x:c r="L155" s="1" t="str">
        <x:v>31.2</x:v>
      </x:c>
      <x:c r="M155" s="22" t="str"/>
      <x:c r="N155" s="22" t="str">
        <x:v>Implementation trace plus focused smoke, automated, and story-level regression evidence</x:v>
      </x:c>
      <x:c r="O155" s="22" t="str">
        <x:v>/Users/devups/.codex/skills/gccs-story-sequence/SKILL.md</x:v>
      </x:c>
      <x:c r="P155" s="22" t="str">
        <x:v>Retain traceability; rerun focused verification if the affected boundary changes.</x:v>
      </x:c>
      <x:c r="Q155" s="22" t="str">
        <x:v>Story-labeled commit 2b95634c contains delivery and focused test/test-result files: feat: implement story 31.3 esrs report package</x:v>
      </x:c>
      <x:c r="R155" s="22" t="str">
        <x:v>git commit 2b95634ca9a00c3caf6486258982d92645f3d5b7; /Users/devups/Development/CodexProjects/Gccs/docs/development-story-test-cases.md</x:v>
      </x:c>
      <x:c r="S155" s="22" t="str">
        <x:v>Completion is based on immutable repository evidence; tests were not rerun and current working-tree drift was not re-certified in this reporting-only task.</x:v>
      </x:c>
      <x:c r="T155" s="13" t="str"/>
      <x:c r="U155" s="15"/>
      <x:c r="V155" s="1" t="str">
        <x:f>IF(OR(H155="Completed",H155="Not Applicable"),"No","Yes")</x:f>
        <x:v>No</x:v>
      </x:c>
    </x:row>
    <x:row r="156" ht="55" customHeight="1">
      <x:c r="A156" s="1" t="n">
        <x:v>152</x:v>
      </x:c>
      <x:c r="B156" s="1" t="str">
        <x:v>Phase 3</x:v>
      </x:c>
      <x:c r="C156" s="22" t="str">
        <x:v>Labor Applicability And Wage Determinations</x:v>
      </x:c>
      <x:c r="D156" s="1" t="str">
        <x:v>32.1</x:v>
      </x:c>
      <x:c r="E156" s="22" t="str">
        <x:v>Labor Applicability And Wage Determinations</x:v>
      </x:c>
      <x:c r="F156" s="1" t="str">
        <x:v>Software implementation</x:v>
      </x:c>
      <x:c r="G156" s="1" t="str">
        <x:v>Planned</x:v>
      </x:c>
      <x:c r="H156" s="1" t="str">
        <x:v>Completed</x:v>
      </x:c>
      <x:c r="I156" s="1" t="n">
        <x:f>COUNTIFS('Task Tracker'!$C$5:$C$800,D156,'Task Tracker'!$I$5:$I$800,"Completed")</x:f>
        <x:v>5</x:v>
      </x:c>
      <x:c r="J156" s="1" t="n">
        <x:f>COUNTIF('Task Tracker'!$C$5:$C$800,D156)</x:f>
        <x:v>5</x:v>
      </x:c>
      <x:c r="K156" s="1" t="n">
        <x:f>J156-I156</x:f>
        <x:v>0</x:v>
      </x:c>
      <x:c r="L156" s="1" t="str">
        <x:v>31.3</x:v>
      </x:c>
      <x:c r="M156" s="22" t="str"/>
      <x:c r="N156" s="22" t="str">
        <x:v>Implementation trace plus focused smoke, automated, and story-level regression evidence</x:v>
      </x:c>
      <x:c r="O156" s="22" t="str">
        <x:v>/Users/devups/.codex/skills/gccs-story-sequence/SKILL.md</x:v>
      </x:c>
      <x:c r="P156" s="22" t="str">
        <x:v>Retain traceability; rerun focused verification if the affected boundary changes.</x:v>
      </x:c>
      <x:c r="Q156" s="22" t="str">
        <x:v>Story-labeled commit b071d6c4 contains delivery and focused test/test-result files: feat: implement story 32.1 labor applicability</x:v>
      </x:c>
      <x:c r="R156" s="22" t="str">
        <x:v>git commit b071d6c46ea51897a023456f8f8d7b053a4bd1f3; /Users/devups/Development/CodexProjects/Gccs/docs/development-story-test-cases.md</x:v>
      </x:c>
      <x:c r="S156" s="22" t="str">
        <x:v>Completion is based on immutable repository evidence; tests were not rerun and current working-tree drift was not re-certified in this reporting-only task.</x:v>
      </x:c>
      <x:c r="T156" s="13" t="str"/>
      <x:c r="U156" s="15"/>
      <x:c r="V156" s="1" t="str">
        <x:f>IF(OR(H156="Completed",H156="Not Applicable"),"No","Yes")</x:f>
        <x:v>No</x:v>
      </x:c>
    </x:row>
    <x:row r="157" ht="55" customHeight="1">
      <x:c r="A157" s="1" t="n">
        <x:v>153</x:v>
      </x:c>
      <x:c r="B157" s="1" t="str">
        <x:v>Phase 3</x:v>
      </x:c>
      <x:c r="C157" s="22" t="str">
        <x:v>Labor Category And Employee Classification</x:v>
      </x:c>
      <x:c r="D157" s="1" t="str">
        <x:v>32.2</x:v>
      </x:c>
      <x:c r="E157" s="22" t="str">
        <x:v>Labor Category And Employee Classification</x:v>
      </x:c>
      <x:c r="F157" s="1" t="str">
        <x:v>Software implementation</x:v>
      </x:c>
      <x:c r="G157" s="1" t="str">
        <x:v>Planned</x:v>
      </x:c>
      <x:c r="H157" s="1" t="str">
        <x:v>Completed</x:v>
      </x:c>
      <x:c r="I157" s="1" t="n">
        <x:f>COUNTIFS('Task Tracker'!$C$5:$C$800,D157,'Task Tracker'!$I$5:$I$800,"Completed")</x:f>
        <x:v>5</x:v>
      </x:c>
      <x:c r="J157" s="1" t="n">
        <x:f>COUNTIF('Task Tracker'!$C$5:$C$800,D157)</x:f>
        <x:v>5</x:v>
      </x:c>
      <x:c r="K157" s="1" t="n">
        <x:f>J157-I157</x:f>
        <x:v>0</x:v>
      </x:c>
      <x:c r="L157" s="1" t="str">
        <x:v>32.1</x:v>
      </x:c>
      <x:c r="M157" s="22" t="str"/>
      <x:c r="N157" s="22" t="str">
        <x:v>Implementation trace plus focused smoke, automated, and story-level regression evidence</x:v>
      </x:c>
      <x:c r="O157" s="22" t="str">
        <x:v>/Users/devups/.codex/skills/gccs-story-sequence/SKILL.md</x:v>
      </x:c>
      <x:c r="P157" s="22" t="str">
        <x:v>Retain traceability; rerun focused verification if the affected boundary changes.</x:v>
      </x:c>
      <x:c r="Q157" s="22" t="str">
        <x:v>Story-labeled commit b0539a3f contains delivery and focused test/test-result files: feat: implement story 32.2 labor classifications</x:v>
      </x:c>
      <x:c r="R157" s="22" t="str">
        <x:v>git commit b0539a3f2012813cba0aebf27a84bdde78759090; /Users/devups/Development/CodexProjects/Gccs/docs/development-story-test-cases.md</x:v>
      </x:c>
      <x:c r="S157" s="22" t="str">
        <x:v>Completion is based on immutable repository evidence; tests were not rerun and current working-tree drift was not re-certified in this reporting-only task.</x:v>
      </x:c>
      <x:c r="T157" s="13" t="str"/>
      <x:c r="U157" s="15"/>
      <x:c r="V157" s="1" t="str">
        <x:f>IF(OR(H157="Completed",H157="Not Applicable"),"No","Yes")</x:f>
        <x:v>No</x:v>
      </x:c>
    </x:row>
    <x:row r="158" ht="55" customHeight="1">
      <x:c r="A158" s="1" t="n">
        <x:v>154</x:v>
      </x:c>
      <x:c r="B158" s="1" t="str">
        <x:v>Phase 3</x:v>
      </x:c>
      <x:c r="C158" s="22" t="str">
        <x:v>Labor Evidence And Compliance Report</x:v>
      </x:c>
      <x:c r="D158" s="1" t="str">
        <x:v>32.3</x:v>
      </x:c>
      <x:c r="E158" s="22" t="str">
        <x:v>Labor Evidence And Compliance Report</x:v>
      </x:c>
      <x:c r="F158" s="1" t="str">
        <x:v>Software implementation</x:v>
      </x:c>
      <x:c r="G158" s="1" t="str">
        <x:v>Planned</x:v>
      </x:c>
      <x:c r="H158" s="1" t="str">
        <x:v>Completed</x:v>
      </x:c>
      <x:c r="I158" s="1" t="n">
        <x:f>COUNTIFS('Task Tracker'!$C$5:$C$800,D158,'Task Tracker'!$I$5:$I$800,"Completed")</x:f>
        <x:v>5</x:v>
      </x:c>
      <x:c r="J158" s="1" t="n">
        <x:f>COUNTIF('Task Tracker'!$C$5:$C$800,D158)</x:f>
        <x:v>5</x:v>
      </x:c>
      <x:c r="K158" s="1" t="n">
        <x:f>J158-I158</x:f>
        <x:v>0</x:v>
      </x:c>
      <x:c r="L158" s="1" t="str">
        <x:v>32.2</x:v>
      </x:c>
      <x:c r="M158" s="22" t="str"/>
      <x:c r="N158" s="22" t="str">
        <x:v>Implementation trace plus focused smoke, automated, and story-level regression evidence</x:v>
      </x:c>
      <x:c r="O158" s="22" t="str">
        <x:v>/Users/devups/.codex/skills/gccs-story-sequence/SKILL.md</x:v>
      </x:c>
      <x:c r="P158" s="22" t="str">
        <x:v>Retain traceability; rerun focused verification if the affected boundary changes.</x:v>
      </x:c>
      <x:c r="Q158" s="22" t="str">
        <x:v>Story-labeled commit 9e267f43 contains delivery and focused test/test-result files: feat: implement story 32.3 labor compliance report</x:v>
      </x:c>
      <x:c r="R158" s="22" t="str">
        <x:v>git commit 9e267f43b8ef138dfd2b0cb3b2cbaf7ff1a9a88e; /Users/devups/Development/CodexProjects/Gccs/docs/development-story-test-cases.md</x:v>
      </x:c>
      <x:c r="S158" s="22" t="str">
        <x:v>Completion is based on immutable repository evidence; tests were not rerun and current working-tree drift was not re-certified in this reporting-only task.</x:v>
      </x:c>
      <x:c r="T158" s="13" t="str"/>
      <x:c r="U158" s="15"/>
      <x:c r="V158" s="1" t="str">
        <x:f>IF(OR(H158="Completed",H158="Not Applicable"),"No","Yes")</x:f>
        <x:v>No</x:v>
      </x:c>
    </x:row>
    <x:row r="159" ht="55" customHeight="1">
      <x:c r="A159" s="1" t="n">
        <x:v>155</x:v>
      </x:c>
      <x:c r="B159" s="1" t="str">
        <x:v>Phase 3</x:v>
      </x:c>
      <x:c r="C159" s="22" t="str">
        <x:v>Retrieval And Source Citation Pipeline</x:v>
      </x:c>
      <x:c r="D159" s="1" t="str">
        <x:v>33.1</x:v>
      </x:c>
      <x:c r="E159" s="22" t="str">
        <x:v>Retrieval And Source Citation Pipeline</x:v>
      </x:c>
      <x:c r="F159" s="1" t="str">
        <x:v>Software implementation</x:v>
      </x:c>
      <x:c r="G159" s="1" t="str">
        <x:v>Planned</x:v>
      </x:c>
      <x:c r="H159" s="1" t="str">
        <x:v>Completed</x:v>
      </x:c>
      <x:c r="I159" s="1" t="n">
        <x:f>COUNTIFS('Task Tracker'!$C$5:$C$800,D159,'Task Tracker'!$I$5:$I$800,"Completed")</x:f>
        <x:v>5</x:v>
      </x:c>
      <x:c r="J159" s="1" t="n">
        <x:f>COUNTIF('Task Tracker'!$C$5:$C$800,D159)</x:f>
        <x:v>5</x:v>
      </x:c>
      <x:c r="K159" s="1" t="n">
        <x:f>J159-I159</x:f>
        <x:v>0</x:v>
      </x:c>
      <x:c r="L159" s="1" t="str">
        <x:v>32.3</x:v>
      </x:c>
      <x:c r="M159" s="22" t="str"/>
      <x:c r="N159" s="22" t="str">
        <x:v>Implementation trace plus focused smoke, automated, and story-level regression evidence</x:v>
      </x:c>
      <x:c r="O159" s="22" t="str">
        <x:v>/Users/devups/.codex/skills/gccs-story-sequence/SKILL.md</x:v>
      </x:c>
      <x:c r="P159" s="22" t="str">
        <x:v>Retain traceability; rerun focused verification if the affected boundary changes.</x:v>
      </x:c>
      <x:c r="Q159" s="22" t="str">
        <x:v>Story-labeled commit 24c23e7b contains delivery and focused test/test-result files: feat: implement story 33.1 ai retrieval citations</x:v>
      </x:c>
      <x:c r="R159" s="22" t="str">
        <x:v>git commit 24c23e7b0828e970ec32c150c5d239bcc81354e1; /Users/devups/Development/CodexProjects/Gccs/docs/development-story-test-cases.md</x:v>
      </x:c>
      <x:c r="S159" s="22" t="str">
        <x:v>Completion is based on immutable repository evidence; tests were not rerun and current working-tree drift was not re-certified in this reporting-only task.</x:v>
      </x:c>
      <x:c r="T159" s="13" t="str"/>
      <x:c r="U159" s="15"/>
      <x:c r="V159" s="1" t="str">
        <x:f>IF(OR(H159="Completed",H159="Not Applicable"),"No","Yes")</x:f>
        <x:v>No</x:v>
      </x:c>
    </x:row>
    <x:row r="160" ht="55" customHeight="1">
      <x:c r="A160" s="1" t="n">
        <x:v>156</x:v>
      </x:c>
      <x:c r="B160" s="1" t="str">
        <x:v>Phase 3</x:v>
      </x:c>
      <x:c r="C160" s="22" t="str">
        <x:v>AI Output Logging And Review</x:v>
      </x:c>
      <x:c r="D160" s="1" t="str">
        <x:v>33.2</x:v>
      </x:c>
      <x:c r="E160" s="22" t="str">
        <x:v>AI Output Logging And Review</x:v>
      </x:c>
      <x:c r="F160" s="1" t="str">
        <x:v>Software implementation</x:v>
      </x:c>
      <x:c r="G160" s="1" t="str">
        <x:v>Planned</x:v>
      </x:c>
      <x:c r="H160" s="1" t="str">
        <x:v>Completed</x:v>
      </x:c>
      <x:c r="I160" s="1" t="n">
        <x:f>COUNTIFS('Task Tracker'!$C$5:$C$800,D160,'Task Tracker'!$I$5:$I$800,"Completed")</x:f>
        <x:v>5</x:v>
      </x:c>
      <x:c r="J160" s="1" t="n">
        <x:f>COUNTIF('Task Tracker'!$C$5:$C$800,D160)</x:f>
        <x:v>5</x:v>
      </x:c>
      <x:c r="K160" s="1" t="n">
        <x:f>J160-I160</x:f>
        <x:v>0</x:v>
      </x:c>
      <x:c r="L160" s="1" t="str">
        <x:v>33.1</x:v>
      </x:c>
      <x:c r="M160" s="22" t="str"/>
      <x:c r="N160" s="22" t="str">
        <x:v>Implementation trace plus focused smoke, automated, and story-level regression evidence</x:v>
      </x:c>
      <x:c r="O160" s="22" t="str">
        <x:v>/Users/devups/.codex/skills/gccs-story-sequence/SKILL.md</x:v>
      </x:c>
      <x:c r="P160" s="22" t="str">
        <x:v>Retain traceability; rerun focused verification if the affected boundary changes.</x:v>
      </x:c>
      <x:c r="Q160" s="22" t="str">
        <x:v>Story-labeled commit 83273b49 contains delivery and focused test/test-result files: feat: implement story 33.2 ai output review</x:v>
      </x:c>
      <x:c r="R160" s="22" t="str">
        <x:v>git commit 83273b4976b588ea262743fb5f2d2e2d26f00750; /Users/devups/Development/CodexProjects/Gccs/docs/development-story-test-cases.md</x:v>
      </x:c>
      <x:c r="S160" s="22" t="str">
        <x:v>Completion is based on immutable repository evidence; tests were not rerun and current working-tree drift was not re-certified in this reporting-only task.</x:v>
      </x:c>
      <x:c r="T160" s="13" t="str"/>
      <x:c r="U160" s="15"/>
      <x:c r="V160" s="1" t="str">
        <x:f>IF(OR(H160="Completed",H160="Not Applicable"),"No","Yes")</x:f>
        <x:v>No</x:v>
      </x:c>
    </x:row>
    <x:row r="161" ht="55" customHeight="1">
      <x:c r="A161" s="1" t="n">
        <x:v>157</x:v>
      </x:c>
      <x:c r="B161" s="1" t="str">
        <x:v>Phase 3</x:v>
      </x:c>
      <x:c r="C161" s="22" t="str">
        <x:v>Guarded Assistant User Experience</x:v>
      </x:c>
      <x:c r="D161" s="1" t="str">
        <x:v>33.3</x:v>
      </x:c>
      <x:c r="E161" s="22" t="str">
        <x:v>Guarded Assistant User Experience</x:v>
      </x:c>
      <x:c r="F161" s="1" t="str">
        <x:v>Software implementation</x:v>
      </x:c>
      <x:c r="G161" s="1" t="str">
        <x:v>Planned</x:v>
      </x:c>
      <x:c r="H161" s="1" t="str">
        <x:v>Completed</x:v>
      </x:c>
      <x:c r="I161" s="1" t="n">
        <x:f>COUNTIFS('Task Tracker'!$C$5:$C$800,D161,'Task Tracker'!$I$5:$I$800,"Completed")</x:f>
        <x:v>5</x:v>
      </x:c>
      <x:c r="J161" s="1" t="n">
        <x:f>COUNTIF('Task Tracker'!$C$5:$C$800,D161)</x:f>
        <x:v>5</x:v>
      </x:c>
      <x:c r="K161" s="1" t="n">
        <x:f>J161-I161</x:f>
        <x:v>0</x:v>
      </x:c>
      <x:c r="L161" s="1" t="str">
        <x:v>33.2</x:v>
      </x:c>
      <x:c r="M161" s="22" t="str"/>
      <x:c r="N161" s="22" t="str">
        <x:v>Implementation trace plus focused smoke, automated, and story-level regression evidence</x:v>
      </x:c>
      <x:c r="O161" s="22" t="str">
        <x:v>/Users/devups/.codex/skills/gccs-story-sequence/SKILL.md</x:v>
      </x:c>
      <x:c r="P161" s="22" t="str">
        <x:v>Retain traceability; rerun focused verification if the affected boundary changes.</x:v>
      </x:c>
      <x:c r="Q161" s="22" t="str">
        <x:v>Story-labeled commit 0a8fef6f contains delivery and focused test/test-result files: feat: implement story 33.3 guarded assistant</x:v>
      </x:c>
      <x:c r="R161" s="22" t="str">
        <x:v>git commit 0a8fef6f667cacf04afa2d0af3b625a85132d2db; /Users/devups/Development/CodexProjects/Gccs/docs/development-story-test-cases.md</x:v>
      </x:c>
      <x:c r="S161" s="22" t="str">
        <x:v>Completion is based on immutable repository evidence; tests were not rerun and current working-tree drift was not re-certified in this reporting-only task.</x:v>
      </x:c>
      <x:c r="T161" s="13" t="str"/>
      <x:c r="U161" s="15"/>
      <x:c r="V161" s="1" t="str">
        <x:f>IF(OR(H161="Completed",H161="Not Applicable"),"No","Yes")</x:f>
        <x:v>No</x:v>
      </x:c>
    </x:row>
    <x:row r="162" ht="55" customHeight="1">
      <x:c r="A162" s="1" t="n">
        <x:v>158</x:v>
      </x:c>
      <x:c r="B162" s="1" t="str">
        <x:v>Phase 3</x:v>
      </x:c>
      <x:c r="C162" s="22" t="str">
        <x:v>External Portal Access Model</x:v>
      </x:c>
      <x:c r="D162" s="1" t="str">
        <x:v>34.1</x:v>
      </x:c>
      <x:c r="E162" s="22" t="str">
        <x:v>External Portal Access Model</x:v>
      </x:c>
      <x:c r="F162" s="1" t="str">
        <x:v>Software implementation</x:v>
      </x:c>
      <x:c r="G162" s="1" t="str">
        <x:v>Planned</x:v>
      </x:c>
      <x:c r="H162" s="1" t="str">
        <x:v>Completed</x:v>
      </x:c>
      <x:c r="I162" s="1" t="n">
        <x:f>COUNTIFS('Task Tracker'!$C$5:$C$800,D162,'Task Tracker'!$I$5:$I$800,"Completed")</x:f>
        <x:v>5</x:v>
      </x:c>
      <x:c r="J162" s="1" t="n">
        <x:f>COUNTIF('Task Tracker'!$C$5:$C$800,D162)</x:f>
        <x:v>5</x:v>
      </x:c>
      <x:c r="K162" s="1" t="n">
        <x:f>J162-I162</x:f>
        <x:v>0</x:v>
      </x:c>
      <x:c r="L162" s="1" t="str">
        <x:v>33.3</x:v>
      </x:c>
      <x:c r="M162" s="22" t="str"/>
      <x:c r="N162" s="22" t="str">
        <x:v>Implementation trace plus focused smoke, automated, and story-level regression evidence</x:v>
      </x:c>
      <x:c r="O162" s="22" t="str">
        <x:v>/Users/devups/.codex/skills/gccs-story-sequence/SKILL.md</x:v>
      </x:c>
      <x:c r="P162" s="22" t="str">
        <x:v>Retain traceability; rerun focused verification if the affected boundary changes.</x:v>
      </x:c>
      <x:c r="Q162" s="22" t="str">
        <x:v>Story-labeled commit 54d8b60f contains delivery and focused test/test-result files: feat: implement story 34.1 external portal access</x:v>
      </x:c>
      <x:c r="R162" s="22" t="str">
        <x:v>git commit 54d8b60f9a8887a0d68290beb9b3ec7f0438d3bb; /Users/devups/Development/CodexProjects/Gccs/docs/development-story-test-cases.md</x:v>
      </x:c>
      <x:c r="S162" s="22" t="str">
        <x:v>Completion is based on immutable repository evidence; tests were not rerun and current working-tree drift was not re-certified in this reporting-only task.</x:v>
      </x:c>
      <x:c r="T162" s="13" t="str"/>
      <x:c r="U162" s="15"/>
      <x:c r="V162" s="1" t="str">
        <x:f>IF(OR(H162="Completed",H162="Not Applicable"),"No","Yes")</x:f>
        <x:v>No</x:v>
      </x:c>
    </x:row>
    <x:row r="163" ht="55" customHeight="1">
      <x:c r="A163" s="1" t="n">
        <x:v>159</x:v>
      </x:c>
      <x:c r="B163" s="1" t="str">
        <x:v>Phase 3</x:v>
      </x:c>
      <x:c r="C163" s="22" t="str">
        <x:v>Approved Package Portal Review</x:v>
      </x:c>
      <x:c r="D163" s="1" t="str">
        <x:v>34.2</x:v>
      </x:c>
      <x:c r="E163" s="22" t="str">
        <x:v>Approved Package Portal Review</x:v>
      </x:c>
      <x:c r="F163" s="1" t="str">
        <x:v>Software implementation</x:v>
      </x:c>
      <x:c r="G163" s="1" t="str">
        <x:v>Planned</x:v>
      </x:c>
      <x:c r="H163" s="1" t="str">
        <x:v>Completed</x:v>
      </x:c>
      <x:c r="I163" s="1" t="n">
        <x:f>COUNTIFS('Task Tracker'!$C$5:$C$800,D163,'Task Tracker'!$I$5:$I$800,"Completed")</x:f>
        <x:v>5</x:v>
      </x:c>
      <x:c r="J163" s="1" t="n">
        <x:f>COUNTIF('Task Tracker'!$C$5:$C$800,D163)</x:f>
        <x:v>5</x:v>
      </x:c>
      <x:c r="K163" s="1" t="n">
        <x:f>J163-I163</x:f>
        <x:v>0</x:v>
      </x:c>
      <x:c r="L163" s="1" t="str">
        <x:v>34.1</x:v>
      </x:c>
      <x:c r="M163" s="22" t="str"/>
      <x:c r="N163" s="22" t="str">
        <x:v>Implementation trace plus focused smoke, automated, and story-level regression evidence</x:v>
      </x:c>
      <x:c r="O163" s="22" t="str">
        <x:v>/Users/devups/.codex/skills/gccs-story-sequence/SKILL.md</x:v>
      </x:c>
      <x:c r="P163" s="22" t="str">
        <x:v>Retain traceability; rerun focused verification if the affected boundary changes.</x:v>
      </x:c>
      <x:c r="Q163" s="22" t="str">
        <x:v>Story-labeled commit a0fa13e1 contains delivery and focused test/test-result files: feat: implement story 34.2 approved package portal review</x:v>
      </x:c>
      <x:c r="R163" s="22" t="str">
        <x:v>git commit a0fa13e13a07a6b45ebd53a1cc8da7a477653a50; /Users/devups/Development/CodexProjects/Gccs/docs/development-story-test-cases.md</x:v>
      </x:c>
      <x:c r="S163" s="22" t="str">
        <x:v>Completion is based on immutable repository evidence; tests were not rerun and current working-tree drift was not re-certified in this reporting-only task.</x:v>
      </x:c>
      <x:c r="T163" s="13" t="str"/>
      <x:c r="U163" s="15"/>
      <x:c r="V163" s="1" t="str">
        <x:f>IF(OR(H163="Completed",H163="Not Applicable"),"No","Yes")</x:f>
        <x:v>No</x:v>
      </x:c>
    </x:row>
    <x:row r="164" ht="55" customHeight="1">
      <x:c r="A164" s="1" t="n">
        <x:v>160</x:v>
      </x:c>
      <x:c r="B164" s="1" t="str">
        <x:v>Phase 3</x:v>
      </x:c>
      <x:c r="C164" s="22" t="str">
        <x:v>Portal Package Lifecycle And Revocation</x:v>
      </x:c>
      <x:c r="D164" s="1" t="str">
        <x:v>34.3</x:v>
      </x:c>
      <x:c r="E164" s="22" t="str">
        <x:v>Portal Package Lifecycle And Revocation</x:v>
      </x:c>
      <x:c r="F164" s="1" t="str">
        <x:v>Software implementation</x:v>
      </x:c>
      <x:c r="G164" s="1" t="str">
        <x:v>Planned</x:v>
      </x:c>
      <x:c r="H164" s="1" t="str">
        <x:v>Completed</x:v>
      </x:c>
      <x:c r="I164" s="1" t="n">
        <x:f>COUNTIFS('Task Tracker'!$C$5:$C$800,D164,'Task Tracker'!$I$5:$I$800,"Completed")</x:f>
        <x:v>5</x:v>
      </x:c>
      <x:c r="J164" s="1" t="n">
        <x:f>COUNTIF('Task Tracker'!$C$5:$C$800,D164)</x:f>
        <x:v>5</x:v>
      </x:c>
      <x:c r="K164" s="1" t="n">
        <x:f>J164-I164</x:f>
        <x:v>0</x:v>
      </x:c>
      <x:c r="L164" s="1" t="str">
        <x:v>34.2</x:v>
      </x:c>
      <x:c r="M164" s="22" t="str"/>
      <x:c r="N164" s="22" t="str">
        <x:v>Implementation trace plus focused smoke, automated, and story-level regression evidence</x:v>
      </x:c>
      <x:c r="O164" s="22" t="str">
        <x:v>/Users/devups/.codex/skills/gccs-story-sequence/SKILL.md</x:v>
      </x:c>
      <x:c r="P164" s="22" t="str">
        <x:v>Retain traceability; rerun focused verification if the affected boundary changes.</x:v>
      </x:c>
      <x:c r="Q164" s="22" t="str">
        <x:v>Story-labeled commit 2c75bac4 contains delivery and focused test/test-result files: feat: implement story 34.3 portal package lifecycle</x:v>
      </x:c>
      <x:c r="R164" s="22" t="str">
        <x:v>git commit 2c75bac49ca454b1854b2ab51dd8293b483c1858; /Users/devups/Development/CodexProjects/Gccs/docs/development-story-test-cases.md</x:v>
      </x:c>
      <x:c r="S164" s="22" t="str">
        <x:v>Completion is based on immutable repository evidence; tests were not rerun and current working-tree drift was not re-certified in this reporting-only task.</x:v>
      </x:c>
      <x:c r="T164" s="13" t="str"/>
      <x:c r="U164" s="15"/>
      <x:c r="V164" s="1" t="str">
        <x:f>IF(OR(H164="Completed",H164="Not Applicable"),"No","Yes")</x:f>
        <x:v>No</x:v>
      </x:c>
    </x:row>
    <x:row r="165" ht="55" customHeight="1">
      <x:c r="A165" s="1" t="n">
        <x:v>161</x:v>
      </x:c>
      <x:c r="B165" s="1" t="str">
        <x:v>Phase 4</x:v>
      </x:c>
      <x:c r="C165" s="22" t="str">
        <x:v>SAML Identity Provider Configuration</x:v>
      </x:c>
      <x:c r="D165" s="1" t="str">
        <x:v>35.1</x:v>
      </x:c>
      <x:c r="E165" s="22" t="str">
        <x:v>SAML Identity Provider Configuration</x:v>
      </x:c>
      <x:c r="F165" s="1" t="str">
        <x:v>Software implementation</x:v>
      </x:c>
      <x:c r="G165" s="1" t="str">
        <x:v>Planned</x:v>
      </x:c>
      <x:c r="H165" s="1" t="str">
        <x:v>Completed</x:v>
      </x:c>
      <x:c r="I165" s="1" t="n">
        <x:f>COUNTIFS('Task Tracker'!$C$5:$C$800,D165,'Task Tracker'!$I$5:$I$800,"Completed")</x:f>
        <x:v>5</x:v>
      </x:c>
      <x:c r="J165" s="1" t="n">
        <x:f>COUNTIF('Task Tracker'!$C$5:$C$800,D165)</x:f>
        <x:v>5</x:v>
      </x:c>
      <x:c r="K165" s="1" t="n">
        <x:f>J165-I165</x:f>
        <x:v>0</x:v>
      </x:c>
      <x:c r="L165" s="1" t="str"/>
      <x:c r="M165" s="22" t="str"/>
      <x:c r="N165" s="22" t="str">
        <x:v>Implementation trace plus focused smoke, automated, and story-level regression evidence</x:v>
      </x:c>
      <x:c r="O165" s="22" t="str">
        <x:v>/Users/devups/.codex/skills/gccs-story-sequence/SKILL.md</x:v>
      </x:c>
      <x:c r="P165" s="22" t="str">
        <x:v>Retain traceability; rerun focused verification if the affected boundary changes.</x:v>
      </x:c>
      <x:c r="Q165" s="22" t="str">
        <x:v>Story-labeled commit 21f43098 contains delivery and focused test/test-result files: feat: implement story 35.1 saml identity provider configuration</x:v>
      </x:c>
      <x:c r="R165" s="22" t="str">
        <x:v>git commit 21f430988ab6562151eb1f620d85e6d710c09cba; /Users/devups/Development/CodexProjects/Gccs/docs/development-story-test-cases.md</x:v>
      </x:c>
      <x:c r="S165" s="22" t="str">
        <x:v>Completion is based on immutable repository evidence; tests were not rerun and current working-tree drift was not re-certified in this reporting-only task.</x:v>
      </x:c>
      <x:c r="T165" s="13" t="str"/>
      <x:c r="U165" s="15"/>
      <x:c r="V165" s="1" t="str">
        <x:f>IF(OR(H165="Completed",H165="Not Applicable"),"No","Yes")</x:f>
        <x:v>No</x:v>
      </x:c>
    </x:row>
    <x:row r="166" ht="55" customHeight="1">
      <x:c r="A166" s="1" t="n">
        <x:v>162</x:v>
      </x:c>
      <x:c r="B166" s="1" t="str">
        <x:v>Phase 4</x:v>
      </x:c>
      <x:c r="C166" s="22" t="str">
        <x:v>SSO Sign-In Enforcement And Account Linking</x:v>
      </x:c>
      <x:c r="D166" s="1" t="str">
        <x:v>35.2</x:v>
      </x:c>
      <x:c r="E166" s="22" t="str">
        <x:v>SSO Sign-In Enforcement And Account Linking</x:v>
      </x:c>
      <x:c r="F166" s="1" t="str">
        <x:v>Software implementation</x:v>
      </x:c>
      <x:c r="G166" s="1" t="str">
        <x:v>Planned</x:v>
      </x:c>
      <x:c r="H166" s="1" t="str">
        <x:v>Completed</x:v>
      </x:c>
      <x:c r="I166" s="1" t="n">
        <x:f>COUNTIFS('Task Tracker'!$C$5:$C$800,D166,'Task Tracker'!$I$5:$I$800,"Completed")</x:f>
        <x:v>5</x:v>
      </x:c>
      <x:c r="J166" s="1" t="n">
        <x:f>COUNTIF('Task Tracker'!$C$5:$C$800,D166)</x:f>
        <x:v>5</x:v>
      </x:c>
      <x:c r="K166" s="1" t="n">
        <x:f>J166-I166</x:f>
        <x:v>0</x:v>
      </x:c>
      <x:c r="L166" s="1" t="str">
        <x:v>35.1</x:v>
      </x:c>
      <x:c r="M166" s="22" t="str"/>
      <x:c r="N166" s="22" t="str">
        <x:v>Implementation trace plus focused smoke, automated, and story-level regression evidence</x:v>
      </x:c>
      <x:c r="O166" s="22" t="str">
        <x:v>/Users/devups/.codex/skills/gccs-story-sequence/SKILL.md</x:v>
      </x:c>
      <x:c r="P166" s="22" t="str">
        <x:v>Retain traceability; rerun focused verification if the affected boundary changes.</x:v>
      </x:c>
      <x:c r="Q166" s="22" t="str">
        <x:v>Story-labeled commit a5678358 contains delivery and focused test/test-result files: feat: implement story 35.2 sso sign-in enforcement</x:v>
      </x:c>
      <x:c r="R166" s="22" t="str">
        <x:v>git commit a5678358c38b4f8c8006cd530283a7dd92b8d1b2; /Users/devups/Development/CodexProjects/Gccs/docs/development-story-test-cases.md</x:v>
      </x:c>
      <x:c r="S166" s="22" t="str">
        <x:v>Completion is based on immutable repository evidence; tests were not rerun and current working-tree drift was not re-certified in this reporting-only task.</x:v>
      </x:c>
      <x:c r="T166" s="13" t="str"/>
      <x:c r="U166" s="15"/>
      <x:c r="V166" s="1" t="str">
        <x:f>IF(OR(H166="Completed",H166="Not Applicable"),"No","Yes")</x:f>
        <x:v>No</x:v>
      </x:c>
    </x:row>
    <x:row r="167" ht="55" customHeight="1">
      <x:c r="A167" s="1" t="n">
        <x:v>163</x:v>
      </x:c>
      <x:c r="B167" s="1" t="str">
        <x:v>Phase 4</x:v>
      </x:c>
      <x:c r="C167" s="22" t="str">
        <x:v>SCIM User And Group Provisioning</x:v>
      </x:c>
      <x:c r="D167" s="1" t="str">
        <x:v>35.3</x:v>
      </x:c>
      <x:c r="E167" s="22" t="str">
        <x:v>SCIM User And Group Provisioning</x:v>
      </x:c>
      <x:c r="F167" s="1" t="str">
        <x:v>Software implementation</x:v>
      </x:c>
      <x:c r="G167" s="1" t="str">
        <x:v>Planned</x:v>
      </x:c>
      <x:c r="H167" s="1" t="str">
        <x:v>Completed</x:v>
      </x:c>
      <x:c r="I167" s="1" t="n">
        <x:f>COUNTIFS('Task Tracker'!$C$5:$C$800,D167,'Task Tracker'!$I$5:$I$800,"Completed")</x:f>
        <x:v>5</x:v>
      </x:c>
      <x:c r="J167" s="1" t="n">
        <x:f>COUNTIF('Task Tracker'!$C$5:$C$800,D167)</x:f>
        <x:v>5</x:v>
      </x:c>
      <x:c r="K167" s="1" t="n">
        <x:f>J167-I167</x:f>
        <x:v>0</x:v>
      </x:c>
      <x:c r="L167" s="1" t="str">
        <x:v>35.2</x:v>
      </x:c>
      <x:c r="M167" s="22" t="str"/>
      <x:c r="N167" s="22" t="str">
        <x:v>Implementation trace plus focused smoke, automated, and story-level regression evidence</x:v>
      </x:c>
      <x:c r="O167" s="22" t="str">
        <x:v>/Users/devups/.codex/skills/gccs-story-sequence/SKILL.md</x:v>
      </x:c>
      <x:c r="P167" s="22" t="str">
        <x:v>Retain traceability; rerun focused verification if the affected boundary changes.</x:v>
      </x:c>
      <x:c r="Q167" s="22" t="str">
        <x:v>Story-labeled commit 903c56e0 contains delivery and focused test/test-result files: feat: implement story 35.3 scim provisioning</x:v>
      </x:c>
      <x:c r="R167" s="22" t="str">
        <x:v>git commit 903c56e04e11325022a2684f8436972f40a01841; /Users/devups/Development/CodexProjects/Gccs/docs/development-story-test-cases.md</x:v>
      </x:c>
      <x:c r="S167" s="22" t="str">
        <x:v>Completion is based on immutable repository evidence; tests were not rerun and current working-tree drift was not re-certified in this reporting-only task.</x:v>
      </x:c>
      <x:c r="T167" s="13" t="str"/>
      <x:c r="U167" s="15"/>
      <x:c r="V167" s="1" t="str">
        <x:f>IF(OR(H167="Completed",H167="Not Applicable"),"No","Yes")</x:f>
        <x:v>No</x:v>
      </x:c>
    </x:row>
    <x:row r="168" ht="55" customHeight="1">
      <x:c r="A168" s="1" t="n">
        <x:v>164</x:v>
      </x:c>
      <x:c r="B168" s="1" t="str">
        <x:v>Phase 4</x:v>
      </x:c>
      <x:c r="C168" s="22" t="str">
        <x:v>Government Cloud Environment Configuration</x:v>
      </x:c>
      <x:c r="D168" s="1" t="str">
        <x:v>36.1</x:v>
      </x:c>
      <x:c r="E168" s="22" t="str">
        <x:v>Government Cloud Environment Configuration</x:v>
      </x:c>
      <x:c r="F168" s="1" t="str">
        <x:v>Software implementation</x:v>
      </x:c>
      <x:c r="G168" s="1" t="str">
        <x:v>Planned</x:v>
      </x:c>
      <x:c r="H168" s="1" t="str">
        <x:v>Completed</x:v>
      </x:c>
      <x:c r="I168" s="1" t="n">
        <x:f>COUNTIFS('Task Tracker'!$C$5:$C$800,D168,'Task Tracker'!$I$5:$I$800,"Completed")</x:f>
        <x:v>5</x:v>
      </x:c>
      <x:c r="J168" s="1" t="n">
        <x:f>COUNTIF('Task Tracker'!$C$5:$C$800,D168)</x:f>
        <x:v>5</x:v>
      </x:c>
      <x:c r="K168" s="1" t="n">
        <x:f>J168-I168</x:f>
        <x:v>0</x:v>
      </x:c>
      <x:c r="L168" s="1" t="str">
        <x:v>35.3</x:v>
      </x:c>
      <x:c r="M168" s="22" t="str"/>
      <x:c r="N168" s="22" t="str">
        <x:v>Implementation trace plus focused smoke, automated, and story-level regression evidence</x:v>
      </x:c>
      <x:c r="O168" s="22" t="str">
        <x:v>/Users/devups/.codex/skills/gccs-story-sequence/SKILL.md</x:v>
      </x:c>
      <x:c r="P168" s="22" t="str">
        <x:v>Retain traceability; rerun focused verification if the affected boundary changes.</x:v>
      </x:c>
      <x:c r="Q168" s="22" t="str">
        <x:v>Story-labeled commit 996b0894 contains delivery and focused test/test-result files: feat: implement story 36.1 government cloud environments</x:v>
      </x:c>
      <x:c r="R168" s="22" t="str">
        <x:v>git commit 996b0894764149a72202ab01bfb7abc182320257; /Users/devups/Development/CodexProjects/Gccs/docs/development-story-test-cases.md</x:v>
      </x:c>
      <x:c r="S168" s="22" t="str">
        <x:v>Completion is based on immutable repository evidence; tests were not rerun and current working-tree drift was not re-certified in this reporting-only task.</x:v>
      </x:c>
      <x:c r="T168" s="13" t="str"/>
      <x:c r="U168" s="15"/>
      <x:c r="V168" s="1" t="str">
        <x:f>IF(OR(H168="Completed",H168="Not Applicable"),"No","Yes")</x:f>
        <x:v>No</x:v>
      </x:c>
    </x:row>
    <x:row r="169" ht="55" customHeight="1">
      <x:c r="A169" s="1" t="n">
        <x:v>165</x:v>
      </x:c>
      <x:c r="B169" s="1" t="str">
        <x:v>Phase 4</x:v>
      </x:c>
      <x:c r="C169" s="22" t="str">
        <x:v>Regulated Tenant Provisioning Workflow</x:v>
      </x:c>
      <x:c r="D169" s="1" t="str">
        <x:v>36.2</x:v>
      </x:c>
      <x:c r="E169" s="22" t="str">
        <x:v>Regulated Tenant Provisioning Workflow</x:v>
      </x:c>
      <x:c r="F169" s="1" t="str">
        <x:v>Software implementation</x:v>
      </x:c>
      <x:c r="G169" s="1" t="str">
        <x:v>Planned</x:v>
      </x:c>
      <x:c r="H169" s="1" t="str">
        <x:v>Completed</x:v>
      </x:c>
      <x:c r="I169" s="1" t="n">
        <x:f>COUNTIFS('Task Tracker'!$C$5:$C$800,D169,'Task Tracker'!$I$5:$I$800,"Completed")</x:f>
        <x:v>5</x:v>
      </x:c>
      <x:c r="J169" s="1" t="n">
        <x:f>COUNTIF('Task Tracker'!$C$5:$C$800,D169)</x:f>
        <x:v>5</x:v>
      </x:c>
      <x:c r="K169" s="1" t="n">
        <x:f>J169-I169</x:f>
        <x:v>0</x:v>
      </x:c>
      <x:c r="L169" s="1" t="str">
        <x:v>36.1</x:v>
      </x:c>
      <x:c r="M169" s="22" t="str"/>
      <x:c r="N169" s="22" t="str">
        <x:v>Implementation trace plus focused smoke, automated, and story-level regression evidence</x:v>
      </x:c>
      <x:c r="O169" s="22" t="str">
        <x:v>/Users/devups/.codex/skills/gccs-story-sequence/SKILL.md</x:v>
      </x:c>
      <x:c r="P169" s="22" t="str">
        <x:v>Retain traceability; rerun focused verification if the affected boundary changes.</x:v>
      </x:c>
      <x:c r="Q169" s="22" t="str">
        <x:v>Story-labeled commit 7c4455f9 contains delivery and focused test/test-result files: feat: implement story 36.2 regulated tenant provisioning</x:v>
      </x:c>
      <x:c r="R169" s="22" t="str">
        <x:v>git commit 7c4455f94929d168fd0a1a83312be76a84ff7d62; /Users/devups/Development/CodexProjects/Gccs/docs/development-story-test-cases.md</x:v>
      </x:c>
      <x:c r="S169" s="22" t="str">
        <x:v>Completion is based on immutable repository evidence; tests were not rerun and current working-tree drift was not re-certified in this reporting-only task.</x:v>
      </x:c>
      <x:c r="T169" s="13" t="str"/>
      <x:c r="U169" s="15"/>
      <x:c r="V169" s="1" t="str">
        <x:f>IF(OR(H169="Completed",H169="Not Applicable"),"No","Yes")</x:f>
        <x:v>No</x:v>
      </x:c>
    </x:row>
    <x:row r="170" ht="55" customHeight="1">
      <x:c r="A170" s="1" t="n">
        <x:v>166</x:v>
      </x:c>
      <x:c r="B170" s="1" t="str">
        <x:v>Phase 4</x:v>
      </x:c>
      <x:c r="C170" s="22" t="str">
        <x:v>Government Cloud Release And Operations Readiness</x:v>
      </x:c>
      <x:c r="D170" s="1" t="str">
        <x:v>36.3</x:v>
      </x:c>
      <x:c r="E170" s="22" t="str">
        <x:v>Government Cloud Release And Operations Readiness</x:v>
      </x:c>
      <x:c r="F170" s="1" t="str">
        <x:v>Software implementation</x:v>
      </x:c>
      <x:c r="G170" s="1" t="str">
        <x:v>Planned</x:v>
      </x:c>
      <x:c r="H170" s="1" t="str">
        <x:v>Completed</x:v>
      </x:c>
      <x:c r="I170" s="1" t="n">
        <x:f>COUNTIFS('Task Tracker'!$C$5:$C$800,D170,'Task Tracker'!$I$5:$I$800,"Completed")</x:f>
        <x:v>5</x:v>
      </x:c>
      <x:c r="J170" s="1" t="n">
        <x:f>COUNTIF('Task Tracker'!$C$5:$C$800,D170)</x:f>
        <x:v>5</x:v>
      </x:c>
      <x:c r="K170" s="1" t="n">
        <x:f>J170-I170</x:f>
        <x:v>0</x:v>
      </x:c>
      <x:c r="L170" s="1" t="str">
        <x:v>36.2</x:v>
      </x:c>
      <x:c r="M170" s="22" t="str"/>
      <x:c r="N170" s="22" t="str">
        <x:v>Implementation trace plus focused smoke, automated, and story-level regression evidence</x:v>
      </x:c>
      <x:c r="O170" s="22" t="str">
        <x:v>/Users/devups/.codex/skills/gccs-story-sequence/SKILL.md</x:v>
      </x:c>
      <x:c r="P170" s="22" t="str">
        <x:v>Retain traceability; rerun focused verification if the affected boundary changes.</x:v>
      </x:c>
      <x:c r="Q170" s="22" t="str">
        <x:v>Story-labeled commit d21359d6 contains delivery and focused test/test-result files: feat: implement story 36.3 government cloud release readiness</x:v>
      </x:c>
      <x:c r="R170" s="22" t="str">
        <x:v>git commit d21359d6791776cdcfa1644a52613cb8e6abec2f; /Users/devups/Development/CodexProjects/Gccs/docs/development-story-test-cases.md</x:v>
      </x:c>
      <x:c r="S170" s="22" t="str">
        <x:v>Completion is based on immutable repository evidence; tests were not rerun and current working-tree drift was not re-certified in this reporting-only task.</x:v>
      </x:c>
      <x:c r="T170" s="13" t="str"/>
      <x:c r="U170" s="15"/>
      <x:c r="V170" s="1" t="str">
        <x:f>IF(OR(H170="Completed",H170="Not Applicable"),"No","Yes")</x:f>
        <x:v>No</x:v>
      </x:c>
    </x:row>
    <x:row r="171" ht="55" customHeight="1">
      <x:c r="A171" s="1" t="n">
        <x:v>167</x:v>
      </x:c>
      <x:c r="B171" s="1" t="str">
        <x:v>Phase 4</x:v>
      </x:c>
      <x:c r="C171" s="22" t="str">
        <x:v>FedRAMP Control Mapping Baseline</x:v>
      </x:c>
      <x:c r="D171" s="1" t="str">
        <x:v>37.1</x:v>
      </x:c>
      <x:c r="E171" s="22" t="str">
        <x:v>FedRAMP Control Mapping Baseline</x:v>
      </x:c>
      <x:c r="F171" s="1" t="str">
        <x:v>Software implementation</x:v>
      </x:c>
      <x:c r="G171" s="1" t="str">
        <x:v>Planned</x:v>
      </x:c>
      <x:c r="H171" s="1" t="str">
        <x:v>Completed</x:v>
      </x:c>
      <x:c r="I171" s="1" t="n">
        <x:f>COUNTIFS('Task Tracker'!$C$5:$C$800,D171,'Task Tracker'!$I$5:$I$800,"Completed")</x:f>
        <x:v>5</x:v>
      </x:c>
      <x:c r="J171" s="1" t="n">
        <x:f>COUNTIF('Task Tracker'!$C$5:$C$800,D171)</x:f>
        <x:v>5</x:v>
      </x:c>
      <x:c r="K171" s="1" t="n">
        <x:f>J171-I171</x:f>
        <x:v>0</x:v>
      </x:c>
      <x:c r="L171" s="1" t="str">
        <x:v>36.3</x:v>
      </x:c>
      <x:c r="M171" s="22" t="str"/>
      <x:c r="N171" s="22" t="str">
        <x:v>Implementation trace plus focused smoke, automated, and story-level regression evidence</x:v>
      </x:c>
      <x:c r="O171" s="22" t="str">
        <x:v>/Users/devups/.codex/skills/gccs-story-sequence/SKILL.md</x:v>
      </x:c>
      <x:c r="P171" s="22" t="str">
        <x:v>Retain traceability; rerun focused verification if the affected boundary changes.</x:v>
      </x:c>
      <x:c r="Q171" s="22" t="str">
        <x:v>Story-labeled commit cb6c5814 contains delivery and focused test/test-result files: feat: implement story 37.1 fedramp control mappings</x:v>
      </x:c>
      <x:c r="R171" s="22" t="str">
        <x:v>git commit cb6c58145028c627c83d408b83940f06f220814e; /Users/devups/Development/CodexProjects/Gccs/docs/development-story-test-cases.md</x:v>
      </x:c>
      <x:c r="S171" s="22" t="str">
        <x:v>Completion is based on immutable repository evidence; tests were not rerun and current working-tree drift was not re-certified in this reporting-only task.</x:v>
      </x:c>
      <x:c r="T171" s="13" t="str"/>
      <x:c r="U171" s="15"/>
      <x:c r="V171" s="1" t="str">
        <x:f>IF(OR(H171="Completed",H171="Not Applicable"),"No","Yes")</x:f>
        <x:v>No</x:v>
      </x:c>
    </x:row>
    <x:row r="172" ht="55" customHeight="1">
      <x:c r="A172" s="1" t="n">
        <x:v>168</x:v>
      </x:c>
      <x:c r="B172" s="1" t="str">
        <x:v>Phase 4</x:v>
      </x:c>
      <x:c r="C172" s="22" t="str">
        <x:v>Trust Artifact Library</x:v>
      </x:c>
      <x:c r="D172" s="1" t="str">
        <x:v>37.2</x:v>
      </x:c>
      <x:c r="E172" s="22" t="str">
        <x:v>Trust Artifact Library</x:v>
      </x:c>
      <x:c r="F172" s="1" t="str">
        <x:v>Software implementation</x:v>
      </x:c>
      <x:c r="G172" s="1" t="str">
        <x:v>Planned</x:v>
      </x:c>
      <x:c r="H172" s="1" t="str">
        <x:v>Completed</x:v>
      </x:c>
      <x:c r="I172" s="1" t="n">
        <x:f>COUNTIFS('Task Tracker'!$C$5:$C$800,D172,'Task Tracker'!$I$5:$I$800,"Completed")</x:f>
        <x:v>5</x:v>
      </x:c>
      <x:c r="J172" s="1" t="n">
        <x:f>COUNTIF('Task Tracker'!$C$5:$C$800,D172)</x:f>
        <x:v>5</x:v>
      </x:c>
      <x:c r="K172" s="1" t="n">
        <x:f>J172-I172</x:f>
        <x:v>0</x:v>
      </x:c>
      <x:c r="L172" s="1" t="str">
        <x:v>37.1</x:v>
      </x:c>
      <x:c r="M172" s="22" t="str"/>
      <x:c r="N172" s="22" t="str">
        <x:v>Implementation trace plus focused smoke, automated, and story-level regression evidence</x:v>
      </x:c>
      <x:c r="O172" s="22" t="str">
        <x:v>/Users/devups/.codex/skills/gccs-story-sequence/SKILL.md</x:v>
      </x:c>
      <x:c r="P172" s="22" t="str">
        <x:v>Retain traceability; rerun focused verification if the affected boundary changes.</x:v>
      </x:c>
      <x:c r="Q172" s="22" t="str">
        <x:v>Story-labeled commit f8c06848 contains delivery and focused test/test-result files: feat: implement story 37.2 trust artifact library</x:v>
      </x:c>
      <x:c r="R172" s="22" t="str">
        <x:v>git commit f8c068482e6949f210223442e78436c43c0fa2ff; /Users/devups/Development/CodexProjects/Gccs/docs/development-story-test-cases.md</x:v>
      </x:c>
      <x:c r="S172" s="22" t="str">
        <x:v>Completion is based on immutable repository evidence; tests were not rerun and current working-tree drift was not re-certified in this reporting-only task.</x:v>
      </x:c>
      <x:c r="T172" s="13" t="str"/>
      <x:c r="U172" s="15"/>
      <x:c r="V172" s="1" t="str">
        <x:f>IF(OR(H172="Completed",H172="Not Applicable"),"No","Yes")</x:f>
        <x:v>No</x:v>
      </x:c>
    </x:row>
    <x:row r="173" ht="55" customHeight="1">
      <x:c r="A173" s="1" t="n">
        <x:v>169</x:v>
      </x:c>
      <x:c r="B173" s="1" t="str">
        <x:v>Phase 4</x:v>
      </x:c>
      <x:c r="C173" s="22" t="str">
        <x:v>FedRAMP Readiness Export Package</x:v>
      </x:c>
      <x:c r="D173" s="1" t="str">
        <x:v>37.3</x:v>
      </x:c>
      <x:c r="E173" s="22" t="str">
        <x:v>FedRAMP Readiness Export Package</x:v>
      </x:c>
      <x:c r="F173" s="1" t="str">
        <x:v>Software implementation</x:v>
      </x:c>
      <x:c r="G173" s="1" t="str">
        <x:v>Planned</x:v>
      </x:c>
      <x:c r="H173" s="1" t="str">
        <x:v>Completed</x:v>
      </x:c>
      <x:c r="I173" s="1" t="n">
        <x:f>COUNTIFS('Task Tracker'!$C$5:$C$800,D173,'Task Tracker'!$I$5:$I$800,"Completed")</x:f>
        <x:v>5</x:v>
      </x:c>
      <x:c r="J173" s="1" t="n">
        <x:f>COUNTIF('Task Tracker'!$C$5:$C$800,D173)</x:f>
        <x:v>5</x:v>
      </x:c>
      <x:c r="K173" s="1" t="n">
        <x:f>J173-I173</x:f>
        <x:v>0</x:v>
      </x:c>
      <x:c r="L173" s="1" t="str">
        <x:v>37.2</x:v>
      </x:c>
      <x:c r="M173" s="22" t="str"/>
      <x:c r="N173" s="22" t="str">
        <x:v>Implementation trace plus focused smoke, automated, and story-level regression evidence</x:v>
      </x:c>
      <x:c r="O173" s="22" t="str">
        <x:v>/Users/devups/.codex/skills/gccs-story-sequence/SKILL.md</x:v>
      </x:c>
      <x:c r="P173" s="22" t="str">
        <x:v>Retain traceability; rerun focused verification if the affected boundary changes.</x:v>
      </x:c>
      <x:c r="Q173" s="22" t="str">
        <x:v>Story-labeled commit 40fb9266 contains delivery and focused test/test-result files: feat: implement story 37.3 fedramp readiness package</x:v>
      </x:c>
      <x:c r="R173" s="22" t="str">
        <x:v>git commit 40fb92661e50e4e60fa34b6c311f72c6c0551262; /Users/devups/Development/CodexProjects/Gccs/docs/development-story-test-cases.md</x:v>
      </x:c>
      <x:c r="S173" s="22" t="str">
        <x:v>Completion is based on immutable repository evidence; tests were not rerun and current working-tree drift was not re-certified in this reporting-only task.</x:v>
      </x:c>
      <x:c r="T173" s="13" t="str"/>
      <x:c r="U173" s="15"/>
      <x:c r="V173" s="1" t="str">
        <x:f>IF(OR(H173="Completed",H173="Not Applicable"),"No","Yes")</x:f>
        <x:v>No</x:v>
      </x:c>
    </x:row>
    <x:row r="174" ht="55" customHeight="1">
      <x:c r="A174" s="1" t="n">
        <x:v>170</x:v>
      </x:c>
      <x:c r="B174" s="1" t="str">
        <x:v>Phase 4</x:v>
      </x:c>
      <x:c r="C174" s="22" t="str">
        <x:v>CUI Enclave Boundary Model</x:v>
      </x:c>
      <x:c r="D174" s="1" t="str">
        <x:v>38.1</x:v>
      </x:c>
      <x:c r="E174" s="22" t="str">
        <x:v>CUI Enclave Boundary Model</x:v>
      </x:c>
      <x:c r="F174" s="1" t="str">
        <x:v>Software implementation</x:v>
      </x:c>
      <x:c r="G174" s="1" t="str">
        <x:v>Planned</x:v>
      </x:c>
      <x:c r="H174" s="1" t="str">
        <x:v>Completed</x:v>
      </x:c>
      <x:c r="I174" s="1" t="n">
        <x:f>COUNTIFS('Task Tracker'!$C$5:$C$800,D174,'Task Tracker'!$I$5:$I$800,"Completed")</x:f>
        <x:v>5</x:v>
      </x:c>
      <x:c r="J174" s="1" t="n">
        <x:f>COUNTIF('Task Tracker'!$C$5:$C$800,D174)</x:f>
        <x:v>5</x:v>
      </x:c>
      <x:c r="K174" s="1" t="n">
        <x:f>J174-I174</x:f>
        <x:v>0</x:v>
      </x:c>
      <x:c r="L174" s="1" t="str">
        <x:v>37.3</x:v>
      </x:c>
      <x:c r="M174" s="22" t="str"/>
      <x:c r="N174" s="22" t="str">
        <x:v>Implementation trace plus focused smoke, automated, and story-level regression evidence</x:v>
      </x:c>
      <x:c r="O174" s="22" t="str">
        <x:v>/Users/devups/.codex/skills/gccs-story-sequence/SKILL.md</x:v>
      </x:c>
      <x:c r="P174" s="22" t="str">
        <x:v>Retain traceability; rerun focused verification if the affected boundary changes.</x:v>
      </x:c>
      <x:c r="Q174" s="22" t="str">
        <x:v>Story-labeled commit 7d96e24e contains delivery and focused test/test-result files: feat: implement story 38.1 cui enclave boundary</x:v>
      </x:c>
      <x:c r="R174" s="22" t="str">
        <x:v>git commit 7d96e24e50d3d7a4bda93f7e819bc48ca36a63b9; /Users/devups/Development/CodexProjects/Gccs/docs/development-story-test-cases.md</x:v>
      </x:c>
      <x:c r="S174" s="22" t="str">
        <x:v>Completion is based on immutable repository evidence; tests were not rerun and current working-tree drift was not re-certified in this reporting-only task.</x:v>
      </x:c>
      <x:c r="T174" s="13" t="str"/>
      <x:c r="U174" s="15"/>
      <x:c r="V174" s="1" t="str">
        <x:f>IF(OR(H174="Completed",H174="Not Applicable"),"No","Yes")</x:f>
        <x:v>No</x:v>
      </x:c>
    </x:row>
    <x:row r="175" ht="55" customHeight="1">
      <x:c r="A175" s="1" t="n">
        <x:v>171</x:v>
      </x:c>
      <x:c r="B175" s="1" t="str">
        <x:v>Phase 4</x:v>
      </x:c>
      <x:c r="C175" s="22" t="str">
        <x:v>Customer-Managed Key Policy And Rotation</x:v>
      </x:c>
      <x:c r="D175" s="1" t="str">
        <x:v>38.2</x:v>
      </x:c>
      <x:c r="E175" s="22" t="str">
        <x:v>Customer-Managed Key Policy And Rotation</x:v>
      </x:c>
      <x:c r="F175" s="1" t="str">
        <x:v>Software implementation</x:v>
      </x:c>
      <x:c r="G175" s="1" t="str">
        <x:v>Planned</x:v>
      </x:c>
      <x:c r="H175" s="1" t="str">
        <x:v>Completed</x:v>
      </x:c>
      <x:c r="I175" s="1" t="n">
        <x:f>COUNTIFS('Task Tracker'!$C$5:$C$800,D175,'Task Tracker'!$I$5:$I$800,"Completed")</x:f>
        <x:v>5</x:v>
      </x:c>
      <x:c r="J175" s="1" t="n">
        <x:f>COUNTIF('Task Tracker'!$C$5:$C$800,D175)</x:f>
        <x:v>5</x:v>
      </x:c>
      <x:c r="K175" s="1" t="n">
        <x:f>J175-I175</x:f>
        <x:v>0</x:v>
      </x:c>
      <x:c r="L175" s="1" t="str">
        <x:v>38.1</x:v>
      </x:c>
      <x:c r="M175" s="22" t="str"/>
      <x:c r="N175" s="22" t="str">
        <x:v>Implementation trace plus focused smoke, automated, and story-level regression evidence</x:v>
      </x:c>
      <x:c r="O175" s="22" t="str">
        <x:v>/Users/devups/.codex/skills/gccs-story-sequence/SKILL.md</x:v>
      </x:c>
      <x:c r="P175" s="22" t="str">
        <x:v>Retain traceability; rerun focused verification if the affected boundary changes.</x:v>
      </x:c>
      <x:c r="Q175" s="22" t="str">
        <x:v>Story-labeled commit dc8203df contains delivery and focused test/test-result files: feat: implement story 38.2 customer managed keys</x:v>
      </x:c>
      <x:c r="R175" s="22" t="str">
        <x:v>git commit dc8203dffd8719b906c32e4d63511e230c64b2d9; /Users/devups/Development/CodexProjects/Gccs/docs/development-story-test-cases.md</x:v>
      </x:c>
      <x:c r="S175" s="22" t="str">
        <x:v>Completion is based on immutable repository evidence; tests were not rerun and current working-tree drift was not re-certified in this reporting-only task.</x:v>
      </x:c>
      <x:c r="T175" s="13" t="str"/>
      <x:c r="U175" s="15"/>
      <x:c r="V175" s="1" t="str">
        <x:f>IF(OR(H175="Completed",H175="Not Applicable"),"No","Yes")</x:f>
        <x:v>No</x:v>
      </x:c>
    </x:row>
    <x:row r="176" ht="55" customHeight="1">
      <x:c r="A176" s="1" t="n">
        <x:v>172</x:v>
      </x:c>
      <x:c r="B176" s="1" t="str">
        <x:v>Phase 4</x:v>
      </x:c>
      <x:c r="C176" s="22" t="str">
        <x:v>Enclave Access, Export, And Support Controls</x:v>
      </x:c>
      <x:c r="D176" s="1" t="str">
        <x:v>38.3</x:v>
      </x:c>
      <x:c r="E176" s="22" t="str">
        <x:v>Enclave Access, Export, And Support Controls</x:v>
      </x:c>
      <x:c r="F176" s="1" t="str">
        <x:v>Software implementation</x:v>
      </x:c>
      <x:c r="G176" s="1" t="str">
        <x:v>Planned</x:v>
      </x:c>
      <x:c r="H176" s="1" t="str">
        <x:v>Completed</x:v>
      </x:c>
      <x:c r="I176" s="1" t="n">
        <x:f>COUNTIFS('Task Tracker'!$C$5:$C$800,D176,'Task Tracker'!$I$5:$I$800,"Completed")</x:f>
        <x:v>5</x:v>
      </x:c>
      <x:c r="J176" s="1" t="n">
        <x:f>COUNTIF('Task Tracker'!$C$5:$C$800,D176)</x:f>
        <x:v>5</x:v>
      </x:c>
      <x:c r="K176" s="1" t="n">
        <x:f>J176-I176</x:f>
        <x:v>0</x:v>
      </x:c>
      <x:c r="L176" s="1" t="str">
        <x:v>38.2</x:v>
      </x:c>
      <x:c r="M176" s="22" t="str"/>
      <x:c r="N176" s="22" t="str">
        <x:v>Implementation trace plus focused smoke, automated, and story-level regression evidence</x:v>
      </x:c>
      <x:c r="O176" s="22" t="str">
        <x:v>/Users/devups/.codex/skills/gccs-story-sequence/SKILL.md</x:v>
      </x:c>
      <x:c r="P176" s="22" t="str">
        <x:v>Retain traceability; rerun focused verification if the affected boundary changes.</x:v>
      </x:c>
      <x:c r="Q176" s="22" t="str">
        <x:v>Story-labeled commit 51f75353 contains delivery and focused test/test-result files: feat: implement story 38.3 enclave access controls</x:v>
      </x:c>
      <x:c r="R176" s="22" t="str">
        <x:v>git commit 51f753534597666f8e2fa528cd46b122e4e59545; /Users/devups/Development/CodexProjects/Gccs/docs/development-story-test-cases.md</x:v>
      </x:c>
      <x:c r="S176" s="22" t="str">
        <x:v>Completion is based on immutable repository evidence; tests were not rerun and current working-tree drift was not re-certified in this reporting-only task.</x:v>
      </x:c>
      <x:c r="T176" s="13" t="str"/>
      <x:c r="U176" s="15"/>
      <x:c r="V176" s="1" t="str">
        <x:f>IF(OR(H176="Completed",H176="Not Applicable"),"No","Yes")</x:f>
        <x:v>No</x:v>
      </x:c>
    </x:row>
    <x:row r="177" ht="55" customHeight="1">
      <x:c r="A177" s="1" t="n">
        <x:v>173</x:v>
      </x:c>
      <x:c r="B177" s="1" t="str">
        <x:v>Phase 4</x:v>
      </x:c>
      <x:c r="C177" s="22" t="str">
        <x:v>SOC 2 assurance program</x:v>
      </x:c>
      <x:c r="D177" s="1" t="str">
        <x:v>39.1</x:v>
      </x:c>
      <x:c r="E177" s="22" t="str">
        <x:v>Define SOC 2 Scope And Readiness Decision</x:v>
      </x:c>
      <x:c r="F177" s="1" t="str">
        <x:v>Independent assurance / governance</x:v>
      </x:c>
      <x:c r="G177" s="1" t="str">
        <x:v>Planned</x:v>
      </x:c>
      <x:c r="H177" s="1" t="str">
        <x:v>External/Human Gate</x:v>
      </x:c>
      <x:c r="I177" s="1" t="n">
        <x:f>COUNTIFS('Task Tracker'!$C$5:$C$800,D177,'Task Tracker'!$I$5:$I$800,"Completed")</x:f>
        <x:v>0</x:v>
      </x:c>
      <x:c r="J177" s="1" t="n">
        <x:f>COUNTIF('Task Tracker'!$C$5:$C$800,D177)</x:f>
        <x:v>4</x:v>
      </x:c>
      <x:c r="K177" s="1" t="n">
        <x:f>J177-I177</x:f>
        <x:v>4</x:v>
      </x:c>
      <x:c r="L177" s="1" t="str">
        <x:v>38.3</x:v>
      </x:c>
      <x:c r="M177" s="22" t="str">
        <x:v>Commercial activation, scoped controls, operating evidence period, qualified auditor, and issued report evidence.</x:v>
      </x:c>
      <x:c r="N177" s="22" t="str">
        <x:v>Governed evidence review; independent report evidence where applicable</x:v>
      </x:c>
      <x:c r="O177" s="22" t="str">
        <x:v>/Users/devups/Development/CodexProjects/Gccs/docs/development-story-test-prompts.md</x:v>
      </x:c>
      <x:c r="P177" s="22" t="str">
        <x:v>Run governed human/external workflow for Story 39.1 only after the documented activation prerequisites are met.</x:v>
      </x:c>
      <x:c r="Q177" s="22" t="str">
        <x:v>SOC 2 story is defined as a governance/independent-assurance workflow; no authoritative external report evidence is claimed.</x:v>
      </x:c>
      <x:c r="R177" s="22" t="str">
        <x:v>/Users/devups/Development/CodexProjects/Gccs/docs/development-phase-use-cases.md (line 3291)</x:v>
      </x:c>
      <x:c r="S177" s="22" t="str">
        <x:v>Internal readiness artifacts do not prove SOC 2 examination completion or report issuance.</x:v>
      </x:c>
      <x:c r="T177" s="13" t="str"/>
      <x:c r="U177" s="15"/>
      <x:c r="V177" s="1" t="str">
        <x:f>IF(OR(H177="Completed",H177="Not Applicable"),"No","Yes")</x:f>
        <x:v>Yes</x:v>
      </x:c>
    </x:row>
    <x:row r="178" ht="55" customHeight="1">
      <x:c r="A178" s="1" t="n">
        <x:v>174</x:v>
      </x:c>
      <x:c r="B178" s="1" t="str">
        <x:v>Phase 4</x:v>
      </x:c>
      <x:c r="C178" s="22" t="str">
        <x:v>SOC 2 assurance program</x:v>
      </x:c>
      <x:c r="D178" s="1" t="str">
        <x:v>39.2</x:v>
      </x:c>
      <x:c r="E178" s="22" t="str">
        <x:v>Remediate Gaps And Collect Operating Evidence</x:v>
      </x:c>
      <x:c r="F178" s="1" t="str">
        <x:v>Independent assurance / governance</x:v>
      </x:c>
      <x:c r="G178" s="1" t="str">
        <x:v>Planned</x:v>
      </x:c>
      <x:c r="H178" s="1" t="str">
        <x:v>External/Human Gate</x:v>
      </x:c>
      <x:c r="I178" s="1" t="n">
        <x:f>COUNTIFS('Task Tracker'!$C$5:$C$800,D178,'Task Tracker'!$I$5:$I$800,"Completed")</x:f>
        <x:v>0</x:v>
      </x:c>
      <x:c r="J178" s="1" t="n">
        <x:f>COUNTIF('Task Tracker'!$C$5:$C$800,D178)</x:f>
        <x:v>4</x:v>
      </x:c>
      <x:c r="K178" s="1" t="n">
        <x:f>J178-I178</x:f>
        <x:v>4</x:v>
      </x:c>
      <x:c r="L178" s="1" t="str">
        <x:v>39.1</x:v>
      </x:c>
      <x:c r="M178" s="22" t="str">
        <x:v>Commercial activation, scoped controls, operating evidence period, qualified auditor, and issued report evidence.</x:v>
      </x:c>
      <x:c r="N178" s="22" t="str">
        <x:v>Governed evidence review; independent report evidence where applicable</x:v>
      </x:c>
      <x:c r="O178" s="22" t="str">
        <x:v>/Users/devups/Development/CodexProjects/Gccs/docs/development-story-test-prompts.md</x:v>
      </x:c>
      <x:c r="P178" s="22" t="str">
        <x:v>Run governed human/external workflow for Story 39.2 only after the documented activation prerequisites are met.</x:v>
      </x:c>
      <x:c r="Q178" s="22" t="str">
        <x:v>SOC 2 story is defined as a governance/independent-assurance workflow; no authoritative external report evidence is claimed.</x:v>
      </x:c>
      <x:c r="R178" s="22" t="str">
        <x:v>/Users/devups/Development/CodexProjects/Gccs/docs/development-phase-use-cases.md (line 3311)</x:v>
      </x:c>
      <x:c r="S178" s="22" t="str">
        <x:v>Internal readiness artifacts do not prove SOC 2 examination completion or report issuance.</x:v>
      </x:c>
      <x:c r="T178" s="13" t="str"/>
      <x:c r="U178" s="15"/>
      <x:c r="V178" s="1" t="str">
        <x:f>IF(OR(H178="Completed",H178="Not Applicable"),"No","Yes")</x:f>
        <x:v>Yes</x:v>
      </x:c>
    </x:row>
    <x:row r="179" ht="55" customHeight="1">
      <x:c r="A179" s="1" t="n">
        <x:v>175</x:v>
      </x:c>
      <x:c r="B179" s="1" t="str">
        <x:v>Phase 4</x:v>
      </x:c>
      <x:c r="C179" s="22" t="str">
        <x:v>SOC 2 assurance program</x:v>
      </x:c>
      <x:c r="D179" s="1" t="str">
        <x:v>39.3</x:v>
      </x:c>
      <x:c r="E179" s="22" t="str">
        <x:v>Govern Independent Examination And Report Distribution</x:v>
      </x:c>
      <x:c r="F179" s="1" t="str">
        <x:v>Independent assurance / governance</x:v>
      </x:c>
      <x:c r="G179" s="1" t="str">
        <x:v>Planned</x:v>
      </x:c>
      <x:c r="H179" s="1" t="str">
        <x:v>External/Human Gate</x:v>
      </x:c>
      <x:c r="I179" s="1" t="n">
        <x:f>COUNTIFS('Task Tracker'!$C$5:$C$800,D179,'Task Tracker'!$I$5:$I$800,"Completed")</x:f>
        <x:v>0</x:v>
      </x:c>
      <x:c r="J179" s="1" t="n">
        <x:f>COUNTIF('Task Tracker'!$C$5:$C$800,D179)</x:f>
        <x:v>4</x:v>
      </x:c>
      <x:c r="K179" s="1" t="n">
        <x:f>J179-I179</x:f>
        <x:v>4</x:v>
      </x:c>
      <x:c r="L179" s="1" t="str">
        <x:v>39.2</x:v>
      </x:c>
      <x:c r="M179" s="22" t="str">
        <x:v>Commercial activation, scoped controls, operating evidence period, qualified auditor, and issued report evidence.</x:v>
      </x:c>
      <x:c r="N179" s="22" t="str">
        <x:v>Governed evidence review; independent report evidence where applicable</x:v>
      </x:c>
      <x:c r="O179" s="22" t="str">
        <x:v>/Users/devups/Development/CodexProjects/Gccs/docs/development-story-test-prompts.md</x:v>
      </x:c>
      <x:c r="P179" s="22" t="str">
        <x:v>Run governed human/external workflow for Story 39.3 only after the documented activation prerequisites are met.</x:v>
      </x:c>
      <x:c r="Q179" s="22" t="str">
        <x:v>SOC 2 story is defined as a governance/independent-assurance workflow; no authoritative external report evidence is claimed.</x:v>
      </x:c>
      <x:c r="R179" s="22" t="str">
        <x:v>/Users/devups/Development/CodexProjects/Gccs/docs/development-phase-use-cases.md (line 3331)</x:v>
      </x:c>
      <x:c r="S179" s="22" t="str">
        <x:v>Internal readiness artifacts do not prove SOC 2 examination completion or report issuance.</x:v>
      </x:c>
      <x:c r="T179" s="13" t="str"/>
      <x:c r="U179" s="15"/>
      <x:c r="V179" s="1" t="str">
        <x:f>IF(OR(H179="Completed",H179="Not Applicable"),"No","Yes")</x:f>
        <x:v>Yes</x:v>
      </x:c>
    </x:row>
    <x:row r="180" ht="55" customHeight="1">
      <x:c r="A180" s="1" t="n">
        <x:v>176</x:v>
      </x:c>
      <x:c r="B180" s="1" t="str">
        <x:v>FedRAMP</x:v>
      </x:c>
      <x:c r="C180" s="22" t="str">
        <x:v>FedRAMP activation and assurance</x:v>
      </x:c>
      <x:c r="D180" s="1" t="str">
        <x:v>FR-0</x:v>
      </x:c>
      <x:c r="E180" s="22" t="str">
        <x:v>Maintain a documented FedRAMP decision record covering target customers, federal use case, expected information types, likely impact level or certification class, budget, owner, and activation-gate status</x:v>
      </x:c>
      <x:c r="F180" s="1" t="str">
        <x:v>FedRAMP program gate</x:v>
      </x:c>
      <x:c r="G180" s="1" t="str">
        <x:v>Planned</x:v>
      </x:c>
      <x:c r="H180" s="1" t="str">
        <x:v>Not Verified</x:v>
      </x:c>
      <x:c r="I180" s="1" t="n">
        <x:f>COUNTIFS('Task Tracker'!$C$5:$C$800,D180,'Task Tracker'!$I$5:$I$800,"Completed")</x:f>
        <x:v>0</x:v>
      </x:c>
      <x:c r="J180" s="1" t="n">
        <x:f>COUNTIF('Task Tracker'!$C$5:$C$800,D180)</x:f>
        <x:v>1</x:v>
      </x:c>
      <x:c r="K180" s="1" t="n">
        <x:f>J180-I180</x:f>
        <x:v>1</x:v>
      </x:c>
      <x:c r="L180" s="1" t="str"/>
      <x:c r="M180" s="22" t="str">
        <x:v>FedRAMP activation gate and current-rule revalidation.</x:v>
      </x:c>
      <x:c r="N180" s="22" t="str">
        <x:v>Governed decision and implementation/operating evidence</x:v>
      </x:c>
      <x:c r="O180" s="22" t="str">
        <x:v>Governed human/external FedRAMP process; do not use the software story sequence</x:v>
      </x:c>
      <x:c r="P180" s="22" t="str">
        <x:v>Inventory evidence for FR-0 and record a governed proceed/defer decision.</x:v>
      </x:c>
      <x:c r="Q180" s="22" t="str">
        <x:v>Approved decision record with dated reviews and an explicit proceed/defer decision.</x:v>
      </x:c>
      <x:c r="R180" s="22" t="str">
        <x:v>/Users/devups/Development/CodexProjects/Gccs/docs/mvp-roadmap.md (line 105)</x:v>
      </x:c>
      <x:c r="S180" s="22" t="str">
        <x:v>Roadmap status is not authorization evidence; no FedRAMP authorization/equivalence claim is permitted.</x:v>
      </x:c>
      <x:c r="T180" s="13" t="str"/>
      <x:c r="U180" s="15"/>
      <x:c r="V180" s="1" t="str">
        <x:f>IF(OR(H180="Completed",H180="Not Applicable"),"No","Yes")</x:f>
        <x:v>Yes</x:v>
      </x:c>
    </x:row>
    <x:row r="181" ht="55" customHeight="1">
      <x:c r="A181" s="1" t="n">
        <x:v>177</x:v>
      </x:c>
      <x:c r="B181" s="1" t="str">
        <x:v>FedRAMP</x:v>
      </x:c>
      <x:c r="C181" s="22" t="str">
        <x:v>FedRAMP activation and assurance</x:v>
      </x:c>
      <x:c r="D181" s="1" t="str">
        <x:v>FR-1</x:v>
      </x:c>
      <x:c r="E181" s="22" t="str">
        <x:v>The legacy client Boolean is retained temporarily for compatibility but ignored, and readiness-package language always fails closed</x:v>
      </x:c>
      <x:c r="F181" s="1" t="str">
        <x:v>FedRAMP program gate</x:v>
      </x:c>
      <x:c r="G181" s="1" t="str">
        <x:v>Partially implemented</x:v>
      </x:c>
      <x:c r="H181" s="1" t="str">
        <x:v>Partially Completed</x:v>
      </x:c>
      <x:c r="I181" s="1" t="n">
        <x:f>COUNTIFS('Task Tracker'!$C$5:$C$800,D181,'Task Tracker'!$I$5:$I$800,"Completed")</x:f>
        <x:v>0</x:v>
      </x:c>
      <x:c r="J181" s="1" t="n">
        <x:f>COUNTIF('Task Tracker'!$C$5:$C$800,D181)</x:f>
        <x:v>1</x:v>
      </x:c>
      <x:c r="K181" s="1" t="n">
        <x:f>J181-I181</x:f>
        <x:v>1</x:v>
      </x:c>
      <x:c r="L181" s="1" t="str">
        <x:v>FR-0</x:v>
      </x:c>
      <x:c r="M181" s="22" t="str">
        <x:v>FedRAMP activation gate and current-rule revalidation.</x:v>
      </x:c>
      <x:c r="N181" s="22" t="str">
        <x:v>Governed decision and implementation/operating evidence</x:v>
      </x:c>
      <x:c r="O181" s="22" t="str">
        <x:v>Governed human/external FedRAMP process; do not use the software story sequence</x:v>
      </x:c>
      <x:c r="P181" s="22" t="str">
        <x:v>Inventory evidence for FR-1 and record a governed proceed/defer decision.</x:v>
      </x:c>
      <x:c r="Q181" s="22" t="str">
        <x:v>Current true-Boolean API test proves tenant administrators cannot produce positive authorization wording. Future completion requires governance allow/deny, expiry, concurrency, and rollback evidence.</x:v>
      </x:c>
      <x:c r="R181" s="22" t="str">
        <x:v>/Users/devups/Development/CodexProjects/Gccs/docs/mvp-roadmap.md (line 106)</x:v>
      </x:c>
      <x:c r="S181" s="22" t="str">
        <x:v>Roadmap status is not authorization evidence; no FedRAMP authorization/equivalence claim is permitted.</x:v>
      </x:c>
      <x:c r="T181" s="13" t="str"/>
      <x:c r="U181" s="15"/>
      <x:c r="V181" s="1" t="str">
        <x:f>IF(OR(H181="Completed",H181="Not Applicable"),"No","Yes")</x:f>
        <x:v>Yes</x:v>
      </x:c>
    </x:row>
    <x:row r="182" ht="55" customHeight="1">
      <x:c r="A182" s="1" t="n">
        <x:v>178</x:v>
      </x:c>
      <x:c r="B182" s="1" t="str">
        <x:v>FedRAMP</x:v>
      </x:c>
      <x:c r="C182" s="22" t="str">
        <x:v>FedRAMP activation and assurance</x:v>
      </x:c>
      <x:c r="D182" s="1" t="str">
        <x:v>FR-2</x:v>
      </x:c>
      <x:c r="E182" s="22" t="str">
        <x:v>Control mappings, gaps, evidence links, readiness packages, included-record snapshots, and lifecycle history now have durable tenant-scoped EF persistence, optimistic concurrency, and transactional audit writes</x:v>
      </x:c>
      <x:c r="F182" s="1" t="str">
        <x:v>FedRAMP program gate</x:v>
      </x:c>
      <x:c r="G182" s="1" t="str">
        <x:v>Partially implemented</x:v>
      </x:c>
      <x:c r="H182" s="1" t="str">
        <x:v>Partially Completed</x:v>
      </x:c>
      <x:c r="I182" s="1" t="n">
        <x:f>COUNTIFS('Task Tracker'!$C$5:$C$800,D182,'Task Tracker'!$I$5:$I$800,"Completed")</x:f>
        <x:v>0</x:v>
      </x:c>
      <x:c r="J182" s="1" t="n">
        <x:f>COUNTIF('Task Tracker'!$C$5:$C$800,D182)</x:f>
        <x:v>1</x:v>
      </x:c>
      <x:c r="K182" s="1" t="n">
        <x:f>J182-I182</x:f>
        <x:v>1</x:v>
      </x:c>
      <x:c r="L182" s="1" t="str">
        <x:v>FR-1</x:v>
      </x:c>
      <x:c r="M182" s="22" t="str">
        <x:v>FedRAMP activation gate and current-rule revalidation.</x:v>
      </x:c>
      <x:c r="N182" s="22" t="str">
        <x:v>Governed decision and implementation/operating evidence</x:v>
      </x:c>
      <x:c r="O182" s="22" t="str">
        <x:v>Governed human/external FedRAMP process; do not use the software story sequence</x:v>
      </x:c>
      <x:c r="P182" s="22" t="str">
        <x:v>Inventory evidence for FR-2 and record a governed proceed/defer decision.</x:v>
      </x:c>
      <x:c r="Q182" s="22" t="str">
        <x:v>Additive migration; restart and tenant-isolation tests; PostgreSQL concurrency and audit-rollback tests. Complete when trust and SSP repositories have equivalent evidence.</x:v>
      </x:c>
      <x:c r="R182" s="22" t="str">
        <x:v>/Users/devups/Development/CodexProjects/Gccs/docs/mvp-roadmap.md (line 107)</x:v>
      </x:c>
      <x:c r="S182" s="22" t="str">
        <x:v>Roadmap status is not authorization evidence; no FedRAMP authorization/equivalence claim is permitted.</x:v>
      </x:c>
      <x:c r="T182" s="13" t="str"/>
      <x:c r="U182" s="15"/>
      <x:c r="V182" s="1" t="str">
        <x:f>IF(OR(H182="Completed",H182="Not Applicable"),"No","Yes")</x:f>
        <x:v>Yes</x:v>
      </x:c>
    </x:row>
    <x:row r="183" ht="55" customHeight="1">
      <x:c r="A183" s="1" t="n">
        <x:v>179</x:v>
      </x:c>
      <x:c r="B183" s="1" t="str">
        <x:v>FedRAMP</x:v>
      </x:c>
      <x:c r="C183" s="22" t="str">
        <x:v>FedRAMP activation and assurance</x:v>
      </x:c>
      <x:c r="D183" s="1" t="str">
        <x:v>FR-3</x:v>
      </x:c>
      <x:c r="E183" s="22" t="str">
        <x:v>Preserve reusable security foundations: tenant isolation, server-side RBAC, MFA-capable identity, least-privilege administration, encryption, secrets management, immutable audit history, vulnerability and dependency scanning, SBOM inventory, hardened configuration, backup/restore rehearsal, incident response, change control, and evidence retention</x:v>
      </x:c>
      <x:c r="F183" s="1" t="str">
        <x:v>FedRAMP program gate</x:v>
      </x:c>
      <x:c r="G183" s="1" t="str">
        <x:v>Planned</x:v>
      </x:c>
      <x:c r="H183" s="1" t="str">
        <x:v>Not Verified</x:v>
      </x:c>
      <x:c r="I183" s="1" t="n">
        <x:f>COUNTIFS('Task Tracker'!$C$5:$C$800,D183,'Task Tracker'!$I$5:$I$800,"Completed")</x:f>
        <x:v>0</x:v>
      </x:c>
      <x:c r="J183" s="1" t="n">
        <x:f>COUNTIF('Task Tracker'!$C$5:$C$800,D183)</x:f>
        <x:v>1</x:v>
      </x:c>
      <x:c r="K183" s="1" t="n">
        <x:f>J183-I183</x:f>
        <x:v>1</x:v>
      </x:c>
      <x:c r="L183" s="1" t="str">
        <x:v>FR-2</x:v>
      </x:c>
      <x:c r="M183" s="22" t="str">
        <x:v>FedRAMP activation gate and current-rule revalidation.</x:v>
      </x:c>
      <x:c r="N183" s="22" t="str">
        <x:v>Governed decision and implementation/operating evidence</x:v>
      </x:c>
      <x:c r="O183" s="22" t="str">
        <x:v>Governed human/external FedRAMP process; do not use the software story sequence</x:v>
      </x:c>
      <x:c r="P183" s="22" t="str">
        <x:v>Inventory evidence for FR-3 and record a governed proceed/defer decision.</x:v>
      </x:c>
      <x:c r="Q183" s="22" t="str">
        <x:v>Control-owner matrix and operating evidence from the commercial No-CUI environment; no claim that this evidence establishes FedRAMP status.</x:v>
      </x:c>
      <x:c r="R183" s="22" t="str">
        <x:v>/Users/devups/Development/CodexProjects/Gccs/docs/mvp-roadmap.md (line 108)</x:v>
      </x:c>
      <x:c r="S183" s="22" t="str">
        <x:v>Roadmap status is not authorization evidence; no FedRAMP authorization/equivalence claim is permitted.</x:v>
      </x:c>
      <x:c r="T183" s="13" t="str"/>
      <x:c r="U183" s="15"/>
      <x:c r="V183" s="1" t="str">
        <x:f>IF(OR(H183="Completed",H183="Not Applicable"),"No","Yes")</x:f>
        <x:v>Yes</x:v>
      </x:c>
    </x:row>
    <x:row r="184" ht="55" customHeight="1">
      <x:c r="A184" s="1" t="n">
        <x:v>180</x:v>
      </x:c>
      <x:c r="B184" s="1" t="str">
        <x:v>FedRAMP</x:v>
      </x:c>
      <x:c r="C184" s="22" t="str">
        <x:v>FedRAMP activation and assurance</x:v>
      </x:c>
      <x:c r="D184" s="1" t="str">
        <x:v>FR-4</x:v>
      </x:c>
      <x:c r="E184" s="22" t="str">
        <x:v>Define the prospective cloud service offering and minimum assessment boundary, including application components, data flows, information resources, administrators, subprocessors, inherited cloud controls, external connections, customer responsibilities, and prohibited data</x:v>
      </x:c>
      <x:c r="F184" s="1" t="str">
        <x:v>FedRAMP program gate</x:v>
      </x:c>
      <x:c r="G184" s="1" t="str">
        <x:v>Planned</x:v>
      </x:c>
      <x:c r="H184" s="1" t="str">
        <x:v>Not Verified</x:v>
      </x:c>
      <x:c r="I184" s="1" t="n">
        <x:f>COUNTIFS('Task Tracker'!$C$5:$C$800,D184,'Task Tracker'!$I$5:$I$800,"Completed")</x:f>
        <x:v>0</x:v>
      </x:c>
      <x:c r="J184" s="1" t="n">
        <x:f>COUNTIF('Task Tracker'!$C$5:$C$800,D184)</x:f>
        <x:v>1</x:v>
      </x:c>
      <x:c r="K184" s="1" t="n">
        <x:f>J184-I184</x:f>
        <x:v>1</x:v>
      </x:c>
      <x:c r="L184" s="1" t="str">
        <x:v>FR-3</x:v>
      </x:c>
      <x:c r="M184" s="22" t="str">
        <x:v>FedRAMP activation gate and current-rule revalidation.</x:v>
      </x:c>
      <x:c r="N184" s="22" t="str">
        <x:v>Governed decision and implementation/operating evidence</x:v>
      </x:c>
      <x:c r="O184" s="22" t="str">
        <x:v>Governed human/external FedRAMP process; do not use the software story sequence</x:v>
      </x:c>
      <x:c r="P184" s="22" t="str">
        <x:v>Inventory evidence for FR-4 and record a governed proceed/defer decision.</x:v>
      </x:c>
      <x:c r="Q184" s="22" t="str">
        <x:v>Reviewed boundary diagram, resource inventory, data-flow inventory, supplier register, and shared-responsibility matrix.</x:v>
      </x:c>
      <x:c r="R184" s="22" t="str">
        <x:v>/Users/devups/Development/CodexProjects/Gccs/docs/mvp-roadmap.md (line 109)</x:v>
      </x:c>
      <x:c r="S184" s="22" t="str">
        <x:v>Roadmap status is not authorization evidence; no FedRAMP authorization/equivalence claim is permitted.</x:v>
      </x:c>
      <x:c r="T184" s="13" t="str"/>
      <x:c r="U184" s="15"/>
      <x:c r="V184" s="1" t="str">
        <x:f>IF(OR(H184="Completed",H184="Not Applicable"),"No","Yes")</x:f>
        <x:v>Yes</x:v>
      </x:c>
    </x:row>
    <x:row r="185" ht="55" customHeight="1">
      <x:c r="A185" s="1" t="n">
        <x:v>181</x:v>
      </x:c>
      <x:c r="B185" s="1" t="str">
        <x:v>FedRAMP</x:v>
      </x:c>
      <x:c r="C185" s="22" t="str">
        <x:v>FedRAMP activation and assurance</x:v>
      </x:c>
      <x:c r="D185" s="1" t="str">
        <x:v>FR-5</x:v>
      </x:c>
      <x:c r="E185" s="22" t="str">
        <x:v>Select the applicable current FedRAMP certification profile and path with qualified FedRAMP counsel or an advisor and a FedRAMP-recognized independent assessment service</x:v>
      </x:c>
      <x:c r="F185" s="1" t="str">
        <x:v>FedRAMP program gate</x:v>
      </x:c>
      <x:c r="G185" s="1" t="str">
        <x:v>Planned</x:v>
      </x:c>
      <x:c r="H185" s="1" t="str">
        <x:v>External/Human Gate</x:v>
      </x:c>
      <x:c r="I185" s="1" t="n">
        <x:f>COUNTIFS('Task Tracker'!$C$5:$C$800,D185,'Task Tracker'!$I$5:$I$800,"Completed")</x:f>
        <x:v>0</x:v>
      </x:c>
      <x:c r="J185" s="1" t="n">
        <x:f>COUNTIF('Task Tracker'!$C$5:$C$800,D185)</x:f>
        <x:v>1</x:v>
      </x:c>
      <x:c r="K185" s="1" t="n">
        <x:f>J185-I185</x:f>
        <x:v>1</x:v>
      </x:c>
      <x:c r="L185" s="1" t="str">
        <x:v>FR-4</x:v>
      </x:c>
      <x:c r="M185" s="22" t="str">
        <x:v>Activation decision plus current qualified program/advisor/assessor or agency prerequisite.</x:v>
      </x:c>
      <x:c r="N185" s="22" t="str">
        <x:v>Authoritative external/program evidence</x:v>
      </x:c>
      <x:c r="O185" s="22" t="str">
        <x:v>Governed human/external FedRAMP process; do not use the software story sequence</x:v>
      </x:c>
      <x:c r="P185" s="22" t="str">
        <x:v>Do not schedule FR-5 until activation prerequisites are approved and current program rules are revalidated.</x:v>
      </x:c>
      <x:c r="Q185" s="22" t="str">
        <x:v>Approved target profile, path, scope, assessor engagement, program plan, cost estimate, and schedule.</x:v>
      </x:c>
      <x:c r="R185" s="22" t="str">
        <x:v>/Users/devups/Development/CodexProjects/Gccs/docs/mvp-roadmap.md (line 110)</x:v>
      </x:c>
      <x:c r="S185" s="22" t="str">
        <x:v>Roadmap status is not authorization evidence; no FedRAMP authorization/equivalence claim is permitted.</x:v>
      </x:c>
      <x:c r="T185" s="13" t="str"/>
      <x:c r="U185" s="15"/>
      <x:c r="V185" s="1" t="str">
        <x:f>IF(OR(H185="Completed",H185="Not Applicable"),"No","Yes")</x:f>
        <x:v>Yes</x:v>
      </x:c>
    </x:row>
    <x:row r="186" ht="55" customHeight="1">
      <x:c r="A186" s="1" t="n">
        <x:v>182</x:v>
      </x:c>
      <x:c r="B186" s="1" t="str">
        <x:v>FedRAMP</x:v>
      </x:c>
      <x:c r="C186" s="22" t="str">
        <x:v>FedRAMP activation and assurance</x:v>
      </x:c>
      <x:c r="D186" s="1" t="str">
        <x:v>FR-6</x:v>
      </x:c>
      <x:c r="E186" s="22" t="str">
        <x:v>Commercial production now has real Terraform declarations, import blocks, CI validation, and a gated drift workflow</x:v>
      </x:c>
      <x:c r="F186" s="1" t="str">
        <x:v>FedRAMP program gate</x:v>
      </x:c>
      <x:c r="G186" s="1" t="str">
        <x:v>Partially implemented foundation</x:v>
      </x:c>
      <x:c r="H186" s="1" t="str">
        <x:v>Partially Completed</x:v>
      </x:c>
      <x:c r="I186" s="1" t="n">
        <x:f>COUNTIFS('Task Tracker'!$C$5:$C$800,D186,'Task Tracker'!$I$5:$I$800,"Completed")</x:f>
        <x:v>0</x:v>
      </x:c>
      <x:c r="J186" s="1" t="n">
        <x:f>COUNTIF('Task Tracker'!$C$5:$C$800,D186)</x:f>
        <x:v>1</x:v>
      </x:c>
      <x:c r="K186" s="1" t="n">
        <x:f>J186-I186</x:f>
        <x:v>1</x:v>
      </x:c>
      <x:c r="L186" s="1" t="str">
        <x:v>FR-5</x:v>
      </x:c>
      <x:c r="M186" s="22" t="str">
        <x:v>FedRAMP activation gate and current-rule revalidation.</x:v>
      </x:c>
      <x:c r="N186" s="22" t="str">
        <x:v>Governed decision and implementation/operating evidence</x:v>
      </x:c>
      <x:c r="O186" s="22" t="str">
        <x:v>Governed human/external FedRAMP process; do not use the software story sequence</x:v>
      </x:c>
      <x:c r="P186" s="22" t="str">
        <x:v>Inventory evidence for FR-6 and record a governed proceed/defer decision.</x:v>
      </x:c>
      <x:c r="Q186" s="22" t="str">
        <x:v>Current static fmt/validate evidence. Completion requires secure state, successful imports, zero-drift and recurring drift evidence, reproducible regulated deployment, configuration tests, inherited-control evidence, and independent review.</x:v>
      </x:c>
      <x:c r="R186" s="22" t="str">
        <x:v>/Users/devups/Development/CodexProjects/Gccs/docs/mvp-roadmap.md (line 111)</x:v>
      </x:c>
      <x:c r="S186" s="22" t="str">
        <x:v>Roadmap status is not authorization evidence; no FedRAMP authorization/equivalence claim is permitted.</x:v>
      </x:c>
      <x:c r="T186" s="13" t="str"/>
      <x:c r="U186" s="15"/>
      <x:c r="V186" s="1" t="str">
        <x:f>IF(OR(H186="Completed",H186="Not Applicable"),"No","Yes")</x:f>
        <x:v>Yes</x:v>
      </x:c>
    </x:row>
    <x:row r="187" ht="55" customHeight="1">
      <x:c r="A187" s="1" t="n">
        <x:v>183</x:v>
      </x:c>
      <x:c r="B187" s="1" t="str">
        <x:v>FedRAMP</x:v>
      </x:c>
      <x:c r="C187" s="22" t="str">
        <x:v>FedRAMP activation and assurance</x:v>
      </x:c>
      <x:c r="D187" s="1" t="str">
        <x:v>FR-7</x:v>
      </x:c>
      <x:c r="E187" s="22" t="str">
        <x:v>Run a formal gap assessment and begin persistent control verification and security-metric collection early enough to meet the selected certification profile's historical-evidence requirements</x:v>
      </x:c>
      <x:c r="F187" s="1" t="str">
        <x:v>FedRAMP program gate</x:v>
      </x:c>
      <x:c r="G187" s="1" t="str">
        <x:v>Planned</x:v>
      </x:c>
      <x:c r="H187" s="1" t="str">
        <x:v>External/Human Gate</x:v>
      </x:c>
      <x:c r="I187" s="1" t="n">
        <x:f>COUNTIFS('Task Tracker'!$C$5:$C$800,D187,'Task Tracker'!$I$5:$I$800,"Completed")</x:f>
        <x:v>0</x:v>
      </x:c>
      <x:c r="J187" s="1" t="n">
        <x:f>COUNTIF('Task Tracker'!$C$5:$C$800,D187)</x:f>
        <x:v>1</x:v>
      </x:c>
      <x:c r="K187" s="1" t="n">
        <x:f>J187-I187</x:f>
        <x:v>1</x:v>
      </x:c>
      <x:c r="L187" s="1" t="str">
        <x:v>FR-6</x:v>
      </x:c>
      <x:c r="M187" s="22" t="str">
        <x:v>Activation decision plus current qualified program/advisor/assessor or agency prerequisite.</x:v>
      </x:c>
      <x:c r="N187" s="22" t="str">
        <x:v>Authoritative external/program evidence</x:v>
      </x:c>
      <x:c r="O187" s="22" t="str">
        <x:v>Governed human/external FedRAMP process; do not use the software story sequence</x:v>
      </x:c>
      <x:c r="P187" s="22" t="str">
        <x:v>Do not schedule FR-7 until activation prerequisites are approved and current program rules are revalidated.</x:v>
      </x:c>
      <x:c r="Q187" s="22" t="str">
        <x:v>Current control matrix, remediation register, persistent verification history, vulnerability-response evidence, incident/contingency exercises, and assessor-reviewed readiness result.</x:v>
      </x:c>
      <x:c r="R187" s="22" t="str">
        <x:v>/Users/devups/Development/CodexProjects/Gccs/docs/mvp-roadmap.md (line 112)</x:v>
      </x:c>
      <x:c r="S187" s="22" t="str">
        <x:v>Roadmap status is not authorization evidence; no FedRAMP authorization/equivalence claim is permitted.</x:v>
      </x:c>
      <x:c r="T187" s="13" t="str"/>
      <x:c r="U187" s="15"/>
      <x:c r="V187" s="1" t="str">
        <x:f>IF(OR(H187="Completed",H187="Not Applicable"),"No","Yes")</x:f>
        <x:v>Yes</x:v>
      </x:c>
    </x:row>
    <x:row r="188" ht="55" customHeight="1">
      <x:c r="A188" s="1" t="n">
        <x:v>184</x:v>
      </x:c>
      <x:c r="B188" s="1" t="str">
        <x:v>FedRAMP</x:v>
      </x:c>
      <x:c r="C188" s="22" t="str">
        <x:v>FedRAMP activation and assurance</x:v>
      </x:c>
      <x:c r="D188" s="1" t="str">
        <x:v>FR-8</x:v>
      </x:c>
      <x:c r="E188" s="22" t="str">
        <x:v>Produce the required human-readable and machine-readable certification package, secure-configuration guidance, policies, plans, assessment materials, and customer-responsibility documentation from governed evidence</x:v>
      </x:c>
      <x:c r="F188" s="1" t="str">
        <x:v>FedRAMP program gate</x:v>
      </x:c>
      <x:c r="G188" s="1" t="str">
        <x:v>Planned</x:v>
      </x:c>
      <x:c r="H188" s="1" t="str">
        <x:v>Not Verified</x:v>
      </x:c>
      <x:c r="I188" s="1" t="n">
        <x:f>COUNTIFS('Task Tracker'!$C$5:$C$800,D188,'Task Tracker'!$I$5:$I$800,"Completed")</x:f>
        <x:v>0</x:v>
      </x:c>
      <x:c r="J188" s="1" t="n">
        <x:f>COUNTIF('Task Tracker'!$C$5:$C$800,D188)</x:f>
        <x:v>1</x:v>
      </x:c>
      <x:c r="K188" s="1" t="n">
        <x:f>J188-I188</x:f>
        <x:v>1</x:v>
      </x:c>
      <x:c r="L188" s="1" t="str">
        <x:v>FR-7</x:v>
      </x:c>
      <x:c r="M188" s="22" t="str">
        <x:v>FedRAMP activation gate and current-rule revalidation.</x:v>
      </x:c>
      <x:c r="N188" s="22" t="str">
        <x:v>Governed decision and implementation/operating evidence</x:v>
      </x:c>
      <x:c r="O188" s="22" t="str">
        <x:v>Governed human/external FedRAMP process; do not use the software story sequence</x:v>
      </x:c>
      <x:c r="P188" s="22" t="str">
        <x:v>Inventory evidence for FR-8 and record a governed proceed/defer decision.</x:v>
      </x:c>
      <x:c r="Q188" s="22" t="str">
        <x:v>Package completeness validation against the then-current official FedRAMP rules and independent-assessor feedback.</x:v>
      </x:c>
      <x:c r="R188" s="22" t="str">
        <x:v>/Users/devups/Development/CodexProjects/Gccs/docs/mvp-roadmap.md (line 113)</x:v>
      </x:c>
      <x:c r="S188" s="22" t="str">
        <x:v>Roadmap status is not authorization evidence; no FedRAMP authorization/equivalence claim is permitted.</x:v>
      </x:c>
      <x:c r="T188" s="13" t="str"/>
      <x:c r="U188" s="15"/>
      <x:c r="V188" s="1" t="str">
        <x:f>IF(OR(H188="Completed",H188="Not Applicable"),"No","Yes")</x:f>
        <x:v>Yes</x:v>
      </x:c>
    </x:row>
    <x:row r="189" ht="55" customHeight="1">
      <x:c r="A189" s="1" t="n">
        <x:v>185</x:v>
      </x:c>
      <x:c r="B189" s="1" t="str">
        <x:v>FedRAMP</x:v>
      </x:c>
      <x:c r="C189" s="22" t="str">
        <x:v>FedRAMP activation and assurance</x:v>
      </x:c>
      <x:c r="D189" s="1" t="str">
        <x:v>FR-9</x:v>
      </x:c>
      <x:c r="E189" s="22" t="str">
        <x:v>Complete the applicable Marketplace, independent-assessment, Program, and/or agency authorization process</x:v>
      </x:c>
      <x:c r="F189" s="1" t="str">
        <x:v>FedRAMP program gate</x:v>
      </x:c>
      <x:c r="G189" s="1" t="str">
        <x:v>Planned</x:v>
      </x:c>
      <x:c r="H189" s="1" t="str">
        <x:v>External/Human Gate</x:v>
      </x:c>
      <x:c r="I189" s="1" t="n">
        <x:f>COUNTIFS('Task Tracker'!$C$5:$C$800,D189,'Task Tracker'!$I$5:$I$800,"Completed")</x:f>
        <x:v>0</x:v>
      </x:c>
      <x:c r="J189" s="1" t="n">
        <x:f>COUNTIF('Task Tracker'!$C$5:$C$800,D189)</x:f>
        <x:v>1</x:v>
      </x:c>
      <x:c r="K189" s="1" t="n">
        <x:f>J189-I189</x:f>
        <x:v>1</x:v>
      </x:c>
      <x:c r="L189" s="1" t="str">
        <x:v>FR-8</x:v>
      </x:c>
      <x:c r="M189" s="22" t="str">
        <x:v>Activation decision plus current qualified program/advisor/assessor or agency prerequisite.</x:v>
      </x:c>
      <x:c r="N189" s="22" t="str">
        <x:v>Authoritative external/program evidence</x:v>
      </x:c>
      <x:c r="O189" s="22" t="str">
        <x:v>Governed human/external FedRAMP process; do not use the software story sequence</x:v>
      </x:c>
      <x:c r="P189" s="22" t="str">
        <x:v>Do not schedule FR-9 until activation prerequisites are approved and current program rules are revalidated.</x:v>
      </x:c>
      <x:c r="Q189" s="22" t="str">
        <x:v>Official Marketplace status, applicable certification or agency authorization evidence, approved claims register, and scoped customer communication.</x:v>
      </x:c>
      <x:c r="R189" s="22" t="str">
        <x:v>/Users/devups/Development/CodexProjects/Gccs/docs/mvp-roadmap.md (line 114)</x:v>
      </x:c>
      <x:c r="S189" s="22" t="str">
        <x:v>Roadmap status is not authorization evidence; no FedRAMP authorization/equivalence claim is permitted.</x:v>
      </x:c>
      <x:c r="T189" s="13" t="str"/>
      <x:c r="U189" s="15"/>
      <x:c r="V189" s="1" t="str">
        <x:f>IF(OR(H189="Completed",H189="Not Applicable"),"No","Yes")</x:f>
        <x:v>Yes</x:v>
      </x:c>
    </x:row>
    <x:row r="190" ht="55" customHeight="1">
      <x:c r="A190" s="1" t="n">
        <x:v>186</x:v>
      </x:c>
      <x:c r="B190" s="1" t="str">
        <x:v>FedRAMP</x:v>
      </x:c>
      <x:c r="C190" s="22" t="str">
        <x:v>FedRAMP activation and assurance</x:v>
      </x:c>
      <x:c r="D190" s="1" t="str">
        <x:v>FR-10</x:v>
      </x:c>
      <x:c r="E190" s="22" t="str">
        <x:v>Operate continuous monitoring, package maintenance, vulnerability response, incident reporting, access review, evidence refresh, significant-change review, supplier monitoring, and recurring independent assessment at the cadence required by the selected current profile</x:v>
      </x:c>
      <x:c r="F190" s="1" t="str">
        <x:v>FedRAMP program gate</x:v>
      </x:c>
      <x:c r="G190" s="1" t="str">
        <x:v>Planned</x:v>
      </x:c>
      <x:c r="H190" s="1" t="str">
        <x:v>External/Human Gate</x:v>
      </x:c>
      <x:c r="I190" s="1" t="n">
        <x:f>COUNTIFS('Task Tracker'!$C$5:$C$800,D190,'Task Tracker'!$I$5:$I$800,"Completed")</x:f>
        <x:v>0</x:v>
      </x:c>
      <x:c r="J190" s="1" t="n">
        <x:f>COUNTIF('Task Tracker'!$C$5:$C$800,D190)</x:f>
        <x:v>1</x:v>
      </x:c>
      <x:c r="K190" s="1" t="n">
        <x:f>J190-I190</x:f>
        <x:v>1</x:v>
      </x:c>
      <x:c r="L190" s="1" t="str">
        <x:v>FR-9</x:v>
      </x:c>
      <x:c r="M190" s="22" t="str">
        <x:v>Activation decision plus current qualified program/advisor/assessor or agency prerequisite.</x:v>
      </x:c>
      <x:c r="N190" s="22" t="str">
        <x:v>Authoritative external/program evidence</x:v>
      </x:c>
      <x:c r="O190" s="22" t="str">
        <x:v>Governed human/external FedRAMP process; do not use the software story sequence</x:v>
      </x:c>
      <x:c r="P190" s="22" t="str">
        <x:v>Do not schedule FR-10 until activation prerequisites are approved and current program rules are revalidated.</x:v>
      </x:c>
      <x:c r="Q190" s="22" t="str">
        <x:v>Recurring evidence schedule, accountable owners, completed monitoring cycles, submitted reports, tracked findings, and maintained official status.</x:v>
      </x:c>
      <x:c r="R190" s="22" t="str">
        <x:v>/Users/devups/Development/CodexProjects/Gccs/docs/mvp-roadmap.md (line 115)</x:v>
      </x:c>
      <x:c r="S190" s="22" t="str">
        <x:v>Roadmap status is not authorization evidence; no FedRAMP authorization/equivalence claim is permitted.</x:v>
      </x:c>
      <x:c r="T190" s="13" t="str"/>
      <x:c r="U190" s="15"/>
      <x:c r="V190" s="1" t="str">
        <x:f>IF(OR(H190="Completed",H190="Not Applicable"),"No","Yes")</x:f>
        <x:v>Yes</x:v>
      </x:c>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row>
    <x:row r="100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row>
    <x:row r="1002">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row>
    <x:row r="1003">
      <x:c r="A1003" s="1"/>
      <x:c r="B1003" s="1"/>
      <x:c r="C1003" s="1"/>
      <x:c r="D1003" s="1"/>
      <x:c r="E1003" s="1"/>
      <x:c r="F1003" s="1"/>
      <x:c r="G1003" s="1"/>
      <x:c r="H1003" s="1"/>
      <x:c r="I1003" s="1"/>
      <x:c r="J1003" s="1"/>
      <x:c r="K1003" s="1"/>
      <x:c r="L1003" s="1"/>
      <x:c r="M1003" s="1"/>
      <x:c r="N1003" s="1"/>
      <x:c r="O1003" s="1"/>
      <x:c r="P1003" s="1"/>
      <x:c r="Q1003" s="1"/>
      <x:c r="R1003" s="1"/>
      <x:c r="S1003" s="1"/>
      <x:c r="T1003" s="1"/>
      <x:c r="U1003" s="1"/>
      <x:c r="V1003" s="1"/>
    </x:row>
    <x:row r="1004">
      <x:c r="A1004" s="1"/>
      <x:c r="B1004" s="1"/>
      <x:c r="C1004" s="1"/>
      <x:c r="D1004" s="1"/>
      <x:c r="E1004" s="1"/>
      <x:c r="F1004" s="1"/>
      <x:c r="G1004" s="1"/>
      <x:c r="H1004" s="1"/>
      <x:c r="I1004" s="1"/>
      <x:c r="J1004" s="1"/>
      <x:c r="K1004" s="1"/>
      <x:c r="L1004" s="1"/>
      <x:c r="M1004" s="1"/>
      <x:c r="N1004" s="1"/>
      <x:c r="O1004" s="1"/>
      <x:c r="P1004" s="1"/>
      <x:c r="Q1004" s="1"/>
      <x:c r="R1004" s="1"/>
      <x:c r="S1004" s="1"/>
      <x:c r="T1004" s="1"/>
      <x:c r="U1004" s="1"/>
      <x:c r="V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row>
    <x:row r="1201">
      <x:c r="A1201" s="1"/>
      <x:c r="B1201" s="1"/>
      <x:c r="C1201" s="1"/>
      <x:c r="D1201" s="1"/>
      <x:c r="E1201" s="1"/>
      <x:c r="F1201" s="1"/>
      <x:c r="G1201" s="1"/>
      <x:c r="H1201" s="1"/>
      <x:c r="I1201" s="1"/>
      <x:c r="J1201" s="1"/>
      <x:c r="K1201" s="1"/>
      <x:c r="L1201" s="1"/>
      <x:c r="M1201" s="1"/>
      <x:c r="N1201" s="1"/>
      <x:c r="O1201" s="1"/>
      <x:c r="P1201" s="1"/>
      <x:c r="Q1201" s="1"/>
      <x:c r="R1201" s="1"/>
      <x:c r="S1201" s="1"/>
      <x:c r="T1201" s="1"/>
      <x:c r="U1201" s="1"/>
      <x:c r="V1201" s="1"/>
    </x:row>
    <x:row r="1202">
      <x:c r="A1202" s="1"/>
      <x:c r="B1202" s="1"/>
      <x:c r="C1202" s="1"/>
      <x:c r="D1202" s="1"/>
      <x:c r="E1202" s="1"/>
      <x:c r="F1202" s="1"/>
      <x:c r="G1202" s="1"/>
      <x:c r="H1202" s="1"/>
      <x:c r="I1202" s="1"/>
      <x:c r="J1202" s="1"/>
      <x:c r="K1202" s="1"/>
      <x:c r="L1202" s="1"/>
      <x:c r="M1202" s="1"/>
      <x:c r="N1202" s="1"/>
      <x:c r="O1202" s="1"/>
      <x:c r="P1202" s="1"/>
      <x:c r="Q1202" s="1"/>
      <x:c r="R1202" s="1"/>
      <x:c r="S1202" s="1"/>
      <x:c r="T1202" s="1"/>
      <x:c r="U1202" s="1"/>
      <x:c r="V1202" s="1"/>
    </x:row>
    <x:row r="1203">
      <x:c r="A1203" s="1"/>
      <x:c r="B1203" s="1"/>
      <x:c r="C1203" s="1"/>
      <x:c r="D1203" s="1"/>
      <x:c r="E1203" s="1"/>
      <x:c r="F1203" s="1"/>
      <x:c r="G1203" s="1"/>
      <x:c r="H1203" s="1"/>
      <x:c r="I1203" s="1"/>
      <x:c r="J1203" s="1"/>
      <x:c r="K1203" s="1"/>
      <x:c r="L1203" s="1"/>
      <x:c r="M1203" s="1"/>
      <x:c r="N1203" s="1"/>
      <x:c r="O1203" s="1"/>
      <x:c r="P1203" s="1"/>
      <x:c r="Q1203" s="1"/>
      <x:c r="R1203" s="1"/>
      <x:c r="S1203" s="1"/>
      <x:c r="T1203" s="1"/>
      <x:c r="U1203" s="1"/>
      <x:c r="V1203" s="1"/>
    </x:row>
    <x:row r="1204">
      <x:c r="A1204" s="1"/>
      <x:c r="B1204" s="1"/>
      <x:c r="C1204" s="1"/>
      <x:c r="D1204" s="1"/>
      <x:c r="E1204" s="1"/>
      <x:c r="F1204" s="1"/>
      <x:c r="G1204" s="1"/>
      <x:c r="H1204" s="1"/>
      <x:c r="I1204" s="1"/>
      <x:c r="J1204" s="1"/>
      <x:c r="K1204" s="1"/>
      <x:c r="L1204" s="1"/>
      <x:c r="M1204" s="1"/>
      <x:c r="N1204" s="1"/>
      <x:c r="O1204" s="1"/>
      <x:c r="P1204" s="1"/>
      <x:c r="Q1204" s="1"/>
      <x:c r="R1204" s="1"/>
      <x:c r="S1204" s="1"/>
      <x:c r="T1204" s="1"/>
      <x:c r="U1204" s="1"/>
      <x:c r="V1204" s="1"/>
    </x:row>
    <x:row r="1205">
      <x:c r="A1205" s="1"/>
      <x:c r="B1205" s="1"/>
      <x:c r="C1205" s="1"/>
      <x:c r="D1205" s="1"/>
      <x:c r="E1205" s="1"/>
      <x:c r="F1205" s="1"/>
      <x:c r="G1205" s="1"/>
      <x:c r="H1205" s="1"/>
      <x:c r="I1205" s="1"/>
      <x:c r="J1205" s="1"/>
      <x:c r="K1205" s="1"/>
      <x:c r="L1205" s="1"/>
      <x:c r="M1205" s="1"/>
      <x:c r="N1205" s="1"/>
      <x:c r="O1205" s="1"/>
      <x:c r="P1205" s="1"/>
      <x:c r="Q1205" s="1"/>
      <x:c r="R1205" s="1"/>
      <x:c r="S1205" s="1"/>
      <x:c r="T1205" s="1"/>
      <x:c r="U1205" s="1"/>
      <x:c r="V1205" s="1"/>
    </x:row>
    <x:row r="1206">
      <x:c r="A1206" s="1"/>
      <x:c r="B1206" s="1"/>
      <x:c r="C1206" s="1"/>
      <x:c r="D1206" s="1"/>
      <x:c r="E1206" s="1"/>
      <x:c r="F1206" s="1"/>
      <x:c r="G1206" s="1"/>
      <x:c r="H1206" s="1"/>
      <x:c r="I1206" s="1"/>
      <x:c r="J1206" s="1"/>
      <x:c r="K1206" s="1"/>
      <x:c r="L1206" s="1"/>
      <x:c r="M1206" s="1"/>
      <x:c r="N1206" s="1"/>
      <x:c r="O1206" s="1"/>
      <x:c r="P1206" s="1"/>
      <x:c r="Q1206" s="1"/>
      <x:c r="R1206" s="1"/>
      <x:c r="S1206" s="1"/>
      <x:c r="T1206" s="1"/>
      <x:c r="U1206" s="1"/>
      <x:c r="V1206" s="1"/>
    </x:row>
    <x:row r="1207">
      <x:c r="A1207" s="1"/>
      <x:c r="B1207" s="1"/>
      <x:c r="C1207" s="1"/>
      <x:c r="D1207" s="1"/>
      <x:c r="E1207" s="1"/>
      <x:c r="F1207" s="1"/>
      <x:c r="G1207" s="1"/>
      <x:c r="H1207" s="1"/>
      <x:c r="I1207" s="1"/>
      <x:c r="J1207" s="1"/>
      <x:c r="K1207" s="1"/>
      <x:c r="L1207" s="1"/>
      <x:c r="M1207" s="1"/>
      <x:c r="N1207" s="1"/>
      <x:c r="O1207" s="1"/>
      <x:c r="P1207" s="1"/>
      <x:c r="Q1207" s="1"/>
      <x:c r="R1207" s="1"/>
      <x:c r="S1207" s="1"/>
      <x:c r="T1207" s="1"/>
      <x:c r="U1207" s="1"/>
      <x:c r="V1207" s="1"/>
    </x:row>
    <x:row r="1208">
      <x:c r="A1208" s="1"/>
      <x:c r="B1208" s="1"/>
      <x:c r="C1208" s="1"/>
      <x:c r="D1208" s="1"/>
      <x:c r="E1208" s="1"/>
      <x:c r="F1208" s="1"/>
      <x:c r="G1208" s="1"/>
      <x:c r="H1208" s="1"/>
      <x:c r="I1208" s="1"/>
      <x:c r="J1208" s="1"/>
      <x:c r="K1208" s="1"/>
      <x:c r="L1208" s="1"/>
      <x:c r="M1208" s="1"/>
      <x:c r="N1208" s="1"/>
      <x:c r="O1208" s="1"/>
      <x:c r="P1208" s="1"/>
      <x:c r="Q1208" s="1"/>
      <x:c r="R1208" s="1"/>
      <x:c r="S1208" s="1"/>
      <x:c r="T1208" s="1"/>
      <x:c r="U1208" s="1"/>
      <x:c r="V1208" s="1"/>
    </x:row>
    <x:row r="1209">
      <x:c r="A1209" s="1"/>
      <x:c r="B1209" s="1"/>
      <x:c r="C1209" s="1"/>
      <x:c r="D1209" s="1"/>
      <x:c r="E1209" s="1"/>
      <x:c r="F1209" s="1"/>
      <x:c r="G1209" s="1"/>
      <x:c r="H1209" s="1"/>
      <x:c r="I1209" s="1"/>
      <x:c r="J1209" s="1"/>
      <x:c r="K1209" s="1"/>
      <x:c r="L1209" s="1"/>
      <x:c r="M1209" s="1"/>
      <x:c r="N1209" s="1"/>
      <x:c r="O1209" s="1"/>
      <x:c r="P1209" s="1"/>
      <x:c r="Q1209" s="1"/>
      <x:c r="R1209" s="1"/>
      <x:c r="S1209" s="1"/>
      <x:c r="T1209" s="1"/>
      <x:c r="U1209" s="1"/>
      <x:c r="V1209" s="1"/>
    </x:row>
    <x:row r="1210">
      <x:c r="A1210" s="1"/>
      <x:c r="B1210" s="1"/>
      <x:c r="C1210" s="1"/>
      <x:c r="D1210" s="1"/>
      <x:c r="E1210" s="1"/>
      <x:c r="F1210" s="1"/>
      <x:c r="G1210" s="1"/>
      <x:c r="H1210" s="1"/>
      <x:c r="I1210" s="1"/>
      <x:c r="J1210" s="1"/>
      <x:c r="K1210" s="1"/>
      <x:c r="L1210" s="1"/>
      <x:c r="M1210" s="1"/>
      <x:c r="N1210" s="1"/>
      <x:c r="O1210" s="1"/>
      <x:c r="P1210" s="1"/>
      <x:c r="Q1210" s="1"/>
      <x:c r="R1210" s="1"/>
      <x:c r="S1210" s="1"/>
      <x:c r="T1210" s="1"/>
      <x:c r="U1210" s="1"/>
      <x:c r="V1210" s="1"/>
    </x:row>
    <x:row r="1211">
      <x:c r="A1211" s="1"/>
      <x:c r="B1211" s="1"/>
      <x:c r="C1211" s="1"/>
      <x:c r="D1211" s="1"/>
      <x:c r="E1211" s="1"/>
      <x:c r="F1211" s="1"/>
      <x:c r="G1211" s="1"/>
      <x:c r="H1211" s="1"/>
      <x:c r="I1211" s="1"/>
      <x:c r="J1211" s="1"/>
      <x:c r="K1211" s="1"/>
      <x:c r="L1211" s="1"/>
      <x:c r="M1211" s="1"/>
      <x:c r="N1211" s="1"/>
      <x:c r="O1211" s="1"/>
      <x:c r="P1211" s="1"/>
      <x:c r="Q1211" s="1"/>
      <x:c r="R1211" s="1"/>
      <x:c r="S1211" s="1"/>
      <x:c r="T1211" s="1"/>
      <x:c r="U1211" s="1"/>
      <x:c r="V1211" s="1"/>
    </x:row>
    <x:row r="1212">
      <x:c r="A1212" s="1"/>
      <x:c r="B1212" s="1"/>
      <x:c r="C1212" s="1"/>
      <x:c r="D1212" s="1"/>
      <x:c r="E1212" s="1"/>
      <x:c r="F1212" s="1"/>
      <x:c r="G1212" s="1"/>
      <x:c r="H1212" s="1"/>
      <x:c r="I1212" s="1"/>
      <x:c r="J1212" s="1"/>
      <x:c r="K1212" s="1"/>
      <x:c r="L1212" s="1"/>
      <x:c r="M1212" s="1"/>
      <x:c r="N1212" s="1"/>
      <x:c r="O1212" s="1"/>
      <x:c r="P1212" s="1"/>
      <x:c r="Q1212" s="1"/>
      <x:c r="R1212" s="1"/>
      <x:c r="S1212" s="1"/>
      <x:c r="T1212" s="1"/>
      <x:c r="U1212" s="1"/>
      <x:c r="V1212" s="1"/>
    </x:row>
    <x:row r="1213">
      <x:c r="A1213" s="1"/>
      <x:c r="B1213" s="1"/>
      <x:c r="C1213" s="1"/>
      <x:c r="D1213" s="1"/>
      <x:c r="E1213" s="1"/>
      <x:c r="F1213" s="1"/>
      <x:c r="G1213" s="1"/>
      <x:c r="H1213" s="1"/>
      <x:c r="I1213" s="1"/>
      <x:c r="J1213" s="1"/>
      <x:c r="K1213" s="1"/>
      <x:c r="L1213" s="1"/>
      <x:c r="M1213" s="1"/>
      <x:c r="N1213" s="1"/>
      <x:c r="O1213" s="1"/>
      <x:c r="P1213" s="1"/>
      <x:c r="Q1213" s="1"/>
      <x:c r="R1213" s="1"/>
      <x:c r="S1213" s="1"/>
      <x:c r="T1213" s="1"/>
      <x:c r="U1213" s="1"/>
      <x:c r="V1213" s="1"/>
    </x:row>
    <x:row r="1214">
      <x:c r="A1214" s="1"/>
      <x:c r="B1214" s="1"/>
      <x:c r="C1214" s="1"/>
      <x:c r="D1214" s="1"/>
      <x:c r="E1214" s="1"/>
      <x:c r="F1214" s="1"/>
      <x:c r="G1214" s="1"/>
      <x:c r="H1214" s="1"/>
      <x:c r="I1214" s="1"/>
      <x:c r="J1214" s="1"/>
      <x:c r="K1214" s="1"/>
      <x:c r="L1214" s="1"/>
      <x:c r="M1214" s="1"/>
      <x:c r="N1214" s="1"/>
      <x:c r="O1214" s="1"/>
      <x:c r="P1214" s="1"/>
      <x:c r="Q1214" s="1"/>
      <x:c r="R1214" s="1"/>
      <x:c r="S1214" s="1"/>
      <x:c r="T1214" s="1"/>
      <x:c r="U1214" s="1"/>
      <x:c r="V1214" s="1"/>
    </x:row>
    <x:row r="1215">
      <x:c r="A1215" s="1"/>
      <x:c r="B1215" s="1"/>
      <x:c r="C1215" s="1"/>
      <x:c r="D1215" s="1"/>
      <x:c r="E1215" s="1"/>
      <x:c r="F1215" s="1"/>
      <x:c r="G1215" s="1"/>
      <x:c r="H1215" s="1"/>
      <x:c r="I1215" s="1"/>
      <x:c r="J1215" s="1"/>
      <x:c r="K1215" s="1"/>
      <x:c r="L1215" s="1"/>
      <x:c r="M1215" s="1"/>
      <x:c r="N1215" s="1"/>
      <x:c r="O1215" s="1"/>
      <x:c r="P1215" s="1"/>
      <x:c r="Q1215" s="1"/>
      <x:c r="R1215" s="1"/>
      <x:c r="S1215" s="1"/>
      <x:c r="T1215" s="1"/>
      <x:c r="U1215" s="1"/>
      <x:c r="V1215" s="1"/>
    </x:row>
    <x:row r="1216">
      <x:c r="A1216" s="1"/>
      <x:c r="B1216" s="1"/>
      <x:c r="C1216" s="1"/>
      <x:c r="D1216" s="1"/>
      <x:c r="E1216" s="1"/>
      <x:c r="F1216" s="1"/>
      <x:c r="G1216" s="1"/>
      <x:c r="H1216" s="1"/>
      <x:c r="I1216" s="1"/>
      <x:c r="J1216" s="1"/>
      <x:c r="K1216" s="1"/>
      <x:c r="L1216" s="1"/>
      <x:c r="M1216" s="1"/>
      <x:c r="N1216" s="1"/>
      <x:c r="O1216" s="1"/>
      <x:c r="P1216" s="1"/>
      <x:c r="Q1216" s="1"/>
      <x:c r="R1216" s="1"/>
      <x:c r="S1216" s="1"/>
      <x:c r="T1216" s="1"/>
      <x:c r="U1216" s="1"/>
      <x:c r="V1216" s="1"/>
    </x:row>
    <x:row r="1217">
      <x:c r="A1217" s="1"/>
      <x:c r="B1217" s="1"/>
      <x:c r="C1217" s="1"/>
      <x:c r="D1217" s="1"/>
      <x:c r="E1217" s="1"/>
      <x:c r="F1217" s="1"/>
      <x:c r="G1217" s="1"/>
      <x:c r="H1217" s="1"/>
      <x:c r="I1217" s="1"/>
      <x:c r="J1217" s="1"/>
      <x:c r="K1217" s="1"/>
      <x:c r="L1217" s="1"/>
      <x:c r="M1217" s="1"/>
      <x:c r="N1217" s="1"/>
      <x:c r="O1217" s="1"/>
      <x:c r="P1217" s="1"/>
      <x:c r="Q1217" s="1"/>
      <x:c r="R1217" s="1"/>
      <x:c r="S1217" s="1"/>
      <x:c r="T1217" s="1"/>
      <x:c r="U1217" s="1"/>
      <x:c r="V1217" s="1"/>
    </x:row>
    <x:row r="1218">
      <x:c r="A1218" s="1"/>
      <x:c r="B1218" s="1"/>
      <x:c r="C1218" s="1"/>
      <x:c r="D1218" s="1"/>
      <x:c r="E1218" s="1"/>
      <x:c r="F1218" s="1"/>
      <x:c r="G1218" s="1"/>
      <x:c r="H1218" s="1"/>
      <x:c r="I1218" s="1"/>
      <x:c r="J1218" s="1"/>
      <x:c r="K1218" s="1"/>
      <x:c r="L1218" s="1"/>
      <x:c r="M1218" s="1"/>
      <x:c r="N1218" s="1"/>
      <x:c r="O1218" s="1"/>
      <x:c r="P1218" s="1"/>
      <x:c r="Q1218" s="1"/>
      <x:c r="R1218" s="1"/>
      <x:c r="S1218" s="1"/>
      <x:c r="T1218" s="1"/>
      <x:c r="U1218" s="1"/>
      <x:c r="V1218" s="1"/>
    </x:row>
    <x:row r="1219">
      <x:c r="A1219" s="1"/>
      <x:c r="B1219" s="1"/>
      <x:c r="C1219" s="1"/>
      <x:c r="D1219" s="1"/>
      <x:c r="E1219" s="1"/>
      <x:c r="F1219" s="1"/>
      <x:c r="G1219" s="1"/>
      <x:c r="H1219" s="1"/>
      <x:c r="I1219" s="1"/>
      <x:c r="J1219" s="1"/>
      <x:c r="K1219" s="1"/>
      <x:c r="L1219" s="1"/>
      <x:c r="M1219" s="1"/>
      <x:c r="N1219" s="1"/>
      <x:c r="O1219" s="1"/>
      <x:c r="P1219" s="1"/>
      <x:c r="Q1219" s="1"/>
      <x:c r="R1219" s="1"/>
      <x:c r="S1219" s="1"/>
      <x:c r="T1219" s="1"/>
      <x:c r="U1219" s="1"/>
      <x:c r="V1219" s="1"/>
    </x:row>
    <x:row r="1220">
      <x:c r="A1220" s="1"/>
      <x:c r="B1220" s="1"/>
      <x:c r="C1220" s="1"/>
      <x:c r="D1220" s="1"/>
      <x:c r="E1220" s="1"/>
      <x:c r="F1220" s="1"/>
      <x:c r="G1220" s="1"/>
      <x:c r="H1220" s="1"/>
      <x:c r="I1220" s="1"/>
      <x:c r="J1220" s="1"/>
      <x:c r="K1220" s="1"/>
      <x:c r="L1220" s="1"/>
      <x:c r="M1220" s="1"/>
      <x:c r="N1220" s="1"/>
      <x:c r="O1220" s="1"/>
      <x:c r="P1220" s="1"/>
      <x:c r="Q1220" s="1"/>
      <x:c r="R1220" s="1"/>
      <x:c r="S1220" s="1"/>
      <x:c r="T1220" s="1"/>
      <x:c r="U1220" s="1"/>
      <x:c r="V1220" s="1"/>
    </x:row>
    <x:row r="1221">
      <x:c r="A1221" s="1"/>
      <x:c r="B1221" s="1"/>
      <x:c r="C1221" s="1"/>
      <x:c r="D1221" s="1"/>
      <x:c r="E1221" s="1"/>
      <x:c r="F1221" s="1"/>
      <x:c r="G1221" s="1"/>
      <x:c r="H1221" s="1"/>
      <x:c r="I1221" s="1"/>
      <x:c r="J1221" s="1"/>
      <x:c r="K1221" s="1"/>
      <x:c r="L1221" s="1"/>
      <x:c r="M1221" s="1"/>
      <x:c r="N1221" s="1"/>
      <x:c r="O1221" s="1"/>
      <x:c r="P1221" s="1"/>
      <x:c r="Q1221" s="1"/>
      <x:c r="R1221" s="1"/>
      <x:c r="S1221" s="1"/>
      <x:c r="T1221" s="1"/>
      <x:c r="U1221" s="1"/>
      <x:c r="V1221" s="1"/>
    </x:row>
    <x:row r="1222">
      <x:c r="A1222" s="1"/>
      <x:c r="B1222" s="1"/>
      <x:c r="C1222" s="1"/>
      <x:c r="D1222" s="1"/>
      <x:c r="E1222" s="1"/>
      <x:c r="F1222" s="1"/>
      <x:c r="G1222" s="1"/>
      <x:c r="H1222" s="1"/>
      <x:c r="I1222" s="1"/>
      <x:c r="J1222" s="1"/>
      <x:c r="K1222" s="1"/>
      <x:c r="L1222" s="1"/>
      <x:c r="M1222" s="1"/>
      <x:c r="N1222" s="1"/>
      <x:c r="O1222" s="1"/>
      <x:c r="P1222" s="1"/>
      <x:c r="Q1222" s="1"/>
      <x:c r="R1222" s="1"/>
      <x:c r="S1222" s="1"/>
      <x:c r="T1222" s="1"/>
      <x:c r="U1222" s="1"/>
      <x:c r="V1222" s="1"/>
    </x:row>
    <x:row r="1223">
      <x:c r="A1223" s="1"/>
      <x:c r="B1223" s="1"/>
      <x:c r="C1223" s="1"/>
      <x:c r="D1223" s="1"/>
      <x:c r="E1223" s="1"/>
      <x:c r="F1223" s="1"/>
      <x:c r="G1223" s="1"/>
      <x:c r="H1223" s="1"/>
      <x:c r="I1223" s="1"/>
      <x:c r="J1223" s="1"/>
      <x:c r="K1223" s="1"/>
      <x:c r="L1223" s="1"/>
      <x:c r="M1223" s="1"/>
      <x:c r="N1223" s="1"/>
      <x:c r="O1223" s="1"/>
      <x:c r="P1223" s="1"/>
      <x:c r="Q1223" s="1"/>
      <x:c r="R1223" s="1"/>
      <x:c r="S1223" s="1"/>
      <x:c r="T1223" s="1"/>
      <x:c r="U1223" s="1"/>
      <x:c r="V1223" s="1"/>
    </x:row>
    <x:row r="1224">
      <x:c r="A1224" s="1"/>
      <x:c r="B1224" s="1"/>
      <x:c r="C1224" s="1"/>
      <x:c r="D1224" s="1"/>
      <x:c r="E1224" s="1"/>
      <x:c r="F1224" s="1"/>
      <x:c r="G1224" s="1"/>
      <x:c r="H1224" s="1"/>
      <x:c r="I1224" s="1"/>
      <x:c r="J1224" s="1"/>
      <x:c r="K1224" s="1"/>
      <x:c r="L1224" s="1"/>
      <x:c r="M1224" s="1"/>
      <x:c r="N1224" s="1"/>
      <x:c r="O1224" s="1"/>
      <x:c r="P1224" s="1"/>
      <x:c r="Q1224" s="1"/>
      <x:c r="R1224" s="1"/>
      <x:c r="S1224" s="1"/>
      <x:c r="T1224" s="1"/>
      <x:c r="U1224" s="1"/>
      <x:c r="V1224" s="1"/>
    </x:row>
    <x:row r="1225">
      <x:c r="A1225" s="1"/>
      <x:c r="B1225" s="1"/>
      <x:c r="C1225" s="1"/>
      <x:c r="D1225" s="1"/>
      <x:c r="E1225" s="1"/>
      <x:c r="F1225" s="1"/>
      <x:c r="G1225" s="1"/>
      <x:c r="H1225" s="1"/>
      <x:c r="I1225" s="1"/>
      <x:c r="J1225" s="1"/>
      <x:c r="K1225" s="1"/>
      <x:c r="L1225" s="1"/>
      <x:c r="M1225" s="1"/>
      <x:c r="N1225" s="1"/>
      <x:c r="O1225" s="1"/>
      <x:c r="P1225" s="1"/>
      <x:c r="Q1225" s="1"/>
      <x:c r="R1225" s="1"/>
      <x:c r="S1225" s="1"/>
      <x:c r="T1225" s="1"/>
      <x:c r="U1225" s="1"/>
      <x:c r="V1225" s="1"/>
    </x:row>
    <x:row r="1226">
      <x:c r="A1226" s="1"/>
      <x:c r="B1226" s="1"/>
      <x:c r="C1226" s="1"/>
      <x:c r="D1226" s="1"/>
      <x:c r="E1226" s="1"/>
      <x:c r="F1226" s="1"/>
      <x:c r="G1226" s="1"/>
      <x:c r="H1226" s="1"/>
      <x:c r="I1226" s="1"/>
      <x:c r="J1226" s="1"/>
      <x:c r="K1226" s="1"/>
      <x:c r="L1226" s="1"/>
      <x:c r="M1226" s="1"/>
      <x:c r="N1226" s="1"/>
      <x:c r="O1226" s="1"/>
      <x:c r="P1226" s="1"/>
      <x:c r="Q1226" s="1"/>
      <x:c r="R1226" s="1"/>
      <x:c r="S1226" s="1"/>
      <x:c r="T1226" s="1"/>
      <x:c r="U1226" s="1"/>
      <x:c r="V1226" s="1"/>
    </x:row>
    <x:row r="1227">
      <x:c r="A1227" s="1"/>
      <x:c r="B1227" s="1"/>
      <x:c r="C1227" s="1"/>
      <x:c r="D1227" s="1"/>
      <x:c r="E1227" s="1"/>
      <x:c r="F1227" s="1"/>
      <x:c r="G1227" s="1"/>
      <x:c r="H1227" s="1"/>
      <x:c r="I1227" s="1"/>
      <x:c r="J1227" s="1"/>
      <x:c r="K1227" s="1"/>
      <x:c r="L1227" s="1"/>
      <x:c r="M1227" s="1"/>
      <x:c r="N1227" s="1"/>
      <x:c r="O1227" s="1"/>
      <x:c r="P1227" s="1"/>
      <x:c r="Q1227" s="1"/>
      <x:c r="R1227" s="1"/>
      <x:c r="S1227" s="1"/>
      <x:c r="T1227" s="1"/>
      <x:c r="U1227" s="1"/>
      <x:c r="V1227" s="1"/>
    </x:row>
    <x:row r="1228">
      <x:c r="A1228" s="1"/>
      <x:c r="B1228" s="1"/>
      <x:c r="C1228" s="1"/>
      <x:c r="D1228" s="1"/>
      <x:c r="E1228" s="1"/>
      <x:c r="F1228" s="1"/>
      <x:c r="G1228" s="1"/>
      <x:c r="H1228" s="1"/>
      <x:c r="I1228" s="1"/>
      <x:c r="J1228" s="1"/>
      <x:c r="K1228" s="1"/>
      <x:c r="L1228" s="1"/>
      <x:c r="M1228" s="1"/>
      <x:c r="N1228" s="1"/>
      <x:c r="O1228" s="1"/>
      <x:c r="P1228" s="1"/>
      <x:c r="Q1228" s="1"/>
      <x:c r="R1228" s="1"/>
      <x:c r="S1228" s="1"/>
      <x:c r="T1228" s="1"/>
      <x:c r="U1228" s="1"/>
      <x:c r="V1228" s="1"/>
    </x:row>
    <x:row r="1229">
      <x:c r="A1229" s="1"/>
      <x:c r="B1229" s="1"/>
      <x:c r="C1229" s="1"/>
      <x:c r="D1229" s="1"/>
      <x:c r="E1229" s="1"/>
      <x:c r="F1229" s="1"/>
      <x:c r="G1229" s="1"/>
      <x:c r="H1229" s="1"/>
      <x:c r="I1229" s="1"/>
      <x:c r="J1229" s="1"/>
      <x:c r="K1229" s="1"/>
      <x:c r="L1229" s="1"/>
      <x:c r="M1229" s="1"/>
      <x:c r="N1229" s="1"/>
      <x:c r="O1229" s="1"/>
      <x:c r="P1229" s="1"/>
      <x:c r="Q1229" s="1"/>
      <x:c r="R1229" s="1"/>
      <x:c r="S1229" s="1"/>
      <x:c r="T1229" s="1"/>
      <x:c r="U1229" s="1"/>
      <x:c r="V1229" s="1"/>
    </x:row>
    <x:row r="1230">
      <x:c r="A1230" s="1"/>
      <x:c r="B1230" s="1"/>
      <x:c r="C1230" s="1"/>
      <x:c r="D1230" s="1"/>
      <x:c r="E1230" s="1"/>
      <x:c r="F1230" s="1"/>
      <x:c r="G1230" s="1"/>
      <x:c r="H1230" s="1"/>
      <x:c r="I1230" s="1"/>
      <x:c r="J1230" s="1"/>
      <x:c r="K1230" s="1"/>
      <x:c r="L1230" s="1"/>
      <x:c r="M1230" s="1"/>
      <x:c r="N1230" s="1"/>
      <x:c r="O1230" s="1"/>
      <x:c r="P1230" s="1"/>
      <x:c r="Q1230" s="1"/>
      <x:c r="R1230" s="1"/>
      <x:c r="S1230" s="1"/>
      <x:c r="T1230" s="1"/>
      <x:c r="U1230" s="1"/>
      <x:c r="V1230" s="1"/>
    </x:row>
    <x:row r="1231">
      <x:c r="A1231" s="1"/>
      <x:c r="B1231" s="1"/>
      <x:c r="C1231" s="1"/>
      <x:c r="D1231" s="1"/>
      <x:c r="E1231" s="1"/>
      <x:c r="F1231" s="1"/>
      <x:c r="G1231" s="1"/>
      <x:c r="H1231" s="1"/>
      <x:c r="I1231" s="1"/>
      <x:c r="J1231" s="1"/>
      <x:c r="K1231" s="1"/>
      <x:c r="L1231" s="1"/>
      <x:c r="M1231" s="1"/>
      <x:c r="N1231" s="1"/>
      <x:c r="O1231" s="1"/>
      <x:c r="P1231" s="1"/>
      <x:c r="Q1231" s="1"/>
      <x:c r="R1231" s="1"/>
      <x:c r="S1231" s="1"/>
      <x:c r="T1231" s="1"/>
      <x:c r="U1231" s="1"/>
      <x:c r="V1231" s="1"/>
    </x:row>
    <x:row r="1232">
      <x:c r="A1232" s="1"/>
      <x:c r="B1232" s="1"/>
      <x:c r="C1232" s="1"/>
      <x:c r="D1232" s="1"/>
      <x:c r="E1232" s="1"/>
      <x:c r="F1232" s="1"/>
      <x:c r="G1232" s="1"/>
      <x:c r="H1232" s="1"/>
      <x:c r="I1232" s="1"/>
      <x:c r="J1232" s="1"/>
      <x:c r="K1232" s="1"/>
      <x:c r="L1232" s="1"/>
      <x:c r="M1232" s="1"/>
      <x:c r="N1232" s="1"/>
      <x:c r="O1232" s="1"/>
      <x:c r="P1232" s="1"/>
      <x:c r="Q1232" s="1"/>
      <x:c r="R1232" s="1"/>
      <x:c r="S1232" s="1"/>
      <x:c r="T1232" s="1"/>
      <x:c r="U1232" s="1"/>
      <x:c r="V1232" s="1"/>
    </x:row>
    <x:row r="1233">
      <x:c r="A1233" s="1"/>
      <x:c r="B1233" s="1"/>
      <x:c r="C1233" s="1"/>
      <x:c r="D1233" s="1"/>
      <x:c r="E1233" s="1"/>
      <x:c r="F1233" s="1"/>
      <x:c r="G1233" s="1"/>
      <x:c r="H1233" s="1"/>
      <x:c r="I1233" s="1"/>
      <x:c r="J1233" s="1"/>
      <x:c r="K1233" s="1"/>
      <x:c r="L1233" s="1"/>
      <x:c r="M1233" s="1"/>
      <x:c r="N1233" s="1"/>
      <x:c r="O1233" s="1"/>
      <x:c r="P1233" s="1"/>
      <x:c r="Q1233" s="1"/>
      <x:c r="R1233" s="1"/>
      <x:c r="S1233" s="1"/>
      <x:c r="T1233" s="1"/>
      <x:c r="U1233" s="1"/>
      <x:c r="V1233" s="1"/>
    </x:row>
    <x:row r="1234">
      <x:c r="A1234" s="1"/>
      <x:c r="B1234" s="1"/>
      <x:c r="C1234" s="1"/>
      <x:c r="D1234" s="1"/>
      <x:c r="E1234" s="1"/>
      <x:c r="F1234" s="1"/>
      <x:c r="G1234" s="1"/>
      <x:c r="H1234" s="1"/>
      <x:c r="I1234" s="1"/>
      <x:c r="J1234" s="1"/>
      <x:c r="K1234" s="1"/>
      <x:c r="L1234" s="1"/>
      <x:c r="M1234" s="1"/>
      <x:c r="N1234" s="1"/>
      <x:c r="O1234" s="1"/>
      <x:c r="P1234" s="1"/>
      <x:c r="Q1234" s="1"/>
      <x:c r="R1234" s="1"/>
      <x:c r="S1234" s="1"/>
      <x:c r="T1234" s="1"/>
      <x:c r="U1234" s="1"/>
      <x:c r="V1234" s="1"/>
    </x:row>
    <x:row r="1235">
      <x:c r="A1235" s="1"/>
      <x:c r="B1235" s="1"/>
      <x:c r="C1235" s="1"/>
      <x:c r="D1235" s="1"/>
      <x:c r="E1235" s="1"/>
      <x:c r="F1235" s="1"/>
      <x:c r="G1235" s="1"/>
      <x:c r="H1235" s="1"/>
      <x:c r="I1235" s="1"/>
      <x:c r="J1235" s="1"/>
      <x:c r="K1235" s="1"/>
      <x:c r="L1235" s="1"/>
      <x:c r="M1235" s="1"/>
      <x:c r="N1235" s="1"/>
      <x:c r="O1235" s="1"/>
      <x:c r="P1235" s="1"/>
      <x:c r="Q1235" s="1"/>
      <x:c r="R1235" s="1"/>
      <x:c r="S1235" s="1"/>
      <x:c r="T1235" s="1"/>
      <x:c r="U1235" s="1"/>
      <x:c r="V1235" s="1"/>
    </x:row>
    <x:row r="1236">
      <x:c r="A1236" s="1"/>
      <x:c r="B1236" s="1"/>
      <x:c r="C1236" s="1"/>
      <x:c r="D1236" s="1"/>
      <x:c r="E1236" s="1"/>
      <x:c r="F1236" s="1"/>
      <x:c r="G1236" s="1"/>
      <x:c r="H1236" s="1"/>
      <x:c r="I1236" s="1"/>
      <x:c r="J1236" s="1"/>
      <x:c r="K1236" s="1"/>
      <x:c r="L1236" s="1"/>
      <x:c r="M1236" s="1"/>
      <x:c r="N1236" s="1"/>
      <x:c r="O1236" s="1"/>
      <x:c r="P1236" s="1"/>
      <x:c r="Q1236" s="1"/>
      <x:c r="R1236" s="1"/>
      <x:c r="S1236" s="1"/>
      <x:c r="T1236" s="1"/>
      <x:c r="U1236" s="1"/>
      <x:c r="V1236" s="1"/>
    </x:row>
    <x:row r="1237">
      <x:c r="A1237" s="1"/>
      <x:c r="B1237" s="1"/>
      <x:c r="C1237" s="1"/>
      <x:c r="D1237" s="1"/>
      <x:c r="E1237" s="1"/>
      <x:c r="F1237" s="1"/>
      <x:c r="G1237" s="1"/>
      <x:c r="H1237" s="1"/>
      <x:c r="I1237" s="1"/>
      <x:c r="J1237" s="1"/>
      <x:c r="K1237" s="1"/>
      <x:c r="L1237" s="1"/>
      <x:c r="M1237" s="1"/>
      <x:c r="N1237" s="1"/>
      <x:c r="O1237" s="1"/>
      <x:c r="P1237" s="1"/>
      <x:c r="Q1237" s="1"/>
      <x:c r="R1237" s="1"/>
      <x:c r="S1237" s="1"/>
      <x:c r="T1237" s="1"/>
      <x:c r="U1237" s="1"/>
      <x:c r="V1237" s="1"/>
    </x:row>
    <x:row r="1238">
      <x:c r="A1238" s="1"/>
      <x:c r="B1238" s="1"/>
      <x:c r="C1238" s="1"/>
      <x:c r="D1238" s="1"/>
      <x:c r="E1238" s="1"/>
      <x:c r="F1238" s="1"/>
      <x:c r="G1238" s="1"/>
      <x:c r="H1238" s="1"/>
      <x:c r="I1238" s="1"/>
      <x:c r="J1238" s="1"/>
      <x:c r="K1238" s="1"/>
      <x:c r="L1238" s="1"/>
      <x:c r="M1238" s="1"/>
      <x:c r="N1238" s="1"/>
      <x:c r="O1238" s="1"/>
      <x:c r="P1238" s="1"/>
      <x:c r="Q1238" s="1"/>
      <x:c r="R1238" s="1"/>
      <x:c r="S1238" s="1"/>
      <x:c r="T1238" s="1"/>
      <x:c r="U1238" s="1"/>
      <x:c r="V1238" s="1"/>
    </x:row>
    <x:row r="1239">
      <x:c r="A1239" s="1"/>
      <x:c r="B1239" s="1"/>
      <x:c r="C1239" s="1"/>
      <x:c r="D1239" s="1"/>
      <x:c r="E1239" s="1"/>
      <x:c r="F1239" s="1"/>
      <x:c r="G1239" s="1"/>
      <x:c r="H1239" s="1"/>
      <x:c r="I1239" s="1"/>
      <x:c r="J1239" s="1"/>
      <x:c r="K1239" s="1"/>
      <x:c r="L1239" s="1"/>
      <x:c r="M1239" s="1"/>
      <x:c r="N1239" s="1"/>
      <x:c r="O1239" s="1"/>
      <x:c r="P1239" s="1"/>
      <x:c r="Q1239" s="1"/>
      <x:c r="R1239" s="1"/>
      <x:c r="S1239" s="1"/>
      <x:c r="T1239" s="1"/>
      <x:c r="U1239" s="1"/>
      <x:c r="V1239" s="1"/>
    </x:row>
    <x:row r="1240">
      <x:c r="A1240" s="1"/>
      <x:c r="B1240" s="1"/>
      <x:c r="C1240" s="1"/>
      <x:c r="D1240" s="1"/>
      <x:c r="E1240" s="1"/>
      <x:c r="F1240" s="1"/>
      <x:c r="G1240" s="1"/>
      <x:c r="H1240" s="1"/>
      <x:c r="I1240" s="1"/>
      <x:c r="J1240" s="1"/>
      <x:c r="K1240" s="1"/>
      <x:c r="L1240" s="1"/>
      <x:c r="M1240" s="1"/>
      <x:c r="N1240" s="1"/>
      <x:c r="O1240" s="1"/>
      <x:c r="P1240" s="1"/>
      <x:c r="Q1240" s="1"/>
      <x:c r="R1240" s="1"/>
      <x:c r="S1240" s="1"/>
      <x:c r="T1240" s="1"/>
      <x:c r="U1240" s="1"/>
      <x:c r="V1240" s="1"/>
    </x:row>
    <x:row r="1241">
      <x:c r="A1241" s="1"/>
      <x:c r="B1241" s="1"/>
      <x:c r="C1241" s="1"/>
      <x:c r="D1241" s="1"/>
      <x:c r="E1241" s="1"/>
      <x:c r="F1241" s="1"/>
      <x:c r="G1241" s="1"/>
      <x:c r="H1241" s="1"/>
      <x:c r="I1241" s="1"/>
      <x:c r="J1241" s="1"/>
      <x:c r="K1241" s="1"/>
      <x:c r="L1241" s="1"/>
      <x:c r="M1241" s="1"/>
      <x:c r="N1241" s="1"/>
      <x:c r="O1241" s="1"/>
      <x:c r="P1241" s="1"/>
      <x:c r="Q1241" s="1"/>
      <x:c r="R1241" s="1"/>
      <x:c r="S1241" s="1"/>
      <x:c r="T1241" s="1"/>
      <x:c r="U1241" s="1"/>
      <x:c r="V1241" s="1"/>
    </x:row>
    <x:row r="1242">
      <x:c r="A1242" s="1"/>
      <x:c r="B1242" s="1"/>
      <x:c r="C1242" s="1"/>
      <x:c r="D1242" s="1"/>
      <x:c r="E1242" s="1"/>
      <x:c r="F1242" s="1"/>
      <x:c r="G1242" s="1"/>
      <x:c r="H1242" s="1"/>
      <x:c r="I1242" s="1"/>
      <x:c r="J1242" s="1"/>
      <x:c r="K1242" s="1"/>
      <x:c r="L1242" s="1"/>
      <x:c r="M1242" s="1"/>
      <x:c r="N1242" s="1"/>
      <x:c r="O1242" s="1"/>
      <x:c r="P1242" s="1"/>
      <x:c r="Q1242" s="1"/>
      <x:c r="R1242" s="1"/>
      <x:c r="S1242" s="1"/>
      <x:c r="T1242" s="1"/>
      <x:c r="U1242" s="1"/>
      <x:c r="V1242" s="1"/>
    </x:row>
    <x:row r="1243">
      <x:c r="A1243" s="1"/>
      <x:c r="B1243" s="1"/>
      <x:c r="C1243" s="1"/>
      <x:c r="D1243" s="1"/>
      <x:c r="E1243" s="1"/>
      <x:c r="F1243" s="1"/>
      <x:c r="G1243" s="1"/>
      <x:c r="H1243" s="1"/>
      <x:c r="I1243" s="1"/>
      <x:c r="J1243" s="1"/>
      <x:c r="K1243" s="1"/>
      <x:c r="L1243" s="1"/>
      <x:c r="M1243" s="1"/>
      <x:c r="N1243" s="1"/>
      <x:c r="O1243" s="1"/>
      <x:c r="P1243" s="1"/>
      <x:c r="Q1243" s="1"/>
      <x:c r="R1243" s="1"/>
      <x:c r="S1243" s="1"/>
      <x:c r="T1243" s="1"/>
      <x:c r="U1243" s="1"/>
      <x:c r="V1243" s="1"/>
    </x:row>
    <x:row r="1244">
      <x:c r="A1244" s="1"/>
      <x:c r="B1244" s="1"/>
      <x:c r="C1244" s="1"/>
      <x:c r="D1244" s="1"/>
      <x:c r="E1244" s="1"/>
      <x:c r="F1244" s="1"/>
      <x:c r="G1244" s="1"/>
      <x:c r="H1244" s="1"/>
      <x:c r="I1244" s="1"/>
      <x:c r="J1244" s="1"/>
      <x:c r="K1244" s="1"/>
      <x:c r="L1244" s="1"/>
      <x:c r="M1244" s="1"/>
      <x:c r="N1244" s="1"/>
      <x:c r="O1244" s="1"/>
      <x:c r="P1244" s="1"/>
      <x:c r="Q1244" s="1"/>
      <x:c r="R1244" s="1"/>
      <x:c r="S1244" s="1"/>
      <x:c r="T1244" s="1"/>
      <x:c r="U1244" s="1"/>
      <x:c r="V1244" s="1"/>
    </x:row>
    <x:row r="1245">
      <x:c r="A1245" s="1"/>
      <x:c r="B1245" s="1"/>
      <x:c r="C1245" s="1"/>
      <x:c r="D1245" s="1"/>
      <x:c r="E1245" s="1"/>
      <x:c r="F1245" s="1"/>
      <x:c r="G1245" s="1"/>
      <x:c r="H1245" s="1"/>
      <x:c r="I1245" s="1"/>
      <x:c r="J1245" s="1"/>
      <x:c r="K1245" s="1"/>
      <x:c r="L1245" s="1"/>
      <x:c r="M1245" s="1"/>
      <x:c r="N1245" s="1"/>
      <x:c r="O1245" s="1"/>
      <x:c r="P1245" s="1"/>
      <x:c r="Q1245" s="1"/>
      <x:c r="R1245" s="1"/>
      <x:c r="S1245" s="1"/>
      <x:c r="T1245" s="1"/>
      <x:c r="U1245" s="1"/>
      <x:c r="V1245" s="1"/>
    </x:row>
    <x:row r="1246">
      <x:c r="A1246" s="1"/>
      <x:c r="B1246" s="1"/>
      <x:c r="C1246" s="1"/>
      <x:c r="D1246" s="1"/>
      <x:c r="E1246" s="1"/>
      <x:c r="F1246" s="1"/>
      <x:c r="G1246" s="1"/>
      <x:c r="H1246" s="1"/>
      <x:c r="I1246" s="1"/>
      <x:c r="J1246" s="1"/>
      <x:c r="K1246" s="1"/>
      <x:c r="L1246" s="1"/>
      <x:c r="M1246" s="1"/>
      <x:c r="N1246" s="1"/>
      <x:c r="O1246" s="1"/>
      <x:c r="P1246" s="1"/>
      <x:c r="Q1246" s="1"/>
      <x:c r="R1246" s="1"/>
      <x:c r="S1246" s="1"/>
      <x:c r="T1246" s="1"/>
      <x:c r="U1246" s="1"/>
      <x:c r="V1246" s="1"/>
    </x:row>
    <x:row r="1247">
      <x:c r="A1247" s="1"/>
      <x:c r="B1247" s="1"/>
      <x:c r="C1247" s="1"/>
      <x:c r="D1247" s="1"/>
      <x:c r="E1247" s="1"/>
      <x:c r="F1247" s="1"/>
      <x:c r="G1247" s="1"/>
      <x:c r="H1247" s="1"/>
      <x:c r="I1247" s="1"/>
      <x:c r="J1247" s="1"/>
      <x:c r="K1247" s="1"/>
      <x:c r="L1247" s="1"/>
      <x:c r="M1247" s="1"/>
      <x:c r="N1247" s="1"/>
      <x:c r="O1247" s="1"/>
      <x:c r="P1247" s="1"/>
      <x:c r="Q1247" s="1"/>
      <x:c r="R1247" s="1"/>
      <x:c r="S1247" s="1"/>
      <x:c r="T1247" s="1"/>
      <x:c r="U1247" s="1"/>
      <x:c r="V1247" s="1"/>
    </x:row>
    <x:row r="1248">
      <x:c r="A1248" s="1"/>
      <x:c r="B1248" s="1"/>
      <x:c r="C1248" s="1"/>
      <x:c r="D1248" s="1"/>
      <x:c r="E1248" s="1"/>
      <x:c r="F1248" s="1"/>
      <x:c r="G1248" s="1"/>
      <x:c r="H1248" s="1"/>
      <x:c r="I1248" s="1"/>
      <x:c r="J1248" s="1"/>
      <x:c r="K1248" s="1"/>
      <x:c r="L1248" s="1"/>
      <x:c r="M1248" s="1"/>
      <x:c r="N1248" s="1"/>
      <x:c r="O1248" s="1"/>
      <x:c r="P1248" s="1"/>
      <x:c r="Q1248" s="1"/>
      <x:c r="R1248" s="1"/>
      <x:c r="S1248" s="1"/>
      <x:c r="T1248" s="1"/>
      <x:c r="U1248" s="1"/>
      <x:c r="V1248" s="1"/>
    </x:row>
    <x:row r="1249">
      <x:c r="A1249" s="1"/>
      <x:c r="B1249" s="1"/>
      <x:c r="C1249" s="1"/>
      <x:c r="D1249" s="1"/>
      <x:c r="E1249" s="1"/>
      <x:c r="F1249" s="1"/>
      <x:c r="G1249" s="1"/>
      <x:c r="H1249" s="1"/>
      <x:c r="I1249" s="1"/>
      <x:c r="J1249" s="1"/>
      <x:c r="K1249" s="1"/>
      <x:c r="L1249" s="1"/>
      <x:c r="M1249" s="1"/>
      <x:c r="N1249" s="1"/>
      <x:c r="O1249" s="1"/>
      <x:c r="P1249" s="1"/>
      <x:c r="Q1249" s="1"/>
      <x:c r="R1249" s="1"/>
      <x:c r="S1249" s="1"/>
      <x:c r="T1249" s="1"/>
      <x:c r="U1249" s="1"/>
      <x:c r="V1249" s="1"/>
    </x:row>
    <x:row r="1250">
      <x:c r="A1250" s="1"/>
      <x:c r="B1250" s="1"/>
      <x:c r="C1250" s="1"/>
      <x:c r="D1250" s="1"/>
      <x:c r="E1250" s="1"/>
      <x:c r="F1250" s="1"/>
      <x:c r="G1250" s="1"/>
      <x:c r="H1250" s="1"/>
      <x:c r="I1250" s="1"/>
      <x:c r="J1250" s="1"/>
      <x:c r="K1250" s="1"/>
      <x:c r="L1250" s="1"/>
      <x:c r="M1250" s="1"/>
      <x:c r="N1250" s="1"/>
      <x:c r="O1250" s="1"/>
      <x:c r="P1250" s="1"/>
      <x:c r="Q1250" s="1"/>
      <x:c r="R1250" s="1"/>
      <x:c r="S1250" s="1"/>
      <x:c r="T1250" s="1"/>
      <x:c r="U1250" s="1"/>
      <x:c r="V1250" s="1"/>
    </x:row>
    <x:row r="1251">
      <x:c r="A1251" s="1"/>
      <x:c r="B1251" s="1"/>
      <x:c r="C1251" s="1"/>
      <x:c r="D1251" s="1"/>
      <x:c r="E1251" s="1"/>
      <x:c r="F1251" s="1"/>
      <x:c r="G1251" s="1"/>
      <x:c r="H1251" s="1"/>
      <x:c r="I1251" s="1"/>
      <x:c r="J1251" s="1"/>
      <x:c r="K1251" s="1"/>
      <x:c r="L1251" s="1"/>
      <x:c r="M1251" s="1"/>
      <x:c r="N1251" s="1"/>
      <x:c r="O1251" s="1"/>
      <x:c r="P1251" s="1"/>
      <x:c r="Q1251" s="1"/>
      <x:c r="R1251" s="1"/>
      <x:c r="S1251" s="1"/>
      <x:c r="T1251" s="1"/>
      <x:c r="U1251" s="1"/>
      <x:c r="V1251" s="1"/>
    </x:row>
    <x:row r="1252">
      <x:c r="A1252" s="1"/>
      <x:c r="B1252" s="1"/>
      <x:c r="C1252" s="1"/>
      <x:c r="D1252" s="1"/>
      <x:c r="E1252" s="1"/>
      <x:c r="F1252" s="1"/>
      <x:c r="G1252" s="1"/>
      <x:c r="H1252" s="1"/>
      <x:c r="I1252" s="1"/>
      <x:c r="J1252" s="1"/>
      <x:c r="K1252" s="1"/>
      <x:c r="L1252" s="1"/>
      <x:c r="M1252" s="1"/>
      <x:c r="N1252" s="1"/>
      <x:c r="O1252" s="1"/>
      <x:c r="P1252" s="1"/>
      <x:c r="Q1252" s="1"/>
      <x:c r="R1252" s="1"/>
      <x:c r="S1252" s="1"/>
      <x:c r="T1252" s="1"/>
      <x:c r="U1252" s="1"/>
      <x:c r="V1252" s="1"/>
    </x:row>
    <x:row r="1253">
      <x:c r="A1253" s="1"/>
      <x:c r="B1253" s="1"/>
      <x:c r="C1253" s="1"/>
      <x:c r="D1253" s="1"/>
      <x:c r="E1253" s="1"/>
      <x:c r="F1253" s="1"/>
      <x:c r="G1253" s="1"/>
      <x:c r="H1253" s="1"/>
      <x:c r="I1253" s="1"/>
      <x:c r="J1253" s="1"/>
      <x:c r="K1253" s="1"/>
      <x:c r="L1253" s="1"/>
      <x:c r="M1253" s="1"/>
      <x:c r="N1253" s="1"/>
      <x:c r="O1253" s="1"/>
      <x:c r="P1253" s="1"/>
      <x:c r="Q1253" s="1"/>
      <x:c r="R1253" s="1"/>
      <x:c r="S1253" s="1"/>
      <x:c r="T1253" s="1"/>
      <x:c r="U1253" s="1"/>
      <x:c r="V1253" s="1"/>
    </x:row>
    <x:row r="1254">
      <x:c r="A1254" s="1"/>
      <x:c r="B1254" s="1"/>
      <x:c r="C1254" s="1"/>
      <x:c r="D1254" s="1"/>
      <x:c r="E1254" s="1"/>
      <x:c r="F1254" s="1"/>
      <x:c r="G1254" s="1"/>
      <x:c r="H1254" s="1"/>
      <x:c r="I1254" s="1"/>
      <x:c r="J1254" s="1"/>
      <x:c r="K1254" s="1"/>
      <x:c r="L1254" s="1"/>
      <x:c r="M1254" s="1"/>
      <x:c r="N1254" s="1"/>
      <x:c r="O1254" s="1"/>
      <x:c r="P1254" s="1"/>
      <x:c r="Q1254" s="1"/>
      <x:c r="R1254" s="1"/>
      <x:c r="S1254" s="1"/>
      <x:c r="T1254" s="1"/>
      <x:c r="U1254" s="1"/>
      <x:c r="V1254" s="1"/>
    </x:row>
    <x:row r="1255">
      <x:c r="A1255" s="1"/>
      <x:c r="B1255" s="1"/>
      <x:c r="C1255" s="1"/>
      <x:c r="D1255" s="1"/>
      <x:c r="E1255" s="1"/>
      <x:c r="F1255" s="1"/>
      <x:c r="G1255" s="1"/>
      <x:c r="H1255" s="1"/>
      <x:c r="I1255" s="1"/>
      <x:c r="J1255" s="1"/>
      <x:c r="K1255" s="1"/>
      <x:c r="L1255" s="1"/>
      <x:c r="M1255" s="1"/>
      <x:c r="N1255" s="1"/>
      <x:c r="O1255" s="1"/>
      <x:c r="P1255" s="1"/>
      <x:c r="Q1255" s="1"/>
      <x:c r="R1255" s="1"/>
      <x:c r="S1255" s="1"/>
      <x:c r="T1255" s="1"/>
      <x:c r="U1255" s="1"/>
      <x:c r="V1255" s="1"/>
    </x:row>
    <x:row r="1256">
      <x:c r="A1256" s="1"/>
      <x:c r="B1256" s="1"/>
      <x:c r="C1256" s="1"/>
      <x:c r="D1256" s="1"/>
      <x:c r="E1256" s="1"/>
      <x:c r="F1256" s="1"/>
      <x:c r="G1256" s="1"/>
      <x:c r="H1256" s="1"/>
      <x:c r="I1256" s="1"/>
      <x:c r="J1256" s="1"/>
      <x:c r="K1256" s="1"/>
      <x:c r="L1256" s="1"/>
      <x:c r="M1256" s="1"/>
      <x:c r="N1256" s="1"/>
      <x:c r="O1256" s="1"/>
      <x:c r="P1256" s="1"/>
      <x:c r="Q1256" s="1"/>
      <x:c r="R1256" s="1"/>
      <x:c r="S1256" s="1"/>
      <x:c r="T1256" s="1"/>
      <x:c r="U1256" s="1"/>
      <x:c r="V1256" s="1"/>
    </x:row>
    <x:row r="1257">
      <x:c r="A1257" s="1"/>
      <x:c r="B1257" s="1"/>
      <x:c r="C1257" s="1"/>
      <x:c r="D1257" s="1"/>
      <x:c r="E1257" s="1"/>
      <x:c r="F1257" s="1"/>
      <x:c r="G1257" s="1"/>
      <x:c r="H1257" s="1"/>
      <x:c r="I1257" s="1"/>
      <x:c r="J1257" s="1"/>
      <x:c r="K1257" s="1"/>
      <x:c r="L1257" s="1"/>
      <x:c r="M1257" s="1"/>
      <x:c r="N1257" s="1"/>
      <x:c r="O1257" s="1"/>
      <x:c r="P1257" s="1"/>
      <x:c r="Q1257" s="1"/>
      <x:c r="R1257" s="1"/>
      <x:c r="S1257" s="1"/>
      <x:c r="T1257" s="1"/>
      <x:c r="U1257" s="1"/>
      <x:c r="V1257" s="1"/>
    </x:row>
    <x:row r="1258">
      <x:c r="A1258" s="1"/>
      <x:c r="B1258" s="1"/>
      <x:c r="C1258" s="1"/>
      <x:c r="D1258" s="1"/>
      <x:c r="E1258" s="1"/>
      <x:c r="F1258" s="1"/>
      <x:c r="G1258" s="1"/>
      <x:c r="H1258" s="1"/>
      <x:c r="I1258" s="1"/>
      <x:c r="J1258" s="1"/>
      <x:c r="K1258" s="1"/>
      <x:c r="L1258" s="1"/>
      <x:c r="M1258" s="1"/>
      <x:c r="N1258" s="1"/>
      <x:c r="O1258" s="1"/>
      <x:c r="P1258" s="1"/>
      <x:c r="Q1258" s="1"/>
      <x:c r="R1258" s="1"/>
      <x:c r="S1258" s="1"/>
      <x:c r="T1258" s="1"/>
      <x:c r="U1258" s="1"/>
      <x:c r="V1258" s="1"/>
    </x:row>
    <x:row r="1259">
      <x:c r="A1259" s="1"/>
      <x:c r="B1259" s="1"/>
      <x:c r="C1259" s="1"/>
      <x:c r="D1259" s="1"/>
      <x:c r="E1259" s="1"/>
      <x:c r="F1259" s="1"/>
      <x:c r="G1259" s="1"/>
      <x:c r="H1259" s="1"/>
      <x:c r="I1259" s="1"/>
      <x:c r="J1259" s="1"/>
      <x:c r="K1259" s="1"/>
      <x:c r="L1259" s="1"/>
      <x:c r="M1259" s="1"/>
      <x:c r="N1259" s="1"/>
      <x:c r="O1259" s="1"/>
      <x:c r="P1259" s="1"/>
      <x:c r="Q1259" s="1"/>
      <x:c r="R1259" s="1"/>
      <x:c r="S1259" s="1"/>
      <x:c r="T1259" s="1"/>
      <x:c r="U1259" s="1"/>
      <x:c r="V1259" s="1"/>
    </x:row>
    <x:row r="1260">
      <x:c r="A1260" s="1"/>
      <x:c r="B1260" s="1"/>
      <x:c r="C1260" s="1"/>
      <x:c r="D1260" s="1"/>
      <x:c r="E1260" s="1"/>
      <x:c r="F1260" s="1"/>
      <x:c r="G1260" s="1"/>
      <x:c r="H1260" s="1"/>
      <x:c r="I1260" s="1"/>
      <x:c r="J1260" s="1"/>
      <x:c r="K1260" s="1"/>
      <x:c r="L1260" s="1"/>
      <x:c r="M1260" s="1"/>
      <x:c r="N1260" s="1"/>
      <x:c r="O1260" s="1"/>
      <x:c r="P1260" s="1"/>
      <x:c r="Q1260" s="1"/>
      <x:c r="R1260" s="1"/>
      <x:c r="S1260" s="1"/>
      <x:c r="T1260" s="1"/>
      <x:c r="U1260" s="1"/>
      <x:c r="V1260" s="1"/>
    </x:row>
    <x:row r="1261">
      <x:c r="A1261" s="1"/>
      <x:c r="B1261" s="1"/>
      <x:c r="C1261" s="1"/>
      <x:c r="D1261" s="1"/>
      <x:c r="E1261" s="1"/>
      <x:c r="F1261" s="1"/>
      <x:c r="G1261" s="1"/>
      <x:c r="H1261" s="1"/>
      <x:c r="I1261" s="1"/>
      <x:c r="J1261" s="1"/>
      <x:c r="K1261" s="1"/>
      <x:c r="L1261" s="1"/>
      <x:c r="M1261" s="1"/>
      <x:c r="N1261" s="1"/>
      <x:c r="O1261" s="1"/>
      <x:c r="P1261" s="1"/>
      <x:c r="Q1261" s="1"/>
      <x:c r="R1261" s="1"/>
      <x:c r="S1261" s="1"/>
      <x:c r="T1261" s="1"/>
      <x:c r="U1261" s="1"/>
      <x:c r="V1261" s="1"/>
    </x:row>
    <x:row r="1262">
      <x:c r="A1262" s="1"/>
      <x:c r="B1262" s="1"/>
      <x:c r="C1262" s="1"/>
      <x:c r="D1262" s="1"/>
      <x:c r="E1262" s="1"/>
      <x:c r="F1262" s="1"/>
      <x:c r="G1262" s="1"/>
      <x:c r="H1262" s="1"/>
      <x:c r="I1262" s="1"/>
      <x:c r="J1262" s="1"/>
      <x:c r="K1262" s="1"/>
      <x:c r="L1262" s="1"/>
      <x:c r="M1262" s="1"/>
      <x:c r="N1262" s="1"/>
      <x:c r="O1262" s="1"/>
      <x:c r="P1262" s="1"/>
      <x:c r="Q1262" s="1"/>
      <x:c r="R1262" s="1"/>
      <x:c r="S1262" s="1"/>
      <x:c r="T1262" s="1"/>
      <x:c r="U1262" s="1"/>
      <x:c r="V1262" s="1"/>
    </x:row>
    <x:row r="1263">
      <x:c r="A1263" s="1"/>
      <x:c r="B1263" s="1"/>
      <x:c r="C1263" s="1"/>
      <x:c r="D1263" s="1"/>
      <x:c r="E1263" s="1"/>
      <x:c r="F1263" s="1"/>
      <x:c r="G1263" s="1"/>
      <x:c r="H1263" s="1"/>
      <x:c r="I1263" s="1"/>
      <x:c r="J1263" s="1"/>
      <x:c r="K1263" s="1"/>
      <x:c r="L1263" s="1"/>
      <x:c r="M1263" s="1"/>
      <x:c r="N1263" s="1"/>
      <x:c r="O1263" s="1"/>
      <x:c r="P1263" s="1"/>
      <x:c r="Q1263" s="1"/>
      <x:c r="R1263" s="1"/>
      <x:c r="S1263" s="1"/>
      <x:c r="T1263" s="1"/>
      <x:c r="U1263" s="1"/>
      <x:c r="V1263" s="1"/>
    </x:row>
    <x:row r="1264">
      <x:c r="A1264" s="1"/>
      <x:c r="B1264" s="1"/>
      <x:c r="C1264" s="1"/>
      <x:c r="D1264" s="1"/>
      <x:c r="E1264" s="1"/>
      <x:c r="F1264" s="1"/>
      <x:c r="G1264" s="1"/>
      <x:c r="H1264" s="1"/>
      <x:c r="I1264" s="1"/>
      <x:c r="J1264" s="1"/>
      <x:c r="K1264" s="1"/>
      <x:c r="L1264" s="1"/>
      <x:c r="M1264" s="1"/>
      <x:c r="N1264" s="1"/>
      <x:c r="O1264" s="1"/>
      <x:c r="P1264" s="1"/>
      <x:c r="Q1264" s="1"/>
      <x:c r="R1264" s="1"/>
      <x:c r="S1264" s="1"/>
      <x:c r="T1264" s="1"/>
      <x:c r="U1264" s="1"/>
      <x:c r="V1264" s="1"/>
    </x:row>
    <x:row r="1265">
      <x:c r="A1265" s="1"/>
      <x:c r="B1265" s="1"/>
      <x:c r="C1265" s="1"/>
      <x:c r="D1265" s="1"/>
      <x:c r="E1265" s="1"/>
      <x:c r="F1265" s="1"/>
      <x:c r="G1265" s="1"/>
      <x:c r="H1265" s="1"/>
      <x:c r="I1265" s="1"/>
      <x:c r="J1265" s="1"/>
      <x:c r="K1265" s="1"/>
      <x:c r="L1265" s="1"/>
      <x:c r="M1265" s="1"/>
      <x:c r="N1265" s="1"/>
      <x:c r="O1265" s="1"/>
      <x:c r="P1265" s="1"/>
      <x:c r="Q1265" s="1"/>
      <x:c r="R1265" s="1"/>
      <x:c r="S1265" s="1"/>
      <x:c r="T1265" s="1"/>
      <x:c r="U1265" s="1"/>
      <x:c r="V1265" s="1"/>
    </x:row>
    <x:row r="1266">
      <x:c r="A1266" s="1"/>
      <x:c r="B1266" s="1"/>
      <x:c r="C1266" s="1"/>
      <x:c r="D1266" s="1"/>
      <x:c r="E1266" s="1"/>
      <x:c r="F1266" s="1"/>
      <x:c r="G1266" s="1"/>
      <x:c r="H1266" s="1"/>
      <x:c r="I1266" s="1"/>
      <x:c r="J1266" s="1"/>
      <x:c r="K1266" s="1"/>
      <x:c r="L1266" s="1"/>
      <x:c r="M1266" s="1"/>
      <x:c r="N1266" s="1"/>
      <x:c r="O1266" s="1"/>
      <x:c r="P1266" s="1"/>
      <x:c r="Q1266" s="1"/>
      <x:c r="R1266" s="1"/>
      <x:c r="S1266" s="1"/>
      <x:c r="T1266" s="1"/>
      <x:c r="U1266" s="1"/>
      <x:c r="V1266" s="1"/>
    </x:row>
    <x:row r="1267">
      <x:c r="A1267" s="1"/>
      <x:c r="B1267" s="1"/>
      <x:c r="C1267" s="1"/>
      <x:c r="D1267" s="1"/>
      <x:c r="E1267" s="1"/>
      <x:c r="F1267" s="1"/>
      <x:c r="G1267" s="1"/>
      <x:c r="H1267" s="1"/>
      <x:c r="I1267" s="1"/>
      <x:c r="J1267" s="1"/>
      <x:c r="K1267" s="1"/>
      <x:c r="L1267" s="1"/>
      <x:c r="M1267" s="1"/>
      <x:c r="N1267" s="1"/>
      <x:c r="O1267" s="1"/>
      <x:c r="P1267" s="1"/>
      <x:c r="Q1267" s="1"/>
      <x:c r="R1267" s="1"/>
      <x:c r="S1267" s="1"/>
      <x:c r="T1267" s="1"/>
      <x:c r="U1267" s="1"/>
      <x:c r="V1267" s="1"/>
    </x:row>
    <x:row r="1268">
      <x:c r="A1268" s="1"/>
      <x:c r="B1268" s="1"/>
      <x:c r="C1268" s="1"/>
      <x:c r="D1268" s="1"/>
      <x:c r="E1268" s="1"/>
      <x:c r="F1268" s="1"/>
      <x:c r="G1268" s="1"/>
      <x:c r="H1268" s="1"/>
      <x:c r="I1268" s="1"/>
      <x:c r="J1268" s="1"/>
      <x:c r="K1268" s="1"/>
      <x:c r="L1268" s="1"/>
      <x:c r="M1268" s="1"/>
      <x:c r="N1268" s="1"/>
      <x:c r="O1268" s="1"/>
      <x:c r="P1268" s="1"/>
      <x:c r="Q1268" s="1"/>
      <x:c r="R1268" s="1"/>
      <x:c r="S1268" s="1"/>
      <x:c r="T1268" s="1"/>
      <x:c r="U1268" s="1"/>
      <x:c r="V1268" s="1"/>
    </x:row>
    <x:row r="1269">
      <x:c r="A1269" s="1"/>
      <x:c r="B1269" s="1"/>
      <x:c r="C1269" s="1"/>
      <x:c r="D1269" s="1"/>
      <x:c r="E1269" s="1"/>
      <x:c r="F1269" s="1"/>
      <x:c r="G1269" s="1"/>
      <x:c r="H1269" s="1"/>
      <x:c r="I1269" s="1"/>
      <x:c r="J1269" s="1"/>
      <x:c r="K1269" s="1"/>
      <x:c r="L1269" s="1"/>
      <x:c r="M1269" s="1"/>
      <x:c r="N1269" s="1"/>
      <x:c r="O1269" s="1"/>
      <x:c r="P1269" s="1"/>
      <x:c r="Q1269" s="1"/>
      <x:c r="R1269" s="1"/>
      <x:c r="S1269" s="1"/>
      <x:c r="T1269" s="1"/>
      <x:c r="U1269" s="1"/>
      <x:c r="V1269" s="1"/>
    </x:row>
    <x:row r="1270">
      <x:c r="A1270" s="1"/>
      <x:c r="B1270" s="1"/>
      <x:c r="C1270" s="1"/>
      <x:c r="D1270" s="1"/>
      <x:c r="E1270" s="1"/>
      <x:c r="F1270" s="1"/>
      <x:c r="G1270" s="1"/>
      <x:c r="H1270" s="1"/>
      <x:c r="I1270" s="1"/>
      <x:c r="J1270" s="1"/>
      <x:c r="K1270" s="1"/>
      <x:c r="L1270" s="1"/>
      <x:c r="M1270" s="1"/>
      <x:c r="N1270" s="1"/>
      <x:c r="O1270" s="1"/>
      <x:c r="P1270" s="1"/>
      <x:c r="Q1270" s="1"/>
      <x:c r="R1270" s="1"/>
      <x:c r="S1270" s="1"/>
      <x:c r="T1270" s="1"/>
      <x:c r="U1270" s="1"/>
      <x:c r="V1270" s="1"/>
    </x:row>
    <x:row r="1271">
      <x:c r="A1271" s="1"/>
      <x:c r="B1271" s="1"/>
      <x:c r="C1271" s="1"/>
      <x:c r="D1271" s="1"/>
      <x:c r="E1271" s="1"/>
      <x:c r="F1271" s="1"/>
      <x:c r="G1271" s="1"/>
      <x:c r="H1271" s="1"/>
      <x:c r="I1271" s="1"/>
      <x:c r="J1271" s="1"/>
      <x:c r="K1271" s="1"/>
      <x:c r="L1271" s="1"/>
      <x:c r="M1271" s="1"/>
      <x:c r="N1271" s="1"/>
      <x:c r="O1271" s="1"/>
      <x:c r="P1271" s="1"/>
      <x:c r="Q1271" s="1"/>
      <x:c r="R1271" s="1"/>
      <x:c r="S1271" s="1"/>
      <x:c r="T1271" s="1"/>
      <x:c r="U1271" s="1"/>
      <x:c r="V1271" s="1"/>
    </x:row>
    <x:row r="1272">
      <x:c r="A1272" s="1"/>
      <x:c r="B1272" s="1"/>
      <x:c r="C1272" s="1"/>
      <x:c r="D1272" s="1"/>
      <x:c r="E1272" s="1"/>
      <x:c r="F1272" s="1"/>
      <x:c r="G1272" s="1"/>
      <x:c r="H1272" s="1"/>
      <x:c r="I1272" s="1"/>
      <x:c r="J1272" s="1"/>
      <x:c r="K1272" s="1"/>
      <x:c r="L1272" s="1"/>
      <x:c r="M1272" s="1"/>
      <x:c r="N1272" s="1"/>
      <x:c r="O1272" s="1"/>
      <x:c r="P1272" s="1"/>
      <x:c r="Q1272" s="1"/>
      <x:c r="R1272" s="1"/>
      <x:c r="S1272" s="1"/>
      <x:c r="T1272" s="1"/>
      <x:c r="U1272" s="1"/>
      <x:c r="V1272" s="1"/>
    </x:row>
    <x:row r="1273">
      <x:c r="A1273" s="1"/>
      <x:c r="B1273" s="1"/>
      <x:c r="C1273" s="1"/>
      <x:c r="D1273" s="1"/>
      <x:c r="E1273" s="1"/>
      <x:c r="F1273" s="1"/>
      <x:c r="G1273" s="1"/>
      <x:c r="H1273" s="1"/>
      <x:c r="I1273" s="1"/>
      <x:c r="J1273" s="1"/>
      <x:c r="K1273" s="1"/>
      <x:c r="L1273" s="1"/>
      <x:c r="M1273" s="1"/>
      <x:c r="N1273" s="1"/>
      <x:c r="O1273" s="1"/>
      <x:c r="P1273" s="1"/>
      <x:c r="Q1273" s="1"/>
      <x:c r="R1273" s="1"/>
      <x:c r="S1273" s="1"/>
      <x:c r="T1273" s="1"/>
      <x:c r="U1273" s="1"/>
      <x:c r="V1273" s="1"/>
    </x:row>
    <x:row r="1274">
      <x:c r="A1274" s="1"/>
      <x:c r="B1274" s="1"/>
      <x:c r="C1274" s="1"/>
      <x:c r="D1274" s="1"/>
      <x:c r="E1274" s="1"/>
      <x:c r="F1274" s="1"/>
      <x:c r="G1274" s="1"/>
      <x:c r="H1274" s="1"/>
      <x:c r="I1274" s="1"/>
      <x:c r="J1274" s="1"/>
      <x:c r="K1274" s="1"/>
      <x:c r="L1274" s="1"/>
      <x:c r="M1274" s="1"/>
      <x:c r="N1274" s="1"/>
      <x:c r="O1274" s="1"/>
      <x:c r="P1274" s="1"/>
      <x:c r="Q1274" s="1"/>
      <x:c r="R1274" s="1"/>
      <x:c r="S1274" s="1"/>
      <x:c r="T1274" s="1"/>
      <x:c r="U1274" s="1"/>
      <x:c r="V1274" s="1"/>
    </x:row>
    <x:row r="1275">
      <x:c r="A1275" s="1"/>
      <x:c r="B1275" s="1"/>
      <x:c r="C1275" s="1"/>
      <x:c r="D1275" s="1"/>
      <x:c r="E1275" s="1"/>
      <x:c r="F1275" s="1"/>
      <x:c r="G1275" s="1"/>
      <x:c r="H1275" s="1"/>
      <x:c r="I1275" s="1"/>
      <x:c r="J1275" s="1"/>
      <x:c r="K1275" s="1"/>
      <x:c r="L1275" s="1"/>
      <x:c r="M1275" s="1"/>
      <x:c r="N1275" s="1"/>
      <x:c r="O1275" s="1"/>
      <x:c r="P1275" s="1"/>
      <x:c r="Q1275" s="1"/>
      <x:c r="R1275" s="1"/>
      <x:c r="S1275" s="1"/>
      <x:c r="T1275" s="1"/>
      <x:c r="U1275" s="1"/>
      <x:c r="V1275" s="1"/>
    </x:row>
    <x:row r="1276">
      <x:c r="A1276" s="1"/>
      <x:c r="B1276" s="1"/>
      <x:c r="C1276" s="1"/>
      <x:c r="D1276" s="1"/>
      <x:c r="E1276" s="1"/>
      <x:c r="F1276" s="1"/>
      <x:c r="G1276" s="1"/>
      <x:c r="H1276" s="1"/>
      <x:c r="I1276" s="1"/>
      <x:c r="J1276" s="1"/>
      <x:c r="K1276" s="1"/>
      <x:c r="L1276" s="1"/>
      <x:c r="M1276" s="1"/>
      <x:c r="N1276" s="1"/>
      <x:c r="O1276" s="1"/>
      <x:c r="P1276" s="1"/>
      <x:c r="Q1276" s="1"/>
      <x:c r="R1276" s="1"/>
      <x:c r="S1276" s="1"/>
      <x:c r="T1276" s="1"/>
      <x:c r="U1276" s="1"/>
      <x:c r="V1276" s="1"/>
    </x:row>
    <x:row r="1277">
      <x:c r="A1277" s="1"/>
      <x:c r="B1277" s="1"/>
      <x:c r="C1277" s="1"/>
      <x:c r="D1277" s="1"/>
      <x:c r="E1277" s="1"/>
      <x:c r="F1277" s="1"/>
      <x:c r="G1277" s="1"/>
      <x:c r="H1277" s="1"/>
      <x:c r="I1277" s="1"/>
      <x:c r="J1277" s="1"/>
      <x:c r="K1277" s="1"/>
      <x:c r="L1277" s="1"/>
      <x:c r="M1277" s="1"/>
      <x:c r="N1277" s="1"/>
      <x:c r="O1277" s="1"/>
      <x:c r="P1277" s="1"/>
      <x:c r="Q1277" s="1"/>
      <x:c r="R1277" s="1"/>
      <x:c r="S1277" s="1"/>
      <x:c r="T1277" s="1"/>
      <x:c r="U1277" s="1"/>
      <x:c r="V1277" s="1"/>
    </x:row>
    <x:row r="1278">
      <x:c r="A1278" s="1"/>
      <x:c r="B1278" s="1"/>
      <x:c r="C1278" s="1"/>
      <x:c r="D1278" s="1"/>
      <x:c r="E1278" s="1"/>
      <x:c r="F1278" s="1"/>
      <x:c r="G1278" s="1"/>
      <x:c r="H1278" s="1"/>
      <x:c r="I1278" s="1"/>
      <x:c r="J1278" s="1"/>
      <x:c r="K1278" s="1"/>
      <x:c r="L1278" s="1"/>
      <x:c r="M1278" s="1"/>
      <x:c r="N1278" s="1"/>
      <x:c r="O1278" s="1"/>
      <x:c r="P1278" s="1"/>
      <x:c r="Q1278" s="1"/>
      <x:c r="R1278" s="1"/>
      <x:c r="S1278" s="1"/>
      <x:c r="T1278" s="1"/>
      <x:c r="U1278" s="1"/>
      <x:c r="V1278" s="1"/>
    </x:row>
    <x:row r="1279">
      <x:c r="A1279" s="1"/>
      <x:c r="B1279" s="1"/>
      <x:c r="C1279" s="1"/>
      <x:c r="D1279" s="1"/>
      <x:c r="E1279" s="1"/>
      <x:c r="F1279" s="1"/>
      <x:c r="G1279" s="1"/>
      <x:c r="H1279" s="1"/>
      <x:c r="I1279" s="1"/>
      <x:c r="J1279" s="1"/>
      <x:c r="K1279" s="1"/>
      <x:c r="L1279" s="1"/>
      <x:c r="M1279" s="1"/>
      <x:c r="N1279" s="1"/>
      <x:c r="O1279" s="1"/>
      <x:c r="P1279" s="1"/>
      <x:c r="Q1279" s="1"/>
      <x:c r="R1279" s="1"/>
      <x:c r="S1279" s="1"/>
      <x:c r="T1279" s="1"/>
      <x:c r="U1279" s="1"/>
      <x:c r="V1279" s="1"/>
    </x:row>
    <x:row r="1280">
      <x:c r="A1280" s="1"/>
      <x:c r="B1280" s="1"/>
      <x:c r="C1280" s="1"/>
      <x:c r="D1280" s="1"/>
      <x:c r="E1280" s="1"/>
      <x:c r="F1280" s="1"/>
      <x:c r="G1280" s="1"/>
      <x:c r="H1280" s="1"/>
      <x:c r="I1280" s="1"/>
      <x:c r="J1280" s="1"/>
      <x:c r="K1280" s="1"/>
      <x:c r="L1280" s="1"/>
      <x:c r="M1280" s="1"/>
      <x:c r="N1280" s="1"/>
      <x:c r="O1280" s="1"/>
      <x:c r="P1280" s="1"/>
      <x:c r="Q1280" s="1"/>
      <x:c r="R1280" s="1"/>
      <x:c r="S1280" s="1"/>
      <x:c r="T1280" s="1"/>
      <x:c r="U1280" s="1"/>
      <x:c r="V1280" s="1"/>
    </x:row>
    <x:row r="1281">
      <x:c r="A1281" s="1"/>
      <x:c r="B1281" s="1"/>
      <x:c r="C1281" s="1"/>
      <x:c r="D1281" s="1"/>
      <x:c r="E1281" s="1"/>
      <x:c r="F1281" s="1"/>
      <x:c r="G1281" s="1"/>
      <x:c r="H1281" s="1"/>
      <x:c r="I1281" s="1"/>
      <x:c r="J1281" s="1"/>
      <x:c r="K1281" s="1"/>
      <x:c r="L1281" s="1"/>
      <x:c r="M1281" s="1"/>
      <x:c r="N1281" s="1"/>
      <x:c r="O1281" s="1"/>
      <x:c r="P1281" s="1"/>
      <x:c r="Q1281" s="1"/>
      <x:c r="R1281" s="1"/>
      <x:c r="S1281" s="1"/>
      <x:c r="T1281" s="1"/>
      <x:c r="U1281" s="1"/>
      <x:c r="V1281" s="1"/>
    </x:row>
    <x:row r="1282">
      <x:c r="A1282" s="1"/>
      <x:c r="B1282" s="1"/>
      <x:c r="C1282" s="1"/>
      <x:c r="D1282" s="1"/>
      <x:c r="E1282" s="1"/>
      <x:c r="F1282" s="1"/>
      <x:c r="G1282" s="1"/>
      <x:c r="H1282" s="1"/>
      <x:c r="I1282" s="1"/>
      <x:c r="J1282" s="1"/>
      <x:c r="K1282" s="1"/>
      <x:c r="L1282" s="1"/>
      <x:c r="M1282" s="1"/>
      <x:c r="N1282" s="1"/>
      <x:c r="O1282" s="1"/>
      <x:c r="P1282" s="1"/>
      <x:c r="Q1282" s="1"/>
      <x:c r="R1282" s="1"/>
      <x:c r="S1282" s="1"/>
      <x:c r="T1282" s="1"/>
      <x:c r="U1282" s="1"/>
      <x:c r="V1282" s="1"/>
    </x:row>
    <x:row r="1283">
      <x:c r="A1283" s="1"/>
      <x:c r="B1283" s="1"/>
      <x:c r="C1283" s="1"/>
      <x:c r="D1283" s="1"/>
      <x:c r="E1283" s="1"/>
      <x:c r="F1283" s="1"/>
      <x:c r="G1283" s="1"/>
      <x:c r="H1283" s="1"/>
      <x:c r="I1283" s="1"/>
      <x:c r="J1283" s="1"/>
      <x:c r="K1283" s="1"/>
      <x:c r="L1283" s="1"/>
      <x:c r="M1283" s="1"/>
      <x:c r="N1283" s="1"/>
      <x:c r="O1283" s="1"/>
      <x:c r="P1283" s="1"/>
      <x:c r="Q1283" s="1"/>
      <x:c r="R1283" s="1"/>
      <x:c r="S1283" s="1"/>
      <x:c r="T1283" s="1"/>
      <x:c r="U1283" s="1"/>
      <x:c r="V1283" s="1"/>
    </x:row>
    <x:row r="1284">
      <x:c r="A1284" s="1"/>
      <x:c r="B1284" s="1"/>
      <x:c r="C1284" s="1"/>
      <x:c r="D1284" s="1"/>
      <x:c r="E1284" s="1"/>
      <x:c r="F1284" s="1"/>
      <x:c r="G1284" s="1"/>
      <x:c r="H1284" s="1"/>
      <x:c r="I1284" s="1"/>
      <x:c r="J1284" s="1"/>
      <x:c r="K1284" s="1"/>
      <x:c r="L1284" s="1"/>
      <x:c r="M1284" s="1"/>
      <x:c r="N1284" s="1"/>
      <x:c r="O1284" s="1"/>
      <x:c r="P1284" s="1"/>
      <x:c r="Q1284" s="1"/>
      <x:c r="R1284" s="1"/>
      <x:c r="S1284" s="1"/>
      <x:c r="T1284" s="1"/>
      <x:c r="U1284" s="1"/>
      <x:c r="V1284" s="1"/>
    </x:row>
    <x:row r="1285">
      <x:c r="A1285" s="1"/>
      <x:c r="B1285" s="1"/>
      <x:c r="C1285" s="1"/>
      <x:c r="D1285" s="1"/>
      <x:c r="E1285" s="1"/>
      <x:c r="F1285" s="1"/>
      <x:c r="G1285" s="1"/>
      <x:c r="H1285" s="1"/>
      <x:c r="I1285" s="1"/>
      <x:c r="J1285" s="1"/>
      <x:c r="K1285" s="1"/>
      <x:c r="L1285" s="1"/>
      <x:c r="M1285" s="1"/>
      <x:c r="N1285" s="1"/>
      <x:c r="O1285" s="1"/>
      <x:c r="P1285" s="1"/>
      <x:c r="Q1285" s="1"/>
      <x:c r="R1285" s="1"/>
      <x:c r="S1285" s="1"/>
      <x:c r="T1285" s="1"/>
      <x:c r="U1285" s="1"/>
      <x:c r="V1285" s="1"/>
    </x:row>
    <x:row r="1286">
      <x:c r="A1286" s="1"/>
      <x:c r="B1286" s="1"/>
      <x:c r="C1286" s="1"/>
      <x:c r="D1286" s="1"/>
      <x:c r="E1286" s="1"/>
      <x:c r="F1286" s="1"/>
      <x:c r="G1286" s="1"/>
      <x:c r="H1286" s="1"/>
      <x:c r="I1286" s="1"/>
      <x:c r="J1286" s="1"/>
      <x:c r="K1286" s="1"/>
      <x:c r="L1286" s="1"/>
      <x:c r="M1286" s="1"/>
      <x:c r="N1286" s="1"/>
      <x:c r="O1286" s="1"/>
      <x:c r="P1286" s="1"/>
      <x:c r="Q1286" s="1"/>
      <x:c r="R1286" s="1"/>
      <x:c r="S1286" s="1"/>
      <x:c r="T1286" s="1"/>
      <x:c r="U1286" s="1"/>
      <x:c r="V1286" s="1"/>
    </x:row>
    <x:row r="1287">
      <x:c r="A1287" s="1"/>
      <x:c r="B1287" s="1"/>
      <x:c r="C1287" s="1"/>
      <x:c r="D1287" s="1"/>
      <x:c r="E1287" s="1"/>
      <x:c r="F1287" s="1"/>
      <x:c r="G1287" s="1"/>
      <x:c r="H1287" s="1"/>
      <x:c r="I1287" s="1"/>
      <x:c r="J1287" s="1"/>
      <x:c r="K1287" s="1"/>
      <x:c r="L1287" s="1"/>
      <x:c r="M1287" s="1"/>
      <x:c r="N1287" s="1"/>
      <x:c r="O1287" s="1"/>
      <x:c r="P1287" s="1"/>
      <x:c r="Q1287" s="1"/>
      <x:c r="R1287" s="1"/>
      <x:c r="S1287" s="1"/>
      <x:c r="T1287" s="1"/>
      <x:c r="U1287" s="1"/>
      <x:c r="V1287" s="1"/>
    </x:row>
    <x:row r="1288">
      <x:c r="A1288" s="1"/>
      <x:c r="B1288" s="1"/>
      <x:c r="C1288" s="1"/>
      <x:c r="D1288" s="1"/>
      <x:c r="E1288" s="1"/>
      <x:c r="F1288" s="1"/>
      <x:c r="G1288" s="1"/>
      <x:c r="H1288" s="1"/>
      <x:c r="I1288" s="1"/>
      <x:c r="J1288" s="1"/>
      <x:c r="K1288" s="1"/>
      <x:c r="L1288" s="1"/>
      <x:c r="M1288" s="1"/>
      <x:c r="N1288" s="1"/>
      <x:c r="O1288" s="1"/>
      <x:c r="P1288" s="1"/>
      <x:c r="Q1288" s="1"/>
      <x:c r="R1288" s="1"/>
      <x:c r="S1288" s="1"/>
      <x:c r="T1288" s="1"/>
      <x:c r="U1288" s="1"/>
      <x:c r="V1288" s="1"/>
    </x:row>
    <x:row r="1289">
      <x:c r="A1289" s="1"/>
      <x:c r="B1289" s="1"/>
      <x:c r="C1289" s="1"/>
      <x:c r="D1289" s="1"/>
      <x:c r="E1289" s="1"/>
      <x:c r="F1289" s="1"/>
      <x:c r="G1289" s="1"/>
      <x:c r="H1289" s="1"/>
      <x:c r="I1289" s="1"/>
      <x:c r="J1289" s="1"/>
      <x:c r="K1289" s="1"/>
      <x:c r="L1289" s="1"/>
      <x:c r="M1289" s="1"/>
      <x:c r="N1289" s="1"/>
      <x:c r="O1289" s="1"/>
      <x:c r="P1289" s="1"/>
      <x:c r="Q1289" s="1"/>
      <x:c r="R1289" s="1"/>
      <x:c r="S1289" s="1"/>
      <x:c r="T1289" s="1"/>
      <x:c r="U1289" s="1"/>
      <x:c r="V1289" s="1"/>
    </x:row>
    <x:row r="1290">
      <x:c r="A1290" s="1"/>
      <x:c r="B1290" s="1"/>
      <x:c r="C1290" s="1"/>
      <x:c r="D1290" s="1"/>
      <x:c r="E1290" s="1"/>
      <x:c r="F1290" s="1"/>
      <x:c r="G1290" s="1"/>
      <x:c r="H1290" s="1"/>
      <x:c r="I1290" s="1"/>
      <x:c r="J1290" s="1"/>
      <x:c r="K1290" s="1"/>
      <x:c r="L1290" s="1"/>
      <x:c r="M1290" s="1"/>
      <x:c r="N1290" s="1"/>
      <x:c r="O1290" s="1"/>
      <x:c r="P1290" s="1"/>
      <x:c r="Q1290" s="1"/>
      <x:c r="R1290" s="1"/>
      <x:c r="S1290" s="1"/>
      <x:c r="T1290" s="1"/>
      <x:c r="U1290" s="1"/>
      <x:c r="V1290" s="1"/>
    </x:row>
    <x:row r="1291">
      <x:c r="A1291" s="1"/>
      <x:c r="B1291" s="1"/>
      <x:c r="C1291" s="1"/>
      <x:c r="D1291" s="1"/>
      <x:c r="E1291" s="1"/>
      <x:c r="F1291" s="1"/>
      <x:c r="G1291" s="1"/>
      <x:c r="H1291" s="1"/>
      <x:c r="I1291" s="1"/>
      <x:c r="J1291" s="1"/>
      <x:c r="K1291" s="1"/>
      <x:c r="L1291" s="1"/>
      <x:c r="M1291" s="1"/>
      <x:c r="N1291" s="1"/>
      <x:c r="O1291" s="1"/>
      <x:c r="P1291" s="1"/>
      <x:c r="Q1291" s="1"/>
      <x:c r="R1291" s="1"/>
      <x:c r="S1291" s="1"/>
      <x:c r="T1291" s="1"/>
      <x:c r="U1291" s="1"/>
      <x:c r="V1291" s="1"/>
    </x:row>
    <x:row r="1292">
      <x:c r="A1292" s="1"/>
      <x:c r="B1292" s="1"/>
      <x:c r="C1292" s="1"/>
      <x:c r="D1292" s="1"/>
      <x:c r="E1292" s="1"/>
      <x:c r="F1292" s="1"/>
      <x:c r="G1292" s="1"/>
      <x:c r="H1292" s="1"/>
      <x:c r="I1292" s="1"/>
      <x:c r="J1292" s="1"/>
      <x:c r="K1292" s="1"/>
      <x:c r="L1292" s="1"/>
      <x:c r="M1292" s="1"/>
      <x:c r="N1292" s="1"/>
      <x:c r="O1292" s="1"/>
      <x:c r="P1292" s="1"/>
      <x:c r="Q1292" s="1"/>
      <x:c r="R1292" s="1"/>
      <x:c r="S1292" s="1"/>
      <x:c r="T1292" s="1"/>
      <x:c r="U1292" s="1"/>
      <x:c r="V1292" s="1"/>
    </x:row>
    <x:row r="1293">
      <x:c r="A1293" s="1"/>
      <x:c r="B1293" s="1"/>
      <x:c r="C1293" s="1"/>
      <x:c r="D1293" s="1"/>
      <x:c r="E1293" s="1"/>
      <x:c r="F1293" s="1"/>
      <x:c r="G1293" s="1"/>
      <x:c r="H1293" s="1"/>
      <x:c r="I1293" s="1"/>
      <x:c r="J1293" s="1"/>
      <x:c r="K1293" s="1"/>
      <x:c r="L1293" s="1"/>
      <x:c r="M1293" s="1"/>
      <x:c r="N1293" s="1"/>
      <x:c r="O1293" s="1"/>
      <x:c r="P1293" s="1"/>
      <x:c r="Q1293" s="1"/>
      <x:c r="R1293" s="1"/>
      <x:c r="S1293" s="1"/>
      <x:c r="T1293" s="1"/>
      <x:c r="U1293" s="1"/>
      <x:c r="V1293" s="1"/>
    </x:row>
    <x:row r="1294">
      <x:c r="A1294" s="1"/>
      <x:c r="B1294" s="1"/>
      <x:c r="C1294" s="1"/>
      <x:c r="D1294" s="1"/>
      <x:c r="E1294" s="1"/>
      <x:c r="F1294" s="1"/>
      <x:c r="G1294" s="1"/>
      <x:c r="H1294" s="1"/>
      <x:c r="I1294" s="1"/>
      <x:c r="J1294" s="1"/>
      <x:c r="K1294" s="1"/>
      <x:c r="L1294" s="1"/>
      <x:c r="M1294" s="1"/>
      <x:c r="N1294" s="1"/>
      <x:c r="O1294" s="1"/>
      <x:c r="P1294" s="1"/>
      <x:c r="Q1294" s="1"/>
      <x:c r="R1294" s="1"/>
      <x:c r="S1294" s="1"/>
      <x:c r="T1294" s="1"/>
      <x:c r="U1294" s="1"/>
      <x:c r="V1294" s="1"/>
    </x:row>
    <x:row r="1295">
      <x:c r="A1295" s="1"/>
      <x:c r="B1295" s="1"/>
      <x:c r="C1295" s="1"/>
      <x:c r="D1295" s="1"/>
      <x:c r="E1295" s="1"/>
      <x:c r="F1295" s="1"/>
      <x:c r="G1295" s="1"/>
      <x:c r="H1295" s="1"/>
      <x:c r="I1295" s="1"/>
      <x:c r="J1295" s="1"/>
      <x:c r="K1295" s="1"/>
      <x:c r="L1295" s="1"/>
      <x:c r="M1295" s="1"/>
      <x:c r="N1295" s="1"/>
      <x:c r="O1295" s="1"/>
      <x:c r="P1295" s="1"/>
      <x:c r="Q1295" s="1"/>
      <x:c r="R1295" s="1"/>
      <x:c r="S1295" s="1"/>
      <x:c r="T1295" s="1"/>
      <x:c r="U1295" s="1"/>
      <x:c r="V1295" s="1"/>
    </x:row>
    <x:row r="1296">
      <x:c r="A1296" s="1"/>
      <x:c r="B1296" s="1"/>
      <x:c r="C1296" s="1"/>
      <x:c r="D1296" s="1"/>
      <x:c r="E1296" s="1"/>
      <x:c r="F1296" s="1"/>
      <x:c r="G1296" s="1"/>
      <x:c r="H1296" s="1"/>
      <x:c r="I1296" s="1"/>
      <x:c r="J1296" s="1"/>
      <x:c r="K1296" s="1"/>
      <x:c r="L1296" s="1"/>
      <x:c r="M1296" s="1"/>
      <x:c r="N1296" s="1"/>
      <x:c r="O1296" s="1"/>
      <x:c r="P1296" s="1"/>
      <x:c r="Q1296" s="1"/>
      <x:c r="R1296" s="1"/>
      <x:c r="S1296" s="1"/>
      <x:c r="T1296" s="1"/>
      <x:c r="U1296" s="1"/>
      <x:c r="V1296" s="1"/>
    </x:row>
    <x:row r="1297">
      <x:c r="A1297" s="1"/>
      <x:c r="B1297" s="1"/>
      <x:c r="C1297" s="1"/>
      <x:c r="D1297" s="1"/>
      <x:c r="E1297" s="1"/>
      <x:c r="F1297" s="1"/>
      <x:c r="G1297" s="1"/>
      <x:c r="H1297" s="1"/>
      <x:c r="I1297" s="1"/>
      <x:c r="J1297" s="1"/>
      <x:c r="K1297" s="1"/>
      <x:c r="L1297" s="1"/>
      <x:c r="M1297" s="1"/>
      <x:c r="N1297" s="1"/>
      <x:c r="O1297" s="1"/>
      <x:c r="P1297" s="1"/>
      <x:c r="Q1297" s="1"/>
      <x:c r="R1297" s="1"/>
      <x:c r="S1297" s="1"/>
      <x:c r="T1297" s="1"/>
      <x:c r="U1297" s="1"/>
      <x:c r="V1297" s="1"/>
    </x:row>
    <x:row r="1298">
      <x:c r="A1298" s="1"/>
      <x:c r="B1298" s="1"/>
      <x:c r="C1298" s="1"/>
      <x:c r="D1298" s="1"/>
      <x:c r="E1298" s="1"/>
      <x:c r="F1298" s="1"/>
      <x:c r="G1298" s="1"/>
      <x:c r="H1298" s="1"/>
      <x:c r="I1298" s="1"/>
      <x:c r="J1298" s="1"/>
      <x:c r="K1298" s="1"/>
      <x:c r="L1298" s="1"/>
      <x:c r="M1298" s="1"/>
      <x:c r="N1298" s="1"/>
      <x:c r="O1298" s="1"/>
      <x:c r="P1298" s="1"/>
      <x:c r="Q1298" s="1"/>
      <x:c r="R1298" s="1"/>
      <x:c r="S1298" s="1"/>
      <x:c r="T1298" s="1"/>
      <x:c r="U1298" s="1"/>
      <x:c r="V1298" s="1"/>
    </x:row>
    <x:row r="1299">
      <x:c r="A1299" s="1"/>
      <x:c r="B1299" s="1"/>
      <x:c r="C1299" s="1"/>
      <x:c r="D1299" s="1"/>
      <x:c r="E1299" s="1"/>
      <x:c r="F1299" s="1"/>
      <x:c r="G1299" s="1"/>
      <x:c r="H1299" s="1"/>
      <x:c r="I1299" s="1"/>
      <x:c r="J1299" s="1"/>
      <x:c r="K1299" s="1"/>
      <x:c r="L1299" s="1"/>
      <x:c r="M1299" s="1"/>
      <x:c r="N1299" s="1"/>
      <x:c r="O1299" s="1"/>
      <x:c r="P1299" s="1"/>
      <x:c r="Q1299" s="1"/>
      <x:c r="R1299" s="1"/>
      <x:c r="S1299" s="1"/>
      <x:c r="T1299" s="1"/>
      <x:c r="U1299" s="1"/>
      <x:c r="V1299" s="1"/>
    </x:row>
    <x:row r="1300">
      <x:c r="A1300" s="1"/>
      <x:c r="B1300" s="1"/>
      <x:c r="C1300" s="1"/>
      <x:c r="D1300" s="1"/>
      <x:c r="E1300" s="1"/>
      <x:c r="F1300" s="1"/>
      <x:c r="G1300" s="1"/>
      <x:c r="H1300" s="1"/>
      <x:c r="I1300" s="1"/>
      <x:c r="J1300" s="1"/>
      <x:c r="K1300" s="1"/>
      <x:c r="L1300" s="1"/>
      <x:c r="M1300" s="1"/>
      <x:c r="N1300" s="1"/>
      <x:c r="O1300" s="1"/>
      <x:c r="P1300" s="1"/>
      <x:c r="Q1300" s="1"/>
      <x:c r="R1300" s="1"/>
      <x:c r="S1300" s="1"/>
      <x:c r="T1300" s="1"/>
      <x:c r="U1300" s="1"/>
      <x:c r="V1300" s="1"/>
    </x:row>
    <x:row r="1301">
      <x:c r="A1301" s="1"/>
      <x:c r="B1301" s="1"/>
      <x:c r="C1301" s="1"/>
      <x:c r="D1301" s="1"/>
      <x:c r="E1301" s="1"/>
      <x:c r="F1301" s="1"/>
      <x:c r="G1301" s="1"/>
      <x:c r="H1301" s="1"/>
      <x:c r="I1301" s="1"/>
      <x:c r="J1301" s="1"/>
      <x:c r="K1301" s="1"/>
      <x:c r="L1301" s="1"/>
      <x:c r="M1301" s="1"/>
      <x:c r="N1301" s="1"/>
      <x:c r="O1301" s="1"/>
      <x:c r="P1301" s="1"/>
      <x:c r="Q1301" s="1"/>
      <x:c r="R1301" s="1"/>
      <x:c r="S1301" s="1"/>
      <x:c r="T1301" s="1"/>
      <x:c r="U1301" s="1"/>
      <x:c r="V1301" s="1"/>
    </x:row>
    <x:row r="1302">
      <x:c r="A1302" s="1"/>
      <x:c r="B1302" s="1"/>
      <x:c r="C1302" s="1"/>
      <x:c r="D1302" s="1"/>
      <x:c r="E1302" s="1"/>
      <x:c r="F1302" s="1"/>
      <x:c r="G1302" s="1"/>
      <x:c r="H1302" s="1"/>
      <x:c r="I1302" s="1"/>
      <x:c r="J1302" s="1"/>
      <x:c r="K1302" s="1"/>
      <x:c r="L1302" s="1"/>
      <x:c r="M1302" s="1"/>
      <x:c r="N1302" s="1"/>
      <x:c r="O1302" s="1"/>
      <x:c r="P1302" s="1"/>
      <x:c r="Q1302" s="1"/>
      <x:c r="R1302" s="1"/>
      <x:c r="S1302" s="1"/>
      <x:c r="T1302" s="1"/>
      <x:c r="U1302" s="1"/>
      <x:c r="V1302" s="1"/>
    </x:row>
    <x:row r="1303">
      <x:c r="A1303" s="1"/>
      <x:c r="B1303" s="1"/>
      <x:c r="C1303" s="1"/>
      <x:c r="D1303" s="1"/>
      <x:c r="E1303" s="1"/>
      <x:c r="F1303" s="1"/>
      <x:c r="G1303" s="1"/>
      <x:c r="H1303" s="1"/>
      <x:c r="I1303" s="1"/>
      <x:c r="J1303" s="1"/>
      <x:c r="K1303" s="1"/>
      <x:c r="L1303" s="1"/>
      <x:c r="M1303" s="1"/>
      <x:c r="N1303" s="1"/>
      <x:c r="O1303" s="1"/>
      <x:c r="P1303" s="1"/>
      <x:c r="Q1303" s="1"/>
      <x:c r="R1303" s="1"/>
      <x:c r="S1303" s="1"/>
      <x:c r="T1303" s="1"/>
      <x:c r="U1303" s="1"/>
      <x:c r="V1303" s="1"/>
    </x:row>
    <x:row r="1304">
      <x:c r="A1304" s="1"/>
      <x:c r="B1304" s="1"/>
      <x:c r="C1304" s="1"/>
      <x:c r="D1304" s="1"/>
      <x:c r="E1304" s="1"/>
      <x:c r="F1304" s="1"/>
      <x:c r="G1304" s="1"/>
      <x:c r="H1304" s="1"/>
      <x:c r="I1304" s="1"/>
      <x:c r="J1304" s="1"/>
      <x:c r="K1304" s="1"/>
      <x:c r="L1304" s="1"/>
      <x:c r="M1304" s="1"/>
      <x:c r="N1304" s="1"/>
      <x:c r="O1304" s="1"/>
      <x:c r="P1304" s="1"/>
      <x:c r="Q1304" s="1"/>
      <x:c r="R1304" s="1"/>
      <x:c r="S1304" s="1"/>
      <x:c r="T1304" s="1"/>
      <x:c r="U1304" s="1"/>
      <x:c r="V1304" s="1"/>
    </x:row>
    <x:row r="1305">
      <x:c r="A1305" s="1"/>
      <x:c r="B1305" s="1"/>
      <x:c r="C1305" s="1"/>
      <x:c r="D1305" s="1"/>
      <x:c r="E1305" s="1"/>
      <x:c r="F1305" s="1"/>
      <x:c r="G1305" s="1"/>
      <x:c r="H1305" s="1"/>
      <x:c r="I1305" s="1"/>
      <x:c r="J1305" s="1"/>
      <x:c r="K1305" s="1"/>
      <x:c r="L1305" s="1"/>
      <x:c r="M1305" s="1"/>
      <x:c r="N1305" s="1"/>
      <x:c r="O1305" s="1"/>
      <x:c r="P1305" s="1"/>
      <x:c r="Q1305" s="1"/>
      <x:c r="R1305" s="1"/>
      <x:c r="S1305" s="1"/>
      <x:c r="T1305" s="1"/>
      <x:c r="U1305" s="1"/>
      <x:c r="V1305" s="1"/>
    </x:row>
    <x:row r="1306">
      <x:c r="A1306" s="1"/>
      <x:c r="B1306" s="1"/>
      <x:c r="C1306" s="1"/>
      <x:c r="D1306" s="1"/>
      <x:c r="E1306" s="1"/>
      <x:c r="F1306" s="1"/>
      <x:c r="G1306" s="1"/>
      <x:c r="H1306" s="1"/>
      <x:c r="I1306" s="1"/>
      <x:c r="J1306" s="1"/>
      <x:c r="K1306" s="1"/>
      <x:c r="L1306" s="1"/>
      <x:c r="M1306" s="1"/>
      <x:c r="N1306" s="1"/>
      <x:c r="O1306" s="1"/>
      <x:c r="P1306" s="1"/>
      <x:c r="Q1306" s="1"/>
      <x:c r="R1306" s="1"/>
      <x:c r="S1306" s="1"/>
      <x:c r="T1306" s="1"/>
      <x:c r="U1306" s="1"/>
      <x:c r="V1306" s="1"/>
    </x:row>
    <x:row r="1307">
      <x:c r="A1307" s="1"/>
      <x:c r="B1307" s="1"/>
      <x:c r="C1307" s="1"/>
      <x:c r="D1307" s="1"/>
      <x:c r="E1307" s="1"/>
      <x:c r="F1307" s="1"/>
      <x:c r="G1307" s="1"/>
      <x:c r="H1307" s="1"/>
      <x:c r="I1307" s="1"/>
      <x:c r="J1307" s="1"/>
      <x:c r="K1307" s="1"/>
      <x:c r="L1307" s="1"/>
      <x:c r="M1307" s="1"/>
      <x:c r="N1307" s="1"/>
      <x:c r="O1307" s="1"/>
      <x:c r="P1307" s="1"/>
      <x:c r="Q1307" s="1"/>
      <x:c r="R1307" s="1"/>
      <x:c r="S1307" s="1"/>
      <x:c r="T1307" s="1"/>
      <x:c r="U1307" s="1"/>
      <x:c r="V1307" s="1"/>
    </x:row>
    <x:row r="1308">
      <x:c r="A1308" s="1"/>
      <x:c r="B1308" s="1"/>
      <x:c r="C1308" s="1"/>
      <x:c r="D1308" s="1"/>
      <x:c r="E1308" s="1"/>
      <x:c r="F1308" s="1"/>
      <x:c r="G1308" s="1"/>
      <x:c r="H1308" s="1"/>
      <x:c r="I1308" s="1"/>
      <x:c r="J1308" s="1"/>
      <x:c r="K1308" s="1"/>
      <x:c r="L1308" s="1"/>
      <x:c r="M1308" s="1"/>
      <x:c r="N1308" s="1"/>
      <x:c r="O1308" s="1"/>
      <x:c r="P1308" s="1"/>
      <x:c r="Q1308" s="1"/>
      <x:c r="R1308" s="1"/>
      <x:c r="S1308" s="1"/>
      <x:c r="T1308" s="1"/>
      <x:c r="U1308" s="1"/>
      <x:c r="V1308" s="1"/>
    </x:row>
    <x:row r="1309">
      <x:c r="A1309" s="1"/>
      <x:c r="B1309" s="1"/>
      <x:c r="C1309" s="1"/>
      <x:c r="D1309" s="1"/>
      <x:c r="E1309" s="1"/>
      <x:c r="F1309" s="1"/>
      <x:c r="G1309" s="1"/>
      <x:c r="H1309" s="1"/>
      <x:c r="I1309" s="1"/>
      <x:c r="J1309" s="1"/>
      <x:c r="K1309" s="1"/>
      <x:c r="L1309" s="1"/>
      <x:c r="M1309" s="1"/>
      <x:c r="N1309" s="1"/>
      <x:c r="O1309" s="1"/>
      <x:c r="P1309" s="1"/>
      <x:c r="Q1309" s="1"/>
      <x:c r="R1309" s="1"/>
      <x:c r="S1309" s="1"/>
      <x:c r="T1309" s="1"/>
      <x:c r="U1309" s="1"/>
      <x:c r="V1309" s="1"/>
    </x:row>
    <x:row r="1310">
      <x:c r="A1310" s="1"/>
      <x:c r="B1310" s="1"/>
      <x:c r="C1310" s="1"/>
      <x:c r="D1310" s="1"/>
      <x:c r="E1310" s="1"/>
      <x:c r="F1310" s="1"/>
      <x:c r="G1310" s="1"/>
      <x:c r="H1310" s="1"/>
      <x:c r="I1310" s="1"/>
      <x:c r="J1310" s="1"/>
      <x:c r="K1310" s="1"/>
      <x:c r="L1310" s="1"/>
      <x:c r="M1310" s="1"/>
      <x:c r="N1310" s="1"/>
      <x:c r="O1310" s="1"/>
      <x:c r="P1310" s="1"/>
      <x:c r="Q1310" s="1"/>
      <x:c r="R1310" s="1"/>
      <x:c r="S1310" s="1"/>
      <x:c r="T1310" s="1"/>
      <x:c r="U1310" s="1"/>
      <x:c r="V1310" s="1"/>
    </x:row>
    <x:row r="1311">
      <x:c r="A1311" s="1"/>
      <x:c r="B1311" s="1"/>
      <x:c r="C1311" s="1"/>
      <x:c r="D1311" s="1"/>
      <x:c r="E1311" s="1"/>
      <x:c r="F1311" s="1"/>
      <x:c r="G1311" s="1"/>
      <x:c r="H1311" s="1"/>
      <x:c r="I1311" s="1"/>
      <x:c r="J1311" s="1"/>
      <x:c r="K1311" s="1"/>
      <x:c r="L1311" s="1"/>
      <x:c r="M1311" s="1"/>
      <x:c r="N1311" s="1"/>
      <x:c r="O1311" s="1"/>
      <x:c r="P1311" s="1"/>
      <x:c r="Q1311" s="1"/>
      <x:c r="R1311" s="1"/>
      <x:c r="S1311" s="1"/>
      <x:c r="T1311" s="1"/>
      <x:c r="U1311" s="1"/>
      <x:c r="V1311" s="1"/>
    </x:row>
    <x:row r="1312">
      <x:c r="A1312" s="1"/>
      <x:c r="B1312" s="1"/>
      <x:c r="C1312" s="1"/>
      <x:c r="D1312" s="1"/>
      <x:c r="E1312" s="1"/>
      <x:c r="F1312" s="1"/>
      <x:c r="G1312" s="1"/>
      <x:c r="H1312" s="1"/>
      <x:c r="I1312" s="1"/>
      <x:c r="J1312" s="1"/>
      <x:c r="K1312" s="1"/>
      <x:c r="L1312" s="1"/>
      <x:c r="M1312" s="1"/>
      <x:c r="N1312" s="1"/>
      <x:c r="O1312" s="1"/>
      <x:c r="P1312" s="1"/>
      <x:c r="Q1312" s="1"/>
      <x:c r="R1312" s="1"/>
      <x:c r="S1312" s="1"/>
      <x:c r="T1312" s="1"/>
      <x:c r="U1312" s="1"/>
      <x:c r="V1312" s="1"/>
    </x:row>
    <x:row r="1313">
      <x:c r="A1313" s="1"/>
      <x:c r="B1313" s="1"/>
      <x:c r="C1313" s="1"/>
      <x:c r="D1313" s="1"/>
      <x:c r="E1313" s="1"/>
      <x:c r="F1313" s="1"/>
      <x:c r="G1313" s="1"/>
      <x:c r="H1313" s="1"/>
      <x:c r="I1313" s="1"/>
      <x:c r="J1313" s="1"/>
      <x:c r="K1313" s="1"/>
      <x:c r="L1313" s="1"/>
      <x:c r="M1313" s="1"/>
      <x:c r="N1313" s="1"/>
      <x:c r="O1313" s="1"/>
      <x:c r="P1313" s="1"/>
      <x:c r="Q1313" s="1"/>
      <x:c r="R1313" s="1"/>
      <x:c r="S1313" s="1"/>
      <x:c r="T1313" s="1"/>
      <x:c r="U1313" s="1"/>
      <x:c r="V1313" s="1"/>
    </x:row>
    <x:row r="1314">
      <x:c r="A1314" s="1"/>
      <x:c r="B1314" s="1"/>
      <x:c r="C1314" s="1"/>
      <x:c r="D1314" s="1"/>
      <x:c r="E1314" s="1"/>
      <x:c r="F1314" s="1"/>
      <x:c r="G1314" s="1"/>
      <x:c r="H1314" s="1"/>
      <x:c r="I1314" s="1"/>
      <x:c r="J1314" s="1"/>
      <x:c r="K1314" s="1"/>
      <x:c r="L1314" s="1"/>
      <x:c r="M1314" s="1"/>
      <x:c r="N1314" s="1"/>
      <x:c r="O1314" s="1"/>
      <x:c r="P1314" s="1"/>
      <x:c r="Q1314" s="1"/>
      <x:c r="R1314" s="1"/>
      <x:c r="S1314" s="1"/>
      <x:c r="T1314" s="1"/>
      <x:c r="U1314" s="1"/>
      <x:c r="V1314" s="1"/>
    </x:row>
    <x:row r="1315">
      <x:c r="A1315" s="1"/>
      <x:c r="B1315" s="1"/>
      <x:c r="C1315" s="1"/>
      <x:c r="D1315" s="1"/>
      <x:c r="E1315" s="1"/>
      <x:c r="F1315" s="1"/>
      <x:c r="G1315" s="1"/>
      <x:c r="H1315" s="1"/>
      <x:c r="I1315" s="1"/>
      <x:c r="J1315" s="1"/>
      <x:c r="K1315" s="1"/>
      <x:c r="L1315" s="1"/>
      <x:c r="M1315" s="1"/>
      <x:c r="N1315" s="1"/>
      <x:c r="O1315" s="1"/>
      <x:c r="P1315" s="1"/>
      <x:c r="Q1315" s="1"/>
      <x:c r="R1315" s="1"/>
      <x:c r="S1315" s="1"/>
      <x:c r="T1315" s="1"/>
      <x:c r="U1315" s="1"/>
      <x:c r="V1315" s="1"/>
    </x:row>
    <x:row r="1316">
      <x:c r="A1316" s="1"/>
      <x:c r="B1316" s="1"/>
      <x:c r="C1316" s="1"/>
      <x:c r="D1316" s="1"/>
      <x:c r="E1316" s="1"/>
      <x:c r="F1316" s="1"/>
      <x:c r="G1316" s="1"/>
      <x:c r="H1316" s="1"/>
      <x:c r="I1316" s="1"/>
      <x:c r="J1316" s="1"/>
      <x:c r="K1316" s="1"/>
      <x:c r="L1316" s="1"/>
      <x:c r="M1316" s="1"/>
      <x:c r="N1316" s="1"/>
      <x:c r="O1316" s="1"/>
      <x:c r="P1316" s="1"/>
      <x:c r="Q1316" s="1"/>
      <x:c r="R1316" s="1"/>
      <x:c r="S1316" s="1"/>
      <x:c r="T1316" s="1"/>
      <x:c r="U1316" s="1"/>
      <x:c r="V1316" s="1"/>
    </x:row>
    <x:row r="1317">
      <x:c r="A1317" s="1"/>
      <x:c r="B1317" s="1"/>
      <x:c r="C1317" s="1"/>
      <x:c r="D1317" s="1"/>
      <x:c r="E1317" s="1"/>
      <x:c r="F1317" s="1"/>
      <x:c r="G1317" s="1"/>
      <x:c r="H1317" s="1"/>
      <x:c r="I1317" s="1"/>
      <x:c r="J1317" s="1"/>
      <x:c r="K1317" s="1"/>
      <x:c r="L1317" s="1"/>
      <x:c r="M1317" s="1"/>
      <x:c r="N1317" s="1"/>
      <x:c r="O1317" s="1"/>
      <x:c r="P1317" s="1"/>
      <x:c r="Q1317" s="1"/>
      <x:c r="R1317" s="1"/>
      <x:c r="S1317" s="1"/>
      <x:c r="T1317" s="1"/>
      <x:c r="U1317" s="1"/>
      <x:c r="V1317" s="1"/>
    </x:row>
    <x:row r="1318">
      <x:c r="A1318" s="1"/>
      <x:c r="B1318" s="1"/>
      <x:c r="C1318" s="1"/>
      <x:c r="D1318" s="1"/>
      <x:c r="E1318" s="1"/>
      <x:c r="F1318" s="1"/>
      <x:c r="G1318" s="1"/>
      <x:c r="H1318" s="1"/>
      <x:c r="I1318" s="1"/>
      <x:c r="J1318" s="1"/>
      <x:c r="K1318" s="1"/>
      <x:c r="L1318" s="1"/>
      <x:c r="M1318" s="1"/>
      <x:c r="N1318" s="1"/>
      <x:c r="O1318" s="1"/>
      <x:c r="P1318" s="1"/>
      <x:c r="Q1318" s="1"/>
      <x:c r="R1318" s="1"/>
      <x:c r="S1318" s="1"/>
      <x:c r="T1318" s="1"/>
      <x:c r="U1318" s="1"/>
      <x:c r="V1318" s="1"/>
    </x:row>
    <x:row r="1319">
      <x:c r="A1319" s="1"/>
      <x:c r="B1319" s="1"/>
      <x:c r="C1319" s="1"/>
      <x:c r="D1319" s="1"/>
      <x:c r="E1319" s="1"/>
      <x:c r="F1319" s="1"/>
      <x:c r="G1319" s="1"/>
      <x:c r="H1319" s="1"/>
      <x:c r="I1319" s="1"/>
      <x:c r="J1319" s="1"/>
      <x:c r="K1319" s="1"/>
      <x:c r="L1319" s="1"/>
      <x:c r="M1319" s="1"/>
      <x:c r="N1319" s="1"/>
      <x:c r="O1319" s="1"/>
      <x:c r="P1319" s="1"/>
      <x:c r="Q1319" s="1"/>
      <x:c r="R1319" s="1"/>
      <x:c r="S1319" s="1"/>
      <x:c r="T1319" s="1"/>
      <x:c r="U1319" s="1"/>
      <x:c r="V1319" s="1"/>
    </x:row>
    <x:row r="1320">
      <x:c r="A1320" s="1"/>
      <x:c r="B1320" s="1"/>
      <x:c r="C1320" s="1"/>
      <x:c r="D1320" s="1"/>
      <x:c r="E1320" s="1"/>
      <x:c r="F1320" s="1"/>
      <x:c r="G1320" s="1"/>
      <x:c r="H1320" s="1"/>
      <x:c r="I1320" s="1"/>
      <x:c r="J1320" s="1"/>
      <x:c r="K1320" s="1"/>
      <x:c r="L1320" s="1"/>
      <x:c r="M1320" s="1"/>
      <x:c r="N1320" s="1"/>
      <x:c r="O1320" s="1"/>
      <x:c r="P1320" s="1"/>
      <x:c r="Q1320" s="1"/>
      <x:c r="R1320" s="1"/>
      <x:c r="S1320" s="1"/>
      <x:c r="T1320" s="1"/>
      <x:c r="U1320" s="1"/>
      <x:c r="V1320" s="1"/>
    </x:row>
    <x:row r="1321">
      <x:c r="A1321" s="1"/>
      <x:c r="B1321" s="1"/>
      <x:c r="C1321" s="1"/>
      <x:c r="D1321" s="1"/>
      <x:c r="E1321" s="1"/>
      <x:c r="F1321" s="1"/>
      <x:c r="G1321" s="1"/>
      <x:c r="H1321" s="1"/>
      <x:c r="I1321" s="1"/>
      <x:c r="J1321" s="1"/>
      <x:c r="K1321" s="1"/>
      <x:c r="L1321" s="1"/>
      <x:c r="M1321" s="1"/>
      <x:c r="N1321" s="1"/>
      <x:c r="O1321" s="1"/>
      <x:c r="P1321" s="1"/>
      <x:c r="Q1321" s="1"/>
      <x:c r="R1321" s="1"/>
      <x:c r="S1321" s="1"/>
      <x:c r="T1321" s="1"/>
      <x:c r="U1321" s="1"/>
      <x:c r="V1321" s="1"/>
    </x:row>
    <x:row r="1322">
      <x:c r="A1322" s="1"/>
      <x:c r="B1322" s="1"/>
      <x:c r="C1322" s="1"/>
      <x:c r="D1322" s="1"/>
      <x:c r="E1322" s="1"/>
      <x:c r="F1322" s="1"/>
      <x:c r="G1322" s="1"/>
      <x:c r="H1322" s="1"/>
      <x:c r="I1322" s="1"/>
      <x:c r="J1322" s="1"/>
      <x:c r="K1322" s="1"/>
      <x:c r="L1322" s="1"/>
      <x:c r="M1322" s="1"/>
      <x:c r="N1322" s="1"/>
      <x:c r="O1322" s="1"/>
      <x:c r="P1322" s="1"/>
      <x:c r="Q1322" s="1"/>
      <x:c r="R1322" s="1"/>
      <x:c r="S1322" s="1"/>
      <x:c r="T1322" s="1"/>
      <x:c r="U1322" s="1"/>
      <x:c r="V1322" s="1"/>
    </x:row>
    <x:row r="1323">
      <x:c r="A1323" s="1"/>
      <x:c r="B1323" s="1"/>
      <x:c r="C1323" s="1"/>
      <x:c r="D1323" s="1"/>
      <x:c r="E1323" s="1"/>
      <x:c r="F1323" s="1"/>
      <x:c r="G1323" s="1"/>
      <x:c r="H1323" s="1"/>
      <x:c r="I1323" s="1"/>
      <x:c r="J1323" s="1"/>
      <x:c r="K1323" s="1"/>
      <x:c r="L1323" s="1"/>
      <x:c r="M1323" s="1"/>
      <x:c r="N1323" s="1"/>
      <x:c r="O1323" s="1"/>
      <x:c r="P1323" s="1"/>
      <x:c r="Q1323" s="1"/>
      <x:c r="R1323" s="1"/>
      <x:c r="S1323" s="1"/>
      <x:c r="T1323" s="1"/>
      <x:c r="U1323" s="1"/>
      <x:c r="V1323" s="1"/>
    </x:row>
    <x:row r="1324">
      <x:c r="A1324" s="1"/>
      <x:c r="B1324" s="1"/>
      <x:c r="C1324" s="1"/>
      <x:c r="D1324" s="1"/>
      <x:c r="E1324" s="1"/>
      <x:c r="F1324" s="1"/>
      <x:c r="G1324" s="1"/>
      <x:c r="H1324" s="1"/>
      <x:c r="I1324" s="1"/>
      <x:c r="J1324" s="1"/>
      <x:c r="K1324" s="1"/>
      <x:c r="L1324" s="1"/>
      <x:c r="M1324" s="1"/>
      <x:c r="N1324" s="1"/>
      <x:c r="O1324" s="1"/>
      <x:c r="P1324" s="1"/>
      <x:c r="Q1324" s="1"/>
      <x:c r="R1324" s="1"/>
      <x:c r="S1324" s="1"/>
      <x:c r="T1324" s="1"/>
      <x:c r="U1324" s="1"/>
      <x:c r="V1324" s="1"/>
    </x:row>
    <x:row r="1325">
      <x:c r="A1325" s="1"/>
      <x:c r="B1325" s="1"/>
      <x:c r="C1325" s="1"/>
      <x:c r="D1325" s="1"/>
      <x:c r="E1325" s="1"/>
      <x:c r="F1325" s="1"/>
      <x:c r="G1325" s="1"/>
      <x:c r="H1325" s="1"/>
      <x:c r="I1325" s="1"/>
      <x:c r="J1325" s="1"/>
      <x:c r="K1325" s="1"/>
      <x:c r="L1325" s="1"/>
      <x:c r="M1325" s="1"/>
      <x:c r="N1325" s="1"/>
      <x:c r="O1325" s="1"/>
      <x:c r="P1325" s="1"/>
      <x:c r="Q1325" s="1"/>
      <x:c r="R1325" s="1"/>
      <x:c r="S1325" s="1"/>
      <x:c r="T1325" s="1"/>
      <x:c r="U1325" s="1"/>
      <x:c r="V1325" s="1"/>
    </x:row>
    <x:row r="1326">
      <x:c r="A1326" s="1"/>
      <x:c r="B1326" s="1"/>
      <x:c r="C1326" s="1"/>
      <x:c r="D1326" s="1"/>
      <x:c r="E1326" s="1"/>
      <x:c r="F1326" s="1"/>
      <x:c r="G1326" s="1"/>
      <x:c r="H1326" s="1"/>
      <x:c r="I1326" s="1"/>
      <x:c r="J1326" s="1"/>
      <x:c r="K1326" s="1"/>
      <x:c r="L1326" s="1"/>
      <x:c r="M1326" s="1"/>
      <x:c r="N1326" s="1"/>
      <x:c r="O1326" s="1"/>
      <x:c r="P1326" s="1"/>
      <x:c r="Q1326" s="1"/>
      <x:c r="R1326" s="1"/>
      <x:c r="S1326" s="1"/>
      <x:c r="T1326" s="1"/>
      <x:c r="U1326" s="1"/>
      <x:c r="V1326" s="1"/>
    </x:row>
    <x:row r="1327">
      <x:c r="A1327" s="1"/>
      <x:c r="B1327" s="1"/>
      <x:c r="C1327" s="1"/>
      <x:c r="D1327" s="1"/>
      <x:c r="E1327" s="1"/>
      <x:c r="F1327" s="1"/>
      <x:c r="G1327" s="1"/>
      <x:c r="H1327" s="1"/>
      <x:c r="I1327" s="1"/>
      <x:c r="J1327" s="1"/>
      <x:c r="K1327" s="1"/>
      <x:c r="L1327" s="1"/>
      <x:c r="M1327" s="1"/>
      <x:c r="N1327" s="1"/>
      <x:c r="O1327" s="1"/>
      <x:c r="P1327" s="1"/>
      <x:c r="Q1327" s="1"/>
      <x:c r="R1327" s="1"/>
      <x:c r="S1327" s="1"/>
      <x:c r="T1327" s="1"/>
      <x:c r="U1327" s="1"/>
      <x:c r="V1327" s="1"/>
    </x:row>
    <x:row r="1328">
      <x:c r="A1328" s="1"/>
      <x:c r="B1328" s="1"/>
      <x:c r="C1328" s="1"/>
      <x:c r="D1328" s="1"/>
      <x:c r="E1328" s="1"/>
      <x:c r="F1328" s="1"/>
      <x:c r="G1328" s="1"/>
      <x:c r="H1328" s="1"/>
      <x:c r="I1328" s="1"/>
      <x:c r="J1328" s="1"/>
      <x:c r="K1328" s="1"/>
      <x:c r="L1328" s="1"/>
      <x:c r="M1328" s="1"/>
      <x:c r="N1328" s="1"/>
      <x:c r="O1328" s="1"/>
      <x:c r="P1328" s="1"/>
      <x:c r="Q1328" s="1"/>
      <x:c r="R1328" s="1"/>
      <x:c r="S1328" s="1"/>
      <x:c r="T1328" s="1"/>
      <x:c r="U1328" s="1"/>
      <x:c r="V1328" s="1"/>
    </x:row>
    <x:row r="1329">
      <x:c r="A1329" s="1"/>
      <x:c r="B1329" s="1"/>
      <x:c r="C1329" s="1"/>
      <x:c r="D1329" s="1"/>
      <x:c r="E1329" s="1"/>
      <x:c r="F1329" s="1"/>
      <x:c r="G1329" s="1"/>
      <x:c r="H1329" s="1"/>
      <x:c r="I1329" s="1"/>
      <x:c r="J1329" s="1"/>
      <x:c r="K1329" s="1"/>
      <x:c r="L1329" s="1"/>
      <x:c r="M1329" s="1"/>
      <x:c r="N1329" s="1"/>
      <x:c r="O1329" s="1"/>
      <x:c r="P1329" s="1"/>
      <x:c r="Q1329" s="1"/>
      <x:c r="R1329" s="1"/>
      <x:c r="S1329" s="1"/>
      <x:c r="T1329" s="1"/>
      <x:c r="U1329" s="1"/>
      <x:c r="V1329" s="1"/>
    </x:row>
    <x:row r="1330">
      <x:c r="A1330" s="1"/>
      <x:c r="B1330" s="1"/>
      <x:c r="C1330" s="1"/>
      <x:c r="D1330" s="1"/>
      <x:c r="E1330" s="1"/>
      <x:c r="F1330" s="1"/>
      <x:c r="G1330" s="1"/>
      <x:c r="H1330" s="1"/>
      <x:c r="I1330" s="1"/>
      <x:c r="J1330" s="1"/>
      <x:c r="K1330" s="1"/>
      <x:c r="L1330" s="1"/>
      <x:c r="M1330" s="1"/>
      <x:c r="N1330" s="1"/>
      <x:c r="O1330" s="1"/>
      <x:c r="P1330" s="1"/>
      <x:c r="Q1330" s="1"/>
      <x:c r="R1330" s="1"/>
      <x:c r="S1330" s="1"/>
      <x:c r="T1330" s="1"/>
      <x:c r="U1330" s="1"/>
      <x:c r="V1330" s="1"/>
    </x:row>
    <x:row r="1331">
      <x:c r="A1331" s="1"/>
      <x:c r="B1331" s="1"/>
      <x:c r="C1331" s="1"/>
      <x:c r="D1331" s="1"/>
      <x:c r="E1331" s="1"/>
      <x:c r="F1331" s="1"/>
      <x:c r="G1331" s="1"/>
      <x:c r="H1331" s="1"/>
      <x:c r="I1331" s="1"/>
      <x:c r="J1331" s="1"/>
      <x:c r="K1331" s="1"/>
      <x:c r="L1331" s="1"/>
      <x:c r="M1331" s="1"/>
      <x:c r="N1331" s="1"/>
      <x:c r="O1331" s="1"/>
      <x:c r="P1331" s="1"/>
      <x:c r="Q1331" s="1"/>
      <x:c r="R1331" s="1"/>
      <x:c r="S1331" s="1"/>
      <x:c r="T1331" s="1"/>
      <x:c r="U1331" s="1"/>
      <x:c r="V1331" s="1"/>
    </x:row>
    <x:row r="1332">
      <x:c r="A1332" s="1"/>
      <x:c r="B1332" s="1"/>
      <x:c r="C1332" s="1"/>
      <x:c r="D1332" s="1"/>
      <x:c r="E1332" s="1"/>
      <x:c r="F1332" s="1"/>
      <x:c r="G1332" s="1"/>
      <x:c r="H1332" s="1"/>
      <x:c r="I1332" s="1"/>
      <x:c r="J1332" s="1"/>
      <x:c r="K1332" s="1"/>
      <x:c r="L1332" s="1"/>
      <x:c r="M1332" s="1"/>
      <x:c r="N1332" s="1"/>
      <x:c r="O1332" s="1"/>
      <x:c r="P1332" s="1"/>
      <x:c r="Q1332" s="1"/>
      <x:c r="R1332" s="1"/>
      <x:c r="S1332" s="1"/>
      <x:c r="T1332" s="1"/>
      <x:c r="U1332" s="1"/>
      <x:c r="V1332" s="1"/>
    </x:row>
    <x:row r="1333">
      <x:c r="A1333" s="1"/>
      <x:c r="B1333" s="1"/>
      <x:c r="C1333" s="1"/>
      <x:c r="D1333" s="1"/>
      <x:c r="E1333" s="1"/>
      <x:c r="F1333" s="1"/>
      <x:c r="G1333" s="1"/>
      <x:c r="H1333" s="1"/>
      <x:c r="I1333" s="1"/>
      <x:c r="J1333" s="1"/>
      <x:c r="K1333" s="1"/>
      <x:c r="L1333" s="1"/>
      <x:c r="M1333" s="1"/>
      <x:c r="N1333" s="1"/>
      <x:c r="O1333" s="1"/>
      <x:c r="P1333" s="1"/>
      <x:c r="Q1333" s="1"/>
      <x:c r="R1333" s="1"/>
      <x:c r="S1333" s="1"/>
      <x:c r="T1333" s="1"/>
      <x:c r="U1333" s="1"/>
      <x:c r="V1333" s="1"/>
    </x:row>
    <x:row r="1334">
      <x:c r="A1334" s="1"/>
      <x:c r="B1334" s="1"/>
      <x:c r="C1334" s="1"/>
      <x:c r="D1334" s="1"/>
      <x:c r="E1334" s="1"/>
      <x:c r="F1334" s="1"/>
      <x:c r="G1334" s="1"/>
      <x:c r="H1334" s="1"/>
      <x:c r="I1334" s="1"/>
      <x:c r="J1334" s="1"/>
      <x:c r="K1334" s="1"/>
      <x:c r="L1334" s="1"/>
      <x:c r="M1334" s="1"/>
      <x:c r="N1334" s="1"/>
      <x:c r="O1334" s="1"/>
      <x:c r="P1334" s="1"/>
      <x:c r="Q1334" s="1"/>
      <x:c r="R1334" s="1"/>
      <x:c r="S1334" s="1"/>
      <x:c r="T1334" s="1"/>
      <x:c r="U1334" s="1"/>
      <x:c r="V1334" s="1"/>
    </x:row>
    <x:row r="1335">
      <x:c r="A1335" s="1"/>
      <x:c r="B1335" s="1"/>
      <x:c r="C1335" s="1"/>
      <x:c r="D1335" s="1"/>
      <x:c r="E1335" s="1"/>
      <x:c r="F1335" s="1"/>
      <x:c r="G1335" s="1"/>
      <x:c r="H1335" s="1"/>
      <x:c r="I1335" s="1"/>
      <x:c r="J1335" s="1"/>
      <x:c r="K1335" s="1"/>
      <x:c r="L1335" s="1"/>
      <x:c r="M1335" s="1"/>
      <x:c r="N1335" s="1"/>
      <x:c r="O1335" s="1"/>
      <x:c r="P1335" s="1"/>
      <x:c r="Q1335" s="1"/>
      <x:c r="R1335" s="1"/>
      <x:c r="S1335" s="1"/>
      <x:c r="T1335" s="1"/>
      <x:c r="U1335" s="1"/>
      <x:c r="V1335" s="1"/>
    </x:row>
    <x:row r="1336">
      <x:c r="A1336" s="1"/>
      <x:c r="B1336" s="1"/>
      <x:c r="C1336" s="1"/>
      <x:c r="D1336" s="1"/>
      <x:c r="E1336" s="1"/>
      <x:c r="F1336" s="1"/>
      <x:c r="G1336" s="1"/>
      <x:c r="H1336" s="1"/>
      <x:c r="I1336" s="1"/>
      <x:c r="J1336" s="1"/>
      <x:c r="K1336" s="1"/>
      <x:c r="L1336" s="1"/>
      <x:c r="M1336" s="1"/>
      <x:c r="N1336" s="1"/>
      <x:c r="O1336" s="1"/>
      <x:c r="P1336" s="1"/>
      <x:c r="Q1336" s="1"/>
      <x:c r="R1336" s="1"/>
      <x:c r="S1336" s="1"/>
      <x:c r="T1336" s="1"/>
      <x:c r="U1336" s="1"/>
      <x:c r="V1336" s="1"/>
    </x:row>
    <x:row r="1337">
      <x:c r="A1337" s="1"/>
      <x:c r="B1337" s="1"/>
      <x:c r="C1337" s="1"/>
      <x:c r="D1337" s="1"/>
      <x:c r="E1337" s="1"/>
      <x:c r="F1337" s="1"/>
      <x:c r="G1337" s="1"/>
      <x:c r="H1337" s="1"/>
      <x:c r="I1337" s="1"/>
      <x:c r="J1337" s="1"/>
      <x:c r="K1337" s="1"/>
      <x:c r="L1337" s="1"/>
      <x:c r="M1337" s="1"/>
      <x:c r="N1337" s="1"/>
      <x:c r="O1337" s="1"/>
      <x:c r="P1337" s="1"/>
      <x:c r="Q1337" s="1"/>
      <x:c r="R1337" s="1"/>
      <x:c r="S1337" s="1"/>
      <x:c r="T1337" s="1"/>
      <x:c r="U1337" s="1"/>
      <x:c r="V1337" s="1"/>
    </x:row>
    <x:row r="1338">
      <x:c r="A1338" s="1"/>
      <x:c r="B1338" s="1"/>
      <x:c r="C1338" s="1"/>
      <x:c r="D1338" s="1"/>
      <x:c r="E1338" s="1"/>
      <x:c r="F1338" s="1"/>
      <x:c r="G1338" s="1"/>
      <x:c r="H1338" s="1"/>
      <x:c r="I1338" s="1"/>
      <x:c r="J1338" s="1"/>
      <x:c r="K1338" s="1"/>
      <x:c r="L1338" s="1"/>
      <x:c r="M1338" s="1"/>
      <x:c r="N1338" s="1"/>
      <x:c r="O1338" s="1"/>
      <x:c r="P1338" s="1"/>
      <x:c r="Q1338" s="1"/>
      <x:c r="R1338" s="1"/>
      <x:c r="S1338" s="1"/>
      <x:c r="T1338" s="1"/>
      <x:c r="U1338" s="1"/>
      <x:c r="V1338" s="1"/>
    </x:row>
    <x:row r="1339">
      <x:c r="A1339" s="1"/>
      <x:c r="B1339" s="1"/>
      <x:c r="C1339" s="1"/>
      <x:c r="D1339" s="1"/>
      <x:c r="E1339" s="1"/>
      <x:c r="F1339" s="1"/>
      <x:c r="G1339" s="1"/>
      <x:c r="H1339" s="1"/>
      <x:c r="I1339" s="1"/>
      <x:c r="J1339" s="1"/>
      <x:c r="K1339" s="1"/>
      <x:c r="L1339" s="1"/>
      <x:c r="M1339" s="1"/>
      <x:c r="N1339" s="1"/>
      <x:c r="O1339" s="1"/>
      <x:c r="P1339" s="1"/>
      <x:c r="Q1339" s="1"/>
      <x:c r="R1339" s="1"/>
      <x:c r="S1339" s="1"/>
      <x:c r="T1339" s="1"/>
      <x:c r="U1339" s="1"/>
      <x:c r="V1339" s="1"/>
    </x:row>
    <x:row r="1340">
      <x:c r="A1340" s="1"/>
      <x:c r="B1340" s="1"/>
      <x:c r="C1340" s="1"/>
      <x:c r="D1340" s="1"/>
      <x:c r="E1340" s="1"/>
      <x:c r="F1340" s="1"/>
      <x:c r="G1340" s="1"/>
      <x:c r="H1340" s="1"/>
      <x:c r="I1340" s="1"/>
      <x:c r="J1340" s="1"/>
      <x:c r="K1340" s="1"/>
      <x:c r="L1340" s="1"/>
      <x:c r="M1340" s="1"/>
      <x:c r="N1340" s="1"/>
      <x:c r="O1340" s="1"/>
      <x:c r="P1340" s="1"/>
      <x:c r="Q1340" s="1"/>
      <x:c r="R1340" s="1"/>
      <x:c r="S1340" s="1"/>
      <x:c r="T1340" s="1"/>
      <x:c r="U1340" s="1"/>
      <x:c r="V1340" s="1"/>
    </x:row>
    <x:row r="1341">
      <x:c r="A1341" s="1"/>
      <x:c r="B1341" s="1"/>
      <x:c r="C1341" s="1"/>
      <x:c r="D1341" s="1"/>
      <x:c r="E1341" s="1"/>
      <x:c r="F1341" s="1"/>
      <x:c r="G1341" s="1"/>
      <x:c r="H1341" s="1"/>
      <x:c r="I1341" s="1"/>
      <x:c r="J1341" s="1"/>
      <x:c r="K1341" s="1"/>
      <x:c r="L1341" s="1"/>
      <x:c r="M1341" s="1"/>
      <x:c r="N1341" s="1"/>
      <x:c r="O1341" s="1"/>
      <x:c r="P1341" s="1"/>
      <x:c r="Q1341" s="1"/>
      <x:c r="R1341" s="1"/>
      <x:c r="S1341" s="1"/>
      <x:c r="T1341" s="1"/>
      <x:c r="U1341" s="1"/>
      <x:c r="V1341" s="1"/>
    </x:row>
    <x:row r="1342">
      <x:c r="A1342" s="1"/>
      <x:c r="B1342" s="1"/>
      <x:c r="C1342" s="1"/>
      <x:c r="D1342" s="1"/>
      <x:c r="E1342" s="1"/>
      <x:c r="F1342" s="1"/>
      <x:c r="G1342" s="1"/>
      <x:c r="H1342" s="1"/>
      <x:c r="I1342" s="1"/>
      <x:c r="J1342" s="1"/>
      <x:c r="K1342" s="1"/>
      <x:c r="L1342" s="1"/>
      <x:c r="M1342" s="1"/>
      <x:c r="N1342" s="1"/>
      <x:c r="O1342" s="1"/>
      <x:c r="P1342" s="1"/>
      <x:c r="Q1342" s="1"/>
      <x:c r="R1342" s="1"/>
      <x:c r="S1342" s="1"/>
      <x:c r="T1342" s="1"/>
      <x:c r="U1342" s="1"/>
      <x:c r="V1342" s="1"/>
    </x:row>
    <x:row r="1343">
      <x:c r="A1343" s="1"/>
      <x:c r="B1343" s="1"/>
      <x:c r="C1343" s="1"/>
      <x:c r="D1343" s="1"/>
      <x:c r="E1343" s="1"/>
      <x:c r="F1343" s="1"/>
      <x:c r="G1343" s="1"/>
      <x:c r="H1343" s="1"/>
      <x:c r="I1343" s="1"/>
      <x:c r="J1343" s="1"/>
      <x:c r="K1343" s="1"/>
      <x:c r="L1343" s="1"/>
      <x:c r="M1343" s="1"/>
      <x:c r="N1343" s="1"/>
      <x:c r="O1343" s="1"/>
      <x:c r="P1343" s="1"/>
      <x:c r="Q1343" s="1"/>
      <x:c r="R1343" s="1"/>
      <x:c r="S1343" s="1"/>
      <x:c r="T1343" s="1"/>
      <x:c r="U1343" s="1"/>
      <x:c r="V1343" s="1"/>
    </x:row>
    <x:row r="1344">
      <x:c r="A1344" s="1"/>
      <x:c r="B1344" s="1"/>
      <x:c r="C1344" s="1"/>
      <x:c r="D1344" s="1"/>
      <x:c r="E1344" s="1"/>
      <x:c r="F1344" s="1"/>
      <x:c r="G1344" s="1"/>
      <x:c r="H1344" s="1"/>
      <x:c r="I1344" s="1"/>
      <x:c r="J1344" s="1"/>
      <x:c r="K1344" s="1"/>
      <x:c r="L1344" s="1"/>
      <x:c r="M1344" s="1"/>
      <x:c r="N1344" s="1"/>
      <x:c r="O1344" s="1"/>
      <x:c r="P1344" s="1"/>
      <x:c r="Q1344" s="1"/>
      <x:c r="R1344" s="1"/>
      <x:c r="S1344" s="1"/>
      <x:c r="T1344" s="1"/>
      <x:c r="U1344" s="1"/>
      <x:c r="V1344" s="1"/>
    </x:row>
    <x:row r="1345">
      <x:c r="A1345" s="1"/>
      <x:c r="B1345" s="1"/>
      <x:c r="C1345" s="1"/>
      <x:c r="D1345" s="1"/>
      <x:c r="E1345" s="1"/>
      <x:c r="F1345" s="1"/>
      <x:c r="G1345" s="1"/>
      <x:c r="H1345" s="1"/>
      <x:c r="I1345" s="1"/>
      <x:c r="J1345" s="1"/>
      <x:c r="K1345" s="1"/>
      <x:c r="L1345" s="1"/>
      <x:c r="M1345" s="1"/>
      <x:c r="N1345" s="1"/>
      <x:c r="O1345" s="1"/>
      <x:c r="P1345" s="1"/>
      <x:c r="Q1345" s="1"/>
      <x:c r="R1345" s="1"/>
      <x:c r="S1345" s="1"/>
      <x:c r="T1345" s="1"/>
      <x:c r="U1345" s="1"/>
      <x:c r="V1345" s="1"/>
    </x:row>
    <x:row r="1346">
      <x:c r="A1346" s="1"/>
      <x:c r="B1346" s="1"/>
      <x:c r="C1346" s="1"/>
      <x:c r="D1346" s="1"/>
      <x:c r="E1346" s="1"/>
      <x:c r="F1346" s="1"/>
      <x:c r="G1346" s="1"/>
      <x:c r="H1346" s="1"/>
      <x:c r="I1346" s="1"/>
      <x:c r="J1346" s="1"/>
      <x:c r="K1346" s="1"/>
      <x:c r="L1346" s="1"/>
      <x:c r="M1346" s="1"/>
      <x:c r="N1346" s="1"/>
      <x:c r="O1346" s="1"/>
      <x:c r="P1346" s="1"/>
      <x:c r="Q1346" s="1"/>
      <x:c r="R1346" s="1"/>
      <x:c r="S1346" s="1"/>
      <x:c r="T1346" s="1"/>
      <x:c r="U1346" s="1"/>
      <x:c r="V1346" s="1"/>
    </x:row>
    <x:row r="1347">
      <x:c r="A1347" s="1"/>
      <x:c r="B1347" s="1"/>
      <x:c r="C1347" s="1"/>
      <x:c r="D1347" s="1"/>
      <x:c r="E1347" s="1"/>
      <x:c r="F1347" s="1"/>
      <x:c r="G1347" s="1"/>
      <x:c r="H1347" s="1"/>
      <x:c r="I1347" s="1"/>
      <x:c r="J1347" s="1"/>
      <x:c r="K1347" s="1"/>
      <x:c r="L1347" s="1"/>
      <x:c r="M1347" s="1"/>
      <x:c r="N1347" s="1"/>
      <x:c r="O1347" s="1"/>
      <x:c r="P1347" s="1"/>
      <x:c r="Q1347" s="1"/>
      <x:c r="R1347" s="1"/>
      <x:c r="S1347" s="1"/>
      <x:c r="T1347" s="1"/>
      <x:c r="U1347" s="1"/>
      <x:c r="V1347" s="1"/>
    </x:row>
    <x:row r="1348">
      <x:c r="A1348" s="1"/>
      <x:c r="B1348" s="1"/>
      <x:c r="C1348" s="1"/>
      <x:c r="D1348" s="1"/>
      <x:c r="E1348" s="1"/>
      <x:c r="F1348" s="1"/>
      <x:c r="G1348" s="1"/>
      <x:c r="H1348" s="1"/>
      <x:c r="I1348" s="1"/>
      <x:c r="J1348" s="1"/>
      <x:c r="K1348" s="1"/>
      <x:c r="L1348" s="1"/>
      <x:c r="M1348" s="1"/>
      <x:c r="N1348" s="1"/>
      <x:c r="O1348" s="1"/>
      <x:c r="P1348" s="1"/>
      <x:c r="Q1348" s="1"/>
      <x:c r="R1348" s="1"/>
      <x:c r="S1348" s="1"/>
      <x:c r="T1348" s="1"/>
      <x:c r="U1348" s="1"/>
      <x:c r="V1348" s="1"/>
    </x:row>
    <x:row r="1349">
      <x:c r="A1349" s="1"/>
      <x:c r="B1349" s="1"/>
      <x:c r="C1349" s="1"/>
      <x:c r="D1349" s="1"/>
      <x:c r="E1349" s="1"/>
      <x:c r="F1349" s="1"/>
      <x:c r="G1349" s="1"/>
      <x:c r="H1349" s="1"/>
      <x:c r="I1349" s="1"/>
      <x:c r="J1349" s="1"/>
      <x:c r="K1349" s="1"/>
      <x:c r="L1349" s="1"/>
      <x:c r="M1349" s="1"/>
      <x:c r="N1349" s="1"/>
      <x:c r="O1349" s="1"/>
      <x:c r="P1349" s="1"/>
      <x:c r="Q1349" s="1"/>
      <x:c r="R1349" s="1"/>
      <x:c r="S1349" s="1"/>
      <x:c r="T1349" s="1"/>
      <x:c r="U1349" s="1"/>
      <x:c r="V1349" s="1"/>
    </x:row>
    <x:row r="1350">
      <x:c r="A1350" s="1"/>
      <x:c r="B1350" s="1"/>
      <x:c r="C1350" s="1"/>
      <x:c r="D1350" s="1"/>
      <x:c r="E1350" s="1"/>
      <x:c r="F1350" s="1"/>
      <x:c r="G1350" s="1"/>
      <x:c r="H1350" s="1"/>
      <x:c r="I1350" s="1"/>
      <x:c r="J1350" s="1"/>
      <x:c r="K1350" s="1"/>
      <x:c r="L1350" s="1"/>
      <x:c r="M1350" s="1"/>
      <x:c r="N1350" s="1"/>
      <x:c r="O1350" s="1"/>
      <x:c r="P1350" s="1"/>
      <x:c r="Q1350" s="1"/>
      <x:c r="R1350" s="1"/>
      <x:c r="S1350" s="1"/>
      <x:c r="T1350" s="1"/>
      <x:c r="U1350" s="1"/>
      <x:c r="V1350" s="1"/>
    </x:row>
    <x:row r="1351">
      <x:c r="A1351" s="1"/>
      <x:c r="B1351" s="1"/>
      <x:c r="C1351" s="1"/>
      <x:c r="D1351" s="1"/>
      <x:c r="E1351" s="1"/>
      <x:c r="F1351" s="1"/>
      <x:c r="G1351" s="1"/>
      <x:c r="H1351" s="1"/>
      <x:c r="I1351" s="1"/>
      <x:c r="J1351" s="1"/>
      <x:c r="K1351" s="1"/>
      <x:c r="L1351" s="1"/>
      <x:c r="M1351" s="1"/>
      <x:c r="N1351" s="1"/>
      <x:c r="O1351" s="1"/>
      <x:c r="P1351" s="1"/>
      <x:c r="Q1351" s="1"/>
      <x:c r="R1351" s="1"/>
      <x:c r="S1351" s="1"/>
      <x:c r="T1351" s="1"/>
      <x:c r="U1351" s="1"/>
      <x:c r="V1351" s="1"/>
    </x:row>
    <x:row r="1352">
      <x:c r="A1352" s="1"/>
      <x:c r="B1352" s="1"/>
      <x:c r="C1352" s="1"/>
      <x:c r="D1352" s="1"/>
      <x:c r="E1352" s="1"/>
      <x:c r="F1352" s="1"/>
      <x:c r="G1352" s="1"/>
      <x:c r="H1352" s="1"/>
      <x:c r="I1352" s="1"/>
      <x:c r="J1352" s="1"/>
      <x:c r="K1352" s="1"/>
      <x:c r="L1352" s="1"/>
      <x:c r="M1352" s="1"/>
      <x:c r="N1352" s="1"/>
      <x:c r="O1352" s="1"/>
      <x:c r="P1352" s="1"/>
      <x:c r="Q1352" s="1"/>
      <x:c r="R1352" s="1"/>
      <x:c r="S1352" s="1"/>
      <x:c r="T1352" s="1"/>
      <x:c r="U1352" s="1"/>
      <x:c r="V1352" s="1"/>
    </x:row>
    <x:row r="1353">
      <x:c r="A1353" s="1"/>
      <x:c r="B1353" s="1"/>
      <x:c r="C1353" s="1"/>
      <x:c r="D1353" s="1"/>
      <x:c r="E1353" s="1"/>
      <x:c r="F1353" s="1"/>
      <x:c r="G1353" s="1"/>
      <x:c r="H1353" s="1"/>
      <x:c r="I1353" s="1"/>
      <x:c r="J1353" s="1"/>
      <x:c r="K1353" s="1"/>
      <x:c r="L1353" s="1"/>
      <x:c r="M1353" s="1"/>
      <x:c r="N1353" s="1"/>
      <x:c r="O1353" s="1"/>
      <x:c r="P1353" s="1"/>
      <x:c r="Q1353" s="1"/>
      <x:c r="R1353" s="1"/>
      <x:c r="S1353" s="1"/>
      <x:c r="T1353" s="1"/>
      <x:c r="U1353" s="1"/>
      <x:c r="V1353" s="1"/>
    </x:row>
    <x:row r="1354">
      <x:c r="A1354" s="1"/>
      <x:c r="B1354" s="1"/>
      <x:c r="C1354" s="1"/>
      <x:c r="D1354" s="1"/>
      <x:c r="E1354" s="1"/>
      <x:c r="F1354" s="1"/>
      <x:c r="G1354" s="1"/>
      <x:c r="H1354" s="1"/>
      <x:c r="I1354" s="1"/>
      <x:c r="J1354" s="1"/>
      <x:c r="K1354" s="1"/>
      <x:c r="L1354" s="1"/>
      <x:c r="M1354" s="1"/>
      <x:c r="N1354" s="1"/>
      <x:c r="O1354" s="1"/>
      <x:c r="P1354" s="1"/>
      <x:c r="Q1354" s="1"/>
      <x:c r="R1354" s="1"/>
      <x:c r="S1354" s="1"/>
      <x:c r="T1354" s="1"/>
      <x:c r="U1354" s="1"/>
      <x:c r="V1354" s="1"/>
    </x:row>
    <x:row r="1355">
      <x:c r="A1355" s="1"/>
      <x:c r="B1355" s="1"/>
      <x:c r="C1355" s="1"/>
      <x:c r="D1355" s="1"/>
      <x:c r="E1355" s="1"/>
      <x:c r="F1355" s="1"/>
      <x:c r="G1355" s="1"/>
      <x:c r="H1355" s="1"/>
      <x:c r="I1355" s="1"/>
      <x:c r="J1355" s="1"/>
      <x:c r="K1355" s="1"/>
      <x:c r="L1355" s="1"/>
      <x:c r="M1355" s="1"/>
      <x:c r="N1355" s="1"/>
      <x:c r="O1355" s="1"/>
      <x:c r="P1355" s="1"/>
      <x:c r="Q1355" s="1"/>
      <x:c r="R1355" s="1"/>
      <x:c r="S1355" s="1"/>
      <x:c r="T1355" s="1"/>
      <x:c r="U1355" s="1"/>
      <x:c r="V1355" s="1"/>
    </x:row>
    <x:row r="1356">
      <x:c r="A1356" s="1"/>
      <x:c r="B1356" s="1"/>
      <x:c r="C1356" s="1"/>
      <x:c r="D1356" s="1"/>
      <x:c r="E1356" s="1"/>
      <x:c r="F1356" s="1"/>
      <x:c r="G1356" s="1"/>
      <x:c r="H1356" s="1"/>
      <x:c r="I1356" s="1"/>
      <x:c r="J1356" s="1"/>
      <x:c r="K1356" s="1"/>
      <x:c r="L1356" s="1"/>
      <x:c r="M1356" s="1"/>
      <x:c r="N1356" s="1"/>
      <x:c r="O1356" s="1"/>
      <x:c r="P1356" s="1"/>
      <x:c r="Q1356" s="1"/>
      <x:c r="R1356" s="1"/>
      <x:c r="S1356" s="1"/>
      <x:c r="T1356" s="1"/>
      <x:c r="U1356" s="1"/>
      <x:c r="V1356" s="1"/>
    </x:row>
    <x:row r="1357">
      <x:c r="A1357" s="1"/>
      <x:c r="B1357" s="1"/>
      <x:c r="C1357" s="1"/>
      <x:c r="D1357" s="1"/>
      <x:c r="E1357" s="1"/>
      <x:c r="F1357" s="1"/>
      <x:c r="G1357" s="1"/>
      <x:c r="H1357" s="1"/>
      <x:c r="I1357" s="1"/>
      <x:c r="J1357" s="1"/>
      <x:c r="K1357" s="1"/>
      <x:c r="L1357" s="1"/>
      <x:c r="M1357" s="1"/>
      <x:c r="N1357" s="1"/>
      <x:c r="O1357" s="1"/>
      <x:c r="P1357" s="1"/>
      <x:c r="Q1357" s="1"/>
      <x:c r="R1357" s="1"/>
      <x:c r="S1357" s="1"/>
      <x:c r="T1357" s="1"/>
      <x:c r="U1357" s="1"/>
      <x:c r="V1357" s="1"/>
    </x:row>
    <x:row r="1358">
      <x:c r="A1358" s="1"/>
      <x:c r="B1358" s="1"/>
      <x:c r="C1358" s="1"/>
      <x:c r="D1358" s="1"/>
      <x:c r="E1358" s="1"/>
      <x:c r="F1358" s="1"/>
      <x:c r="G1358" s="1"/>
      <x:c r="H1358" s="1"/>
      <x:c r="I1358" s="1"/>
      <x:c r="J1358" s="1"/>
      <x:c r="K1358" s="1"/>
      <x:c r="L1358" s="1"/>
      <x:c r="M1358" s="1"/>
      <x:c r="N1358" s="1"/>
      <x:c r="O1358" s="1"/>
      <x:c r="P1358" s="1"/>
      <x:c r="Q1358" s="1"/>
      <x:c r="R1358" s="1"/>
      <x:c r="S1358" s="1"/>
      <x:c r="T1358" s="1"/>
      <x:c r="U1358" s="1"/>
      <x:c r="V1358" s="1"/>
    </x:row>
    <x:row r="1359">
      <x:c r="A1359" s="1"/>
      <x:c r="B1359" s="1"/>
      <x:c r="C1359" s="1"/>
      <x:c r="D1359" s="1"/>
      <x:c r="E1359" s="1"/>
      <x:c r="F1359" s="1"/>
      <x:c r="G1359" s="1"/>
      <x:c r="H1359" s="1"/>
      <x:c r="I1359" s="1"/>
      <x:c r="J1359" s="1"/>
      <x:c r="K1359" s="1"/>
      <x:c r="L1359" s="1"/>
      <x:c r="M1359" s="1"/>
      <x:c r="N1359" s="1"/>
      <x:c r="O1359" s="1"/>
      <x:c r="P1359" s="1"/>
      <x:c r="Q1359" s="1"/>
      <x:c r="R1359" s="1"/>
      <x:c r="S1359" s="1"/>
      <x:c r="T1359" s="1"/>
      <x:c r="U1359" s="1"/>
      <x:c r="V1359" s="1"/>
    </x:row>
    <x:row r="1360">
      <x:c r="A1360" s="1"/>
      <x:c r="B1360" s="1"/>
      <x:c r="C1360" s="1"/>
      <x:c r="D1360" s="1"/>
      <x:c r="E1360" s="1"/>
      <x:c r="F1360" s="1"/>
      <x:c r="G1360" s="1"/>
      <x:c r="H1360" s="1"/>
      <x:c r="I1360" s="1"/>
      <x:c r="J1360" s="1"/>
      <x:c r="K1360" s="1"/>
      <x:c r="L1360" s="1"/>
      <x:c r="M1360" s="1"/>
      <x:c r="N1360" s="1"/>
      <x:c r="O1360" s="1"/>
      <x:c r="P1360" s="1"/>
      <x:c r="Q1360" s="1"/>
      <x:c r="R1360" s="1"/>
      <x:c r="S1360" s="1"/>
      <x:c r="T1360" s="1"/>
      <x:c r="U1360" s="1"/>
      <x:c r="V1360" s="1"/>
    </x:row>
    <x:row r="1361">
      <x:c r="A1361" s="1"/>
      <x:c r="B1361" s="1"/>
      <x:c r="C1361" s="1"/>
      <x:c r="D1361" s="1"/>
      <x:c r="E1361" s="1"/>
      <x:c r="F1361" s="1"/>
      <x:c r="G1361" s="1"/>
      <x:c r="H1361" s="1"/>
      <x:c r="I1361" s="1"/>
      <x:c r="J1361" s="1"/>
      <x:c r="K1361" s="1"/>
      <x:c r="L1361" s="1"/>
      <x:c r="M1361" s="1"/>
      <x:c r="N1361" s="1"/>
      <x:c r="O1361" s="1"/>
      <x:c r="P1361" s="1"/>
      <x:c r="Q1361" s="1"/>
      <x:c r="R1361" s="1"/>
      <x:c r="S1361" s="1"/>
      <x:c r="T1361" s="1"/>
      <x:c r="U1361" s="1"/>
      <x:c r="V1361" s="1"/>
    </x:row>
    <x:row r="1362">
      <x:c r="A1362" s="1"/>
      <x:c r="B1362" s="1"/>
      <x:c r="C1362" s="1"/>
      <x:c r="D1362" s="1"/>
      <x:c r="E1362" s="1"/>
      <x:c r="F1362" s="1"/>
      <x:c r="G1362" s="1"/>
      <x:c r="H1362" s="1"/>
      <x:c r="I1362" s="1"/>
      <x:c r="J1362" s="1"/>
      <x:c r="K1362" s="1"/>
      <x:c r="L1362" s="1"/>
      <x:c r="M1362" s="1"/>
      <x:c r="N1362" s="1"/>
      <x:c r="O1362" s="1"/>
      <x:c r="P1362" s="1"/>
      <x:c r="Q1362" s="1"/>
      <x:c r="R1362" s="1"/>
      <x:c r="S1362" s="1"/>
      <x:c r="T1362" s="1"/>
      <x:c r="U1362" s="1"/>
      <x:c r="V1362" s="1"/>
    </x:row>
    <x:row r="1363">
      <x:c r="A1363" s="1"/>
      <x:c r="B1363" s="1"/>
      <x:c r="C1363" s="1"/>
      <x:c r="D1363" s="1"/>
      <x:c r="E1363" s="1"/>
      <x:c r="F1363" s="1"/>
      <x:c r="G1363" s="1"/>
      <x:c r="H1363" s="1"/>
      <x:c r="I1363" s="1"/>
      <x:c r="J1363" s="1"/>
      <x:c r="K1363" s="1"/>
      <x:c r="L1363" s="1"/>
      <x:c r="M1363" s="1"/>
      <x:c r="N1363" s="1"/>
      <x:c r="O1363" s="1"/>
      <x:c r="P1363" s="1"/>
      <x:c r="Q1363" s="1"/>
      <x:c r="R1363" s="1"/>
      <x:c r="S1363" s="1"/>
      <x:c r="T1363" s="1"/>
      <x:c r="U1363" s="1"/>
      <x:c r="V1363" s="1"/>
    </x:row>
    <x:row r="1364">
      <x:c r="A1364" s="1"/>
      <x:c r="B1364" s="1"/>
      <x:c r="C1364" s="1"/>
      <x:c r="D1364" s="1"/>
      <x:c r="E1364" s="1"/>
      <x:c r="F1364" s="1"/>
      <x:c r="G1364" s="1"/>
      <x:c r="H1364" s="1"/>
      <x:c r="I1364" s="1"/>
      <x:c r="J1364" s="1"/>
      <x:c r="K1364" s="1"/>
      <x:c r="L1364" s="1"/>
      <x:c r="M1364" s="1"/>
      <x:c r="N1364" s="1"/>
      <x:c r="O1364" s="1"/>
      <x:c r="P1364" s="1"/>
      <x:c r="Q1364" s="1"/>
      <x:c r="R1364" s="1"/>
      <x:c r="S1364" s="1"/>
      <x:c r="T1364" s="1"/>
      <x:c r="U1364" s="1"/>
      <x:c r="V1364" s="1"/>
    </x:row>
    <x:row r="1365">
      <x:c r="A1365" s="1"/>
      <x:c r="B1365" s="1"/>
      <x:c r="C1365" s="1"/>
      <x:c r="D1365" s="1"/>
      <x:c r="E1365" s="1"/>
      <x:c r="F1365" s="1"/>
      <x:c r="G1365" s="1"/>
      <x:c r="H1365" s="1"/>
      <x:c r="I1365" s="1"/>
      <x:c r="J1365" s="1"/>
      <x:c r="K1365" s="1"/>
      <x:c r="L1365" s="1"/>
      <x:c r="M1365" s="1"/>
      <x:c r="N1365" s="1"/>
      <x:c r="O1365" s="1"/>
      <x:c r="P1365" s="1"/>
      <x:c r="Q1365" s="1"/>
      <x:c r="R1365" s="1"/>
      <x:c r="S1365" s="1"/>
      <x:c r="T1365" s="1"/>
      <x:c r="U1365" s="1"/>
      <x:c r="V1365" s="1"/>
    </x:row>
    <x:row r="1366">
      <x:c r="A1366" s="1"/>
      <x:c r="B1366" s="1"/>
      <x:c r="C1366" s="1"/>
      <x:c r="D1366" s="1"/>
      <x:c r="E1366" s="1"/>
      <x:c r="F1366" s="1"/>
      <x:c r="G1366" s="1"/>
      <x:c r="H1366" s="1"/>
      <x:c r="I1366" s="1"/>
      <x:c r="J1366" s="1"/>
      <x:c r="K1366" s="1"/>
      <x:c r="L1366" s="1"/>
      <x:c r="M1366" s="1"/>
      <x:c r="N1366" s="1"/>
      <x:c r="O1366" s="1"/>
      <x:c r="P1366" s="1"/>
      <x:c r="Q1366" s="1"/>
      <x:c r="R1366" s="1"/>
      <x:c r="S1366" s="1"/>
      <x:c r="T1366" s="1"/>
      <x:c r="U1366" s="1"/>
      <x:c r="V1366" s="1"/>
    </x:row>
    <x:row r="1367">
      <x:c r="A1367" s="1"/>
      <x:c r="B1367" s="1"/>
      <x:c r="C1367" s="1"/>
      <x:c r="D1367" s="1"/>
      <x:c r="E1367" s="1"/>
      <x:c r="F1367" s="1"/>
      <x:c r="G1367" s="1"/>
      <x:c r="H1367" s="1"/>
      <x:c r="I1367" s="1"/>
      <x:c r="J1367" s="1"/>
      <x:c r="K1367" s="1"/>
      <x:c r="L1367" s="1"/>
      <x:c r="M1367" s="1"/>
      <x:c r="N1367" s="1"/>
      <x:c r="O1367" s="1"/>
      <x:c r="P1367" s="1"/>
      <x:c r="Q1367" s="1"/>
      <x:c r="R1367" s="1"/>
      <x:c r="S1367" s="1"/>
      <x:c r="T1367" s="1"/>
      <x:c r="U1367" s="1"/>
      <x:c r="V1367" s="1"/>
    </x:row>
    <x:row r="1368">
      <x:c r="A1368" s="1"/>
      <x:c r="B1368" s="1"/>
      <x:c r="C1368" s="1"/>
      <x:c r="D1368" s="1"/>
      <x:c r="E1368" s="1"/>
      <x:c r="F1368" s="1"/>
      <x:c r="G1368" s="1"/>
      <x:c r="H1368" s="1"/>
      <x:c r="I1368" s="1"/>
      <x:c r="J1368" s="1"/>
      <x:c r="K1368" s="1"/>
      <x:c r="L1368" s="1"/>
      <x:c r="M1368" s="1"/>
      <x:c r="N1368" s="1"/>
      <x:c r="O1368" s="1"/>
      <x:c r="P1368" s="1"/>
      <x:c r="Q1368" s="1"/>
      <x:c r="R1368" s="1"/>
      <x:c r="S1368" s="1"/>
      <x:c r="T1368" s="1"/>
      <x:c r="U1368" s="1"/>
      <x:c r="V1368" s="1"/>
    </x:row>
    <x:row r="1369">
      <x:c r="A1369" s="1"/>
      <x:c r="B1369" s="1"/>
      <x:c r="C1369" s="1"/>
      <x:c r="D1369" s="1"/>
      <x:c r="E1369" s="1"/>
      <x:c r="F1369" s="1"/>
      <x:c r="G1369" s="1"/>
      <x:c r="H1369" s="1"/>
      <x:c r="I1369" s="1"/>
      <x:c r="J1369" s="1"/>
      <x:c r="K1369" s="1"/>
      <x:c r="L1369" s="1"/>
      <x:c r="M1369" s="1"/>
      <x:c r="N1369" s="1"/>
      <x:c r="O1369" s="1"/>
      <x:c r="P1369" s="1"/>
      <x:c r="Q1369" s="1"/>
      <x:c r="R1369" s="1"/>
      <x:c r="S1369" s="1"/>
      <x:c r="T1369" s="1"/>
      <x:c r="U1369" s="1"/>
      <x:c r="V1369" s="1"/>
    </x:row>
    <x:row r="1370">
      <x:c r="A1370" s="1"/>
      <x:c r="B1370" s="1"/>
      <x:c r="C1370" s="1"/>
      <x:c r="D1370" s="1"/>
      <x:c r="E1370" s="1"/>
      <x:c r="F1370" s="1"/>
      <x:c r="G1370" s="1"/>
      <x:c r="H1370" s="1"/>
      <x:c r="I1370" s="1"/>
      <x:c r="J1370" s="1"/>
      <x:c r="K1370" s="1"/>
      <x:c r="L1370" s="1"/>
      <x:c r="M1370" s="1"/>
      <x:c r="N1370" s="1"/>
      <x:c r="O1370" s="1"/>
      <x:c r="P1370" s="1"/>
      <x:c r="Q1370" s="1"/>
      <x:c r="R1370" s="1"/>
      <x:c r="S1370" s="1"/>
      <x:c r="T1370" s="1"/>
      <x:c r="U1370" s="1"/>
      <x:c r="V1370" s="1"/>
    </x:row>
    <x:row r="1371">
      <x:c r="A1371" s="1"/>
      <x:c r="B1371" s="1"/>
      <x:c r="C1371" s="1"/>
      <x:c r="D1371" s="1"/>
      <x:c r="E1371" s="1"/>
      <x:c r="F1371" s="1"/>
      <x:c r="G1371" s="1"/>
      <x:c r="H1371" s="1"/>
      <x:c r="I1371" s="1"/>
      <x:c r="J1371" s="1"/>
      <x:c r="K1371" s="1"/>
      <x:c r="L1371" s="1"/>
      <x:c r="M1371" s="1"/>
      <x:c r="N1371" s="1"/>
      <x:c r="O1371" s="1"/>
      <x:c r="P1371" s="1"/>
      <x:c r="Q1371" s="1"/>
      <x:c r="R1371" s="1"/>
      <x:c r="S1371" s="1"/>
      <x:c r="T1371" s="1"/>
      <x:c r="U1371" s="1"/>
      <x:c r="V1371" s="1"/>
    </x:row>
    <x:row r="1372">
      <x:c r="A1372" s="1"/>
      <x:c r="B1372" s="1"/>
      <x:c r="C1372" s="1"/>
      <x:c r="D1372" s="1"/>
      <x:c r="E1372" s="1"/>
      <x:c r="F1372" s="1"/>
      <x:c r="G1372" s="1"/>
      <x:c r="H1372" s="1"/>
      <x:c r="I1372" s="1"/>
      <x:c r="J1372" s="1"/>
      <x:c r="K1372" s="1"/>
      <x:c r="L1372" s="1"/>
      <x:c r="M1372" s="1"/>
      <x:c r="N1372" s="1"/>
      <x:c r="O1372" s="1"/>
      <x:c r="P1372" s="1"/>
      <x:c r="Q1372" s="1"/>
      <x:c r="R1372" s="1"/>
      <x:c r="S1372" s="1"/>
      <x:c r="T1372" s="1"/>
      <x:c r="U1372" s="1"/>
      <x:c r="V1372" s="1"/>
    </x:row>
    <x:row r="1373">
      <x:c r="A1373" s="1"/>
      <x:c r="B1373" s="1"/>
      <x:c r="C1373" s="1"/>
      <x:c r="D1373" s="1"/>
      <x:c r="E1373" s="1"/>
      <x:c r="F1373" s="1"/>
      <x:c r="G1373" s="1"/>
      <x:c r="H1373" s="1"/>
      <x:c r="I1373" s="1"/>
      <x:c r="J1373" s="1"/>
      <x:c r="K1373" s="1"/>
      <x:c r="L1373" s="1"/>
      <x:c r="M1373" s="1"/>
      <x:c r="N1373" s="1"/>
      <x:c r="O1373" s="1"/>
      <x:c r="P1373" s="1"/>
      <x:c r="Q1373" s="1"/>
      <x:c r="R1373" s="1"/>
      <x:c r="S1373" s="1"/>
      <x:c r="T1373" s="1"/>
      <x:c r="U1373" s="1"/>
      <x:c r="V1373" s="1"/>
    </x:row>
    <x:row r="1374">
      <x:c r="A1374" s="1"/>
      <x:c r="B1374" s="1"/>
      <x:c r="C1374" s="1"/>
      <x:c r="D1374" s="1"/>
      <x:c r="E1374" s="1"/>
      <x:c r="F1374" s="1"/>
      <x:c r="G1374" s="1"/>
      <x:c r="H1374" s="1"/>
      <x:c r="I1374" s="1"/>
      <x:c r="J1374" s="1"/>
      <x:c r="K1374" s="1"/>
      <x:c r="L1374" s="1"/>
      <x:c r="M1374" s="1"/>
      <x:c r="N1374" s="1"/>
      <x:c r="O1374" s="1"/>
      <x:c r="P1374" s="1"/>
      <x:c r="Q1374" s="1"/>
      <x:c r="R1374" s="1"/>
      <x:c r="S1374" s="1"/>
      <x:c r="T1374" s="1"/>
      <x:c r="U1374" s="1"/>
      <x:c r="V1374" s="1"/>
    </x:row>
    <x:row r="1375">
      <x:c r="A1375" s="1"/>
      <x:c r="B1375" s="1"/>
      <x:c r="C1375" s="1"/>
      <x:c r="D1375" s="1"/>
      <x:c r="E1375" s="1"/>
      <x:c r="F1375" s="1"/>
      <x:c r="G1375" s="1"/>
      <x:c r="H1375" s="1"/>
      <x:c r="I1375" s="1"/>
      <x:c r="J1375" s="1"/>
      <x:c r="K1375" s="1"/>
      <x:c r="L1375" s="1"/>
      <x:c r="M1375" s="1"/>
      <x:c r="N1375" s="1"/>
      <x:c r="O1375" s="1"/>
      <x:c r="P1375" s="1"/>
      <x:c r="Q1375" s="1"/>
      <x:c r="R1375" s="1"/>
      <x:c r="S1375" s="1"/>
      <x:c r="T1375" s="1"/>
      <x:c r="U1375" s="1"/>
      <x:c r="V1375" s="1"/>
    </x:row>
    <x:row r="1376">
      <x:c r="A1376" s="1"/>
      <x:c r="B1376" s="1"/>
      <x:c r="C1376" s="1"/>
      <x:c r="D1376" s="1"/>
      <x:c r="E1376" s="1"/>
      <x:c r="F1376" s="1"/>
      <x:c r="G1376" s="1"/>
      <x:c r="H1376" s="1"/>
      <x:c r="I1376" s="1"/>
      <x:c r="J1376" s="1"/>
      <x:c r="K1376" s="1"/>
      <x:c r="L1376" s="1"/>
      <x:c r="M1376" s="1"/>
      <x:c r="N1376" s="1"/>
      <x:c r="O1376" s="1"/>
      <x:c r="P1376" s="1"/>
      <x:c r="Q1376" s="1"/>
      <x:c r="R1376" s="1"/>
      <x:c r="S1376" s="1"/>
      <x:c r="T1376" s="1"/>
      <x:c r="U1376" s="1"/>
      <x:c r="V1376" s="1"/>
    </x:row>
    <x:row r="1377">
      <x:c r="A1377" s="1"/>
      <x:c r="B1377" s="1"/>
      <x:c r="C1377" s="1"/>
      <x:c r="D1377" s="1"/>
      <x:c r="E1377" s="1"/>
      <x:c r="F1377" s="1"/>
      <x:c r="G1377" s="1"/>
      <x:c r="H1377" s="1"/>
      <x:c r="I1377" s="1"/>
      <x:c r="J1377" s="1"/>
      <x:c r="K1377" s="1"/>
      <x:c r="L1377" s="1"/>
      <x:c r="M1377" s="1"/>
      <x:c r="N1377" s="1"/>
      <x:c r="O1377" s="1"/>
      <x:c r="P1377" s="1"/>
      <x:c r="Q1377" s="1"/>
      <x:c r="R1377" s="1"/>
      <x:c r="S1377" s="1"/>
      <x:c r="T1377" s="1"/>
      <x:c r="U1377" s="1"/>
      <x:c r="V1377" s="1"/>
    </x:row>
    <x:row r="1378">
      <x:c r="A1378" s="1"/>
      <x:c r="B1378" s="1"/>
      <x:c r="C1378" s="1"/>
      <x:c r="D1378" s="1"/>
      <x:c r="E1378" s="1"/>
      <x:c r="F1378" s="1"/>
      <x:c r="G1378" s="1"/>
      <x:c r="H1378" s="1"/>
      <x:c r="I1378" s="1"/>
      <x:c r="J1378" s="1"/>
      <x:c r="K1378" s="1"/>
      <x:c r="L1378" s="1"/>
      <x:c r="M1378" s="1"/>
      <x:c r="N1378" s="1"/>
      <x:c r="O1378" s="1"/>
      <x:c r="P1378" s="1"/>
      <x:c r="Q1378" s="1"/>
      <x:c r="R1378" s="1"/>
      <x:c r="S1378" s="1"/>
      <x:c r="T1378" s="1"/>
      <x:c r="U1378" s="1"/>
      <x:c r="V1378" s="1"/>
    </x:row>
    <x:row r="1379">
      <x:c r="A1379" s="1"/>
      <x:c r="B1379" s="1"/>
      <x:c r="C1379" s="1"/>
      <x:c r="D1379" s="1"/>
      <x:c r="E1379" s="1"/>
      <x:c r="F1379" s="1"/>
      <x:c r="G1379" s="1"/>
      <x:c r="H1379" s="1"/>
      <x:c r="I1379" s="1"/>
      <x:c r="J1379" s="1"/>
      <x:c r="K1379" s="1"/>
      <x:c r="L1379" s="1"/>
      <x:c r="M1379" s="1"/>
      <x:c r="N1379" s="1"/>
      <x:c r="O1379" s="1"/>
      <x:c r="P1379" s="1"/>
      <x:c r="Q1379" s="1"/>
      <x:c r="R1379" s="1"/>
      <x:c r="S1379" s="1"/>
      <x:c r="T1379" s="1"/>
      <x:c r="U1379" s="1"/>
      <x:c r="V1379" s="1"/>
    </x:row>
    <x:row r="1380">
      <x:c r="A1380" s="1"/>
      <x:c r="B1380" s="1"/>
      <x:c r="C1380" s="1"/>
      <x:c r="D1380" s="1"/>
      <x:c r="E1380" s="1"/>
      <x:c r="F1380" s="1"/>
      <x:c r="G1380" s="1"/>
      <x:c r="H1380" s="1"/>
      <x:c r="I1380" s="1"/>
      <x:c r="J1380" s="1"/>
      <x:c r="K1380" s="1"/>
      <x:c r="L1380" s="1"/>
      <x:c r="M1380" s="1"/>
      <x:c r="N1380" s="1"/>
      <x:c r="O1380" s="1"/>
      <x:c r="P1380" s="1"/>
      <x:c r="Q1380" s="1"/>
      <x:c r="R1380" s="1"/>
      <x:c r="S1380" s="1"/>
      <x:c r="T1380" s="1"/>
      <x:c r="U1380" s="1"/>
      <x:c r="V1380" s="1"/>
    </x:row>
    <x:row r="1381">
      <x:c r="A1381" s="1"/>
      <x:c r="B1381" s="1"/>
      <x:c r="C1381" s="1"/>
      <x:c r="D1381" s="1"/>
      <x:c r="E1381" s="1"/>
      <x:c r="F1381" s="1"/>
      <x:c r="G1381" s="1"/>
      <x:c r="H1381" s="1"/>
      <x:c r="I1381" s="1"/>
      <x:c r="J1381" s="1"/>
      <x:c r="K1381" s="1"/>
      <x:c r="L1381" s="1"/>
      <x:c r="M1381" s="1"/>
      <x:c r="N1381" s="1"/>
      <x:c r="O1381" s="1"/>
      <x:c r="P1381" s="1"/>
      <x:c r="Q1381" s="1"/>
      <x:c r="R1381" s="1"/>
      <x:c r="S1381" s="1"/>
      <x:c r="T1381" s="1"/>
      <x:c r="U1381" s="1"/>
      <x:c r="V1381" s="1"/>
    </x:row>
    <x:row r="1382">
      <x:c r="A1382" s="1"/>
      <x:c r="B1382" s="1"/>
      <x:c r="C1382" s="1"/>
      <x:c r="D1382" s="1"/>
      <x:c r="E1382" s="1"/>
      <x:c r="F1382" s="1"/>
      <x:c r="G1382" s="1"/>
      <x:c r="H1382" s="1"/>
      <x:c r="I1382" s="1"/>
      <x:c r="J1382" s="1"/>
      <x:c r="K1382" s="1"/>
      <x:c r="L1382" s="1"/>
      <x:c r="M1382" s="1"/>
      <x:c r="N1382" s="1"/>
      <x:c r="O1382" s="1"/>
      <x:c r="P1382" s="1"/>
      <x:c r="Q1382" s="1"/>
      <x:c r="R1382" s="1"/>
      <x:c r="S1382" s="1"/>
      <x:c r="T1382" s="1"/>
      <x:c r="U1382" s="1"/>
      <x:c r="V1382" s="1"/>
    </x:row>
    <x:row r="1383">
      <x:c r="A1383" s="1"/>
      <x:c r="B1383" s="1"/>
      <x:c r="C1383" s="1"/>
      <x:c r="D1383" s="1"/>
      <x:c r="E1383" s="1"/>
      <x:c r="F1383" s="1"/>
      <x:c r="G1383" s="1"/>
      <x:c r="H1383" s="1"/>
      <x:c r="I1383" s="1"/>
      <x:c r="J1383" s="1"/>
      <x:c r="K1383" s="1"/>
      <x:c r="L1383" s="1"/>
      <x:c r="M1383" s="1"/>
      <x:c r="N1383" s="1"/>
      <x:c r="O1383" s="1"/>
      <x:c r="P1383" s="1"/>
      <x:c r="Q1383" s="1"/>
      <x:c r="R1383" s="1"/>
      <x:c r="S1383" s="1"/>
      <x:c r="T1383" s="1"/>
      <x:c r="U1383" s="1"/>
      <x:c r="V1383" s="1"/>
    </x:row>
    <x:row r="1384">
      <x:c r="A1384" s="1"/>
      <x:c r="B1384" s="1"/>
      <x:c r="C1384" s="1"/>
      <x:c r="D1384" s="1"/>
      <x:c r="E1384" s="1"/>
      <x:c r="F1384" s="1"/>
      <x:c r="G1384" s="1"/>
      <x:c r="H1384" s="1"/>
      <x:c r="I1384" s="1"/>
      <x:c r="J1384" s="1"/>
      <x:c r="K1384" s="1"/>
      <x:c r="L1384" s="1"/>
      <x:c r="M1384" s="1"/>
      <x:c r="N1384" s="1"/>
      <x:c r="O1384" s="1"/>
      <x:c r="P1384" s="1"/>
      <x:c r="Q1384" s="1"/>
      <x:c r="R1384" s="1"/>
      <x:c r="S1384" s="1"/>
      <x:c r="T1384" s="1"/>
      <x:c r="U1384" s="1"/>
      <x:c r="V1384" s="1"/>
    </x:row>
    <x:row r="1385">
      <x:c r="A1385" s="1"/>
      <x:c r="B1385" s="1"/>
      <x:c r="C1385" s="1"/>
      <x:c r="D1385" s="1"/>
      <x:c r="E1385" s="1"/>
      <x:c r="F1385" s="1"/>
      <x:c r="G1385" s="1"/>
      <x:c r="H1385" s="1"/>
      <x:c r="I1385" s="1"/>
      <x:c r="J1385" s="1"/>
      <x:c r="K1385" s="1"/>
      <x:c r="L1385" s="1"/>
      <x:c r="M1385" s="1"/>
      <x:c r="N1385" s="1"/>
      <x:c r="O1385" s="1"/>
      <x:c r="P1385" s="1"/>
      <x:c r="Q1385" s="1"/>
      <x:c r="R1385" s="1"/>
      <x:c r="S1385" s="1"/>
      <x:c r="T1385" s="1"/>
      <x:c r="U1385" s="1"/>
      <x:c r="V1385" s="1"/>
    </x:row>
    <x:row r="1386">
      <x:c r="A1386" s="1"/>
      <x:c r="B1386" s="1"/>
      <x:c r="C1386" s="1"/>
      <x:c r="D1386" s="1"/>
      <x:c r="E1386" s="1"/>
      <x:c r="F1386" s="1"/>
      <x:c r="G1386" s="1"/>
      <x:c r="H1386" s="1"/>
      <x:c r="I1386" s="1"/>
      <x:c r="J1386" s="1"/>
      <x:c r="K1386" s="1"/>
      <x:c r="L1386" s="1"/>
      <x:c r="M1386" s="1"/>
      <x:c r="N1386" s="1"/>
      <x:c r="O1386" s="1"/>
      <x:c r="P1386" s="1"/>
      <x:c r="Q1386" s="1"/>
      <x:c r="R1386" s="1"/>
      <x:c r="S1386" s="1"/>
      <x:c r="T1386" s="1"/>
      <x:c r="U1386" s="1"/>
      <x:c r="V1386" s="1"/>
    </x:row>
    <x:row r="1387">
      <x:c r="A1387" s="1"/>
      <x:c r="B1387" s="1"/>
      <x:c r="C1387" s="1"/>
      <x:c r="D1387" s="1"/>
      <x:c r="E1387" s="1"/>
      <x:c r="F1387" s="1"/>
      <x:c r="G1387" s="1"/>
      <x:c r="H1387" s="1"/>
      <x:c r="I1387" s="1"/>
      <x:c r="J1387" s="1"/>
      <x:c r="K1387" s="1"/>
      <x:c r="L1387" s="1"/>
      <x:c r="M1387" s="1"/>
      <x:c r="N1387" s="1"/>
      <x:c r="O1387" s="1"/>
      <x:c r="P1387" s="1"/>
      <x:c r="Q1387" s="1"/>
      <x:c r="R1387" s="1"/>
      <x:c r="S1387" s="1"/>
      <x:c r="T1387" s="1"/>
      <x:c r="U1387" s="1"/>
      <x:c r="V1387" s="1"/>
    </x:row>
    <x:row r="1388">
      <x:c r="A1388" s="1"/>
      <x:c r="B1388" s="1"/>
      <x:c r="C1388" s="1"/>
      <x:c r="D1388" s="1"/>
      <x:c r="E1388" s="1"/>
      <x:c r="F1388" s="1"/>
      <x:c r="G1388" s="1"/>
      <x:c r="H1388" s="1"/>
      <x:c r="I1388" s="1"/>
      <x:c r="J1388" s="1"/>
      <x:c r="K1388" s="1"/>
      <x:c r="L1388" s="1"/>
      <x:c r="M1388" s="1"/>
      <x:c r="N1388" s="1"/>
      <x:c r="O1388" s="1"/>
      <x:c r="P1388" s="1"/>
      <x:c r="Q1388" s="1"/>
      <x:c r="R1388" s="1"/>
      <x:c r="S1388" s="1"/>
      <x:c r="T1388" s="1"/>
      <x:c r="U1388" s="1"/>
      <x:c r="V1388" s="1"/>
    </x:row>
    <x:row r="1389">
      <x:c r="A1389" s="1"/>
      <x:c r="B1389" s="1"/>
      <x:c r="C1389" s="1"/>
      <x:c r="D1389" s="1"/>
      <x:c r="E1389" s="1"/>
      <x:c r="F1389" s="1"/>
      <x:c r="G1389" s="1"/>
      <x:c r="H1389" s="1"/>
      <x:c r="I1389" s="1"/>
      <x:c r="J1389" s="1"/>
      <x:c r="K1389" s="1"/>
      <x:c r="L1389" s="1"/>
      <x:c r="M1389" s="1"/>
      <x:c r="N1389" s="1"/>
      <x:c r="O1389" s="1"/>
      <x:c r="P1389" s="1"/>
      <x:c r="Q1389" s="1"/>
      <x:c r="R1389" s="1"/>
      <x:c r="S1389" s="1"/>
      <x:c r="T1389" s="1"/>
      <x:c r="U1389" s="1"/>
      <x:c r="V1389" s="1"/>
    </x:row>
    <x:row r="1390">
      <x:c r="A1390" s="1"/>
      <x:c r="B1390" s="1"/>
      <x:c r="C1390" s="1"/>
      <x:c r="D1390" s="1"/>
      <x:c r="E1390" s="1"/>
      <x:c r="F1390" s="1"/>
      <x:c r="G1390" s="1"/>
      <x:c r="H1390" s="1"/>
      <x:c r="I1390" s="1"/>
      <x:c r="J1390" s="1"/>
      <x:c r="K1390" s="1"/>
      <x:c r="L1390" s="1"/>
      <x:c r="M1390" s="1"/>
      <x:c r="N1390" s="1"/>
      <x:c r="O1390" s="1"/>
      <x:c r="P1390" s="1"/>
      <x:c r="Q1390" s="1"/>
      <x:c r="R1390" s="1"/>
      <x:c r="S1390" s="1"/>
      <x:c r="T1390" s="1"/>
      <x:c r="U1390" s="1"/>
      <x:c r="V1390" s="1"/>
    </x:row>
    <x:row r="1391">
      <x:c r="A1391" s="1"/>
      <x:c r="B1391" s="1"/>
      <x:c r="C1391" s="1"/>
      <x:c r="D1391" s="1"/>
      <x:c r="E1391" s="1"/>
      <x:c r="F1391" s="1"/>
      <x:c r="G1391" s="1"/>
      <x:c r="H1391" s="1"/>
      <x:c r="I1391" s="1"/>
      <x:c r="J1391" s="1"/>
      <x:c r="K1391" s="1"/>
      <x:c r="L1391" s="1"/>
      <x:c r="M1391" s="1"/>
      <x:c r="N1391" s="1"/>
      <x:c r="O1391" s="1"/>
      <x:c r="P1391" s="1"/>
      <x:c r="Q1391" s="1"/>
      <x:c r="R1391" s="1"/>
      <x:c r="S1391" s="1"/>
      <x:c r="T1391" s="1"/>
      <x:c r="U1391" s="1"/>
      <x:c r="V1391" s="1"/>
    </x:row>
    <x:row r="1392">
      <x:c r="A1392" s="1"/>
      <x:c r="B1392" s="1"/>
      <x:c r="C1392" s="1"/>
      <x:c r="D1392" s="1"/>
      <x:c r="E1392" s="1"/>
      <x:c r="F1392" s="1"/>
      <x:c r="G1392" s="1"/>
      <x:c r="H1392" s="1"/>
      <x:c r="I1392" s="1"/>
      <x:c r="J1392" s="1"/>
      <x:c r="K1392" s="1"/>
      <x:c r="L1392" s="1"/>
      <x:c r="M1392" s="1"/>
      <x:c r="N1392" s="1"/>
      <x:c r="O1392" s="1"/>
      <x:c r="P1392" s="1"/>
      <x:c r="Q1392" s="1"/>
      <x:c r="R1392" s="1"/>
      <x:c r="S1392" s="1"/>
      <x:c r="T1392" s="1"/>
      <x:c r="U1392" s="1"/>
      <x:c r="V1392" s="1"/>
    </x:row>
    <x:row r="1393">
      <x:c r="A1393" s="1"/>
      <x:c r="B1393" s="1"/>
      <x:c r="C1393" s="1"/>
      <x:c r="D1393" s="1"/>
      <x:c r="E1393" s="1"/>
      <x:c r="F1393" s="1"/>
      <x:c r="G1393" s="1"/>
      <x:c r="H1393" s="1"/>
      <x:c r="I1393" s="1"/>
      <x:c r="J1393" s="1"/>
      <x:c r="K1393" s="1"/>
      <x:c r="L1393" s="1"/>
      <x:c r="M1393" s="1"/>
      <x:c r="N1393" s="1"/>
      <x:c r="O1393" s="1"/>
      <x:c r="P1393" s="1"/>
      <x:c r="Q1393" s="1"/>
      <x:c r="R1393" s="1"/>
      <x:c r="S1393" s="1"/>
      <x:c r="T1393" s="1"/>
      <x:c r="U1393" s="1"/>
      <x:c r="V1393" s="1"/>
    </x:row>
    <x:row r="1394">
      <x:c r="A1394" s="1"/>
      <x:c r="B1394" s="1"/>
      <x:c r="C1394" s="1"/>
      <x:c r="D1394" s="1"/>
      <x:c r="E1394" s="1"/>
      <x:c r="F1394" s="1"/>
      <x:c r="G1394" s="1"/>
      <x:c r="H1394" s="1"/>
      <x:c r="I1394" s="1"/>
      <x:c r="J1394" s="1"/>
      <x:c r="K1394" s="1"/>
      <x:c r="L1394" s="1"/>
      <x:c r="M1394" s="1"/>
      <x:c r="N1394" s="1"/>
      <x:c r="O1394" s="1"/>
      <x:c r="P1394" s="1"/>
      <x:c r="Q1394" s="1"/>
      <x:c r="R1394" s="1"/>
      <x:c r="S1394" s="1"/>
      <x:c r="T1394" s="1"/>
      <x:c r="U1394" s="1"/>
      <x:c r="V1394" s="1"/>
    </x:row>
    <x:row r="1395">
      <x:c r="A1395" s="1"/>
      <x:c r="B1395" s="1"/>
      <x:c r="C1395" s="1"/>
      <x:c r="D1395" s="1"/>
      <x:c r="E1395" s="1"/>
      <x:c r="F1395" s="1"/>
      <x:c r="G1395" s="1"/>
      <x:c r="H1395" s="1"/>
      <x:c r="I1395" s="1"/>
      <x:c r="J1395" s="1"/>
      <x:c r="K1395" s="1"/>
      <x:c r="L1395" s="1"/>
      <x:c r="M1395" s="1"/>
      <x:c r="N1395" s="1"/>
      <x:c r="O1395" s="1"/>
      <x:c r="P1395" s="1"/>
      <x:c r="Q1395" s="1"/>
      <x:c r="R1395" s="1"/>
      <x:c r="S1395" s="1"/>
      <x:c r="T1395" s="1"/>
      <x:c r="U1395" s="1"/>
      <x:c r="V1395" s="1"/>
    </x:row>
    <x:row r="1396">
      <x:c r="A1396" s="1"/>
      <x:c r="B1396" s="1"/>
      <x:c r="C1396" s="1"/>
      <x:c r="D1396" s="1"/>
      <x:c r="E1396" s="1"/>
      <x:c r="F1396" s="1"/>
      <x:c r="G1396" s="1"/>
      <x:c r="H1396" s="1"/>
      <x:c r="I1396" s="1"/>
      <x:c r="J1396" s="1"/>
      <x:c r="K1396" s="1"/>
      <x:c r="L1396" s="1"/>
      <x:c r="M1396" s="1"/>
      <x:c r="N1396" s="1"/>
      <x:c r="O1396" s="1"/>
      <x:c r="P1396" s="1"/>
      <x:c r="Q1396" s="1"/>
      <x:c r="R1396" s="1"/>
      <x:c r="S1396" s="1"/>
      <x:c r="T1396" s="1"/>
      <x:c r="U1396" s="1"/>
      <x:c r="V1396" s="1"/>
    </x:row>
    <x:row r="1397">
      <x:c r="A1397" s="1"/>
      <x:c r="B1397" s="1"/>
      <x:c r="C1397" s="1"/>
      <x:c r="D1397" s="1"/>
      <x:c r="E1397" s="1"/>
      <x:c r="F1397" s="1"/>
      <x:c r="G1397" s="1"/>
      <x:c r="H1397" s="1"/>
      <x:c r="I1397" s="1"/>
      <x:c r="J1397" s="1"/>
      <x:c r="K1397" s="1"/>
      <x:c r="L1397" s="1"/>
      <x:c r="M1397" s="1"/>
      <x:c r="N1397" s="1"/>
      <x:c r="O1397" s="1"/>
      <x:c r="P1397" s="1"/>
      <x:c r="Q1397" s="1"/>
      <x:c r="R1397" s="1"/>
      <x:c r="S1397" s="1"/>
      <x:c r="T1397" s="1"/>
      <x:c r="U1397" s="1"/>
      <x:c r="V1397" s="1"/>
    </x:row>
    <x:row r="1398">
      <x:c r="A1398" s="1"/>
      <x:c r="B1398" s="1"/>
      <x:c r="C1398" s="1"/>
      <x:c r="D1398" s="1"/>
      <x:c r="E1398" s="1"/>
      <x:c r="F1398" s="1"/>
      <x:c r="G1398" s="1"/>
      <x:c r="H1398" s="1"/>
      <x:c r="I1398" s="1"/>
      <x:c r="J1398" s="1"/>
      <x:c r="K1398" s="1"/>
      <x:c r="L1398" s="1"/>
      <x:c r="M1398" s="1"/>
      <x:c r="N1398" s="1"/>
      <x:c r="O1398" s="1"/>
      <x:c r="P1398" s="1"/>
      <x:c r="Q1398" s="1"/>
      <x:c r="R1398" s="1"/>
      <x:c r="S1398" s="1"/>
      <x:c r="T1398" s="1"/>
      <x:c r="U1398" s="1"/>
      <x:c r="V1398" s="1"/>
    </x:row>
    <x:row r="1399">
      <x:c r="A1399" s="1"/>
      <x:c r="B1399" s="1"/>
      <x:c r="C1399" s="1"/>
      <x:c r="D1399" s="1"/>
      <x:c r="E1399" s="1"/>
      <x:c r="F1399" s="1"/>
      <x:c r="G1399" s="1"/>
      <x:c r="H1399" s="1"/>
      <x:c r="I1399" s="1"/>
      <x:c r="J1399" s="1"/>
      <x:c r="K1399" s="1"/>
      <x:c r="L1399" s="1"/>
      <x:c r="M1399" s="1"/>
      <x:c r="N1399" s="1"/>
      <x:c r="O1399" s="1"/>
      <x:c r="P1399" s="1"/>
      <x:c r="Q1399" s="1"/>
      <x:c r="R1399" s="1"/>
      <x:c r="S1399" s="1"/>
      <x:c r="T1399" s="1"/>
      <x:c r="U1399" s="1"/>
      <x:c r="V1399" s="1"/>
    </x:row>
    <x:row r="1400">
      <x:c r="A1400" s="1"/>
      <x:c r="B1400" s="1"/>
      <x:c r="C1400" s="1"/>
      <x:c r="D1400" s="1"/>
      <x:c r="E1400" s="1"/>
      <x:c r="F1400" s="1"/>
      <x:c r="G1400" s="1"/>
      <x:c r="H1400" s="1"/>
      <x:c r="I1400" s="1"/>
      <x:c r="J1400" s="1"/>
      <x:c r="K1400" s="1"/>
      <x:c r="L1400" s="1"/>
      <x:c r="M1400" s="1"/>
      <x:c r="N1400" s="1"/>
      <x:c r="O1400" s="1"/>
      <x:c r="P1400" s="1"/>
      <x:c r="Q1400" s="1"/>
      <x:c r="R1400" s="1"/>
      <x:c r="S1400" s="1"/>
      <x:c r="T1400" s="1"/>
      <x:c r="U1400" s="1"/>
      <x:c r="V1400" s="1"/>
    </x:row>
    <x:row r="1401">
      <x:c r="A1401" s="1"/>
      <x:c r="B1401" s="1"/>
      <x:c r="C1401" s="1"/>
      <x:c r="D1401" s="1"/>
      <x:c r="E1401" s="1"/>
      <x:c r="F1401" s="1"/>
      <x:c r="G1401" s="1"/>
      <x:c r="H1401" s="1"/>
      <x:c r="I1401" s="1"/>
      <x:c r="J1401" s="1"/>
      <x:c r="K1401" s="1"/>
      <x:c r="L1401" s="1"/>
      <x:c r="M1401" s="1"/>
      <x:c r="N1401" s="1"/>
      <x:c r="O1401" s="1"/>
      <x:c r="P1401" s="1"/>
      <x:c r="Q1401" s="1"/>
      <x:c r="R1401" s="1"/>
      <x:c r="S1401" s="1"/>
      <x:c r="T1401" s="1"/>
      <x:c r="U1401" s="1"/>
      <x:c r="V1401" s="1"/>
    </x:row>
    <x:row r="1402">
      <x:c r="A1402" s="1"/>
      <x:c r="B1402" s="1"/>
      <x:c r="C1402" s="1"/>
      <x:c r="D1402" s="1"/>
      <x:c r="E1402" s="1"/>
      <x:c r="F1402" s="1"/>
      <x:c r="G1402" s="1"/>
      <x:c r="H1402" s="1"/>
      <x:c r="I1402" s="1"/>
      <x:c r="J1402" s="1"/>
      <x:c r="K1402" s="1"/>
      <x:c r="L1402" s="1"/>
      <x:c r="M1402" s="1"/>
      <x:c r="N1402" s="1"/>
      <x:c r="O1402" s="1"/>
      <x:c r="P1402" s="1"/>
      <x:c r="Q1402" s="1"/>
      <x:c r="R1402" s="1"/>
      <x:c r="S1402" s="1"/>
      <x:c r="T1402" s="1"/>
      <x:c r="U1402" s="1"/>
      <x:c r="V1402" s="1"/>
    </x:row>
    <x:row r="1403">
      <x:c r="A1403" s="1"/>
      <x:c r="B1403" s="1"/>
      <x:c r="C1403" s="1"/>
      <x:c r="D1403" s="1"/>
      <x:c r="E1403" s="1"/>
      <x:c r="F1403" s="1"/>
      <x:c r="G1403" s="1"/>
      <x:c r="H1403" s="1"/>
      <x:c r="I1403" s="1"/>
      <x:c r="J1403" s="1"/>
      <x:c r="K1403" s="1"/>
      <x:c r="L1403" s="1"/>
      <x:c r="M1403" s="1"/>
      <x:c r="N1403" s="1"/>
      <x:c r="O1403" s="1"/>
      <x:c r="P1403" s="1"/>
      <x:c r="Q1403" s="1"/>
      <x:c r="R1403" s="1"/>
      <x:c r="S1403" s="1"/>
      <x:c r="T1403" s="1"/>
      <x:c r="U1403" s="1"/>
      <x:c r="V1403" s="1"/>
    </x:row>
    <x:row r="1404">
      <x:c r="A1404" s="1"/>
      <x:c r="B1404" s="1"/>
      <x:c r="C1404" s="1"/>
      <x:c r="D1404" s="1"/>
      <x:c r="E1404" s="1"/>
      <x:c r="F1404" s="1"/>
      <x:c r="G1404" s="1"/>
      <x:c r="H1404" s="1"/>
      <x:c r="I1404" s="1"/>
      <x:c r="J1404" s="1"/>
      <x:c r="K1404" s="1"/>
      <x:c r="L1404" s="1"/>
      <x:c r="M1404" s="1"/>
      <x:c r="N1404" s="1"/>
      <x:c r="O1404" s="1"/>
      <x:c r="P1404" s="1"/>
      <x:c r="Q1404" s="1"/>
      <x:c r="R1404" s="1"/>
      <x:c r="S1404" s="1"/>
      <x:c r="T1404" s="1"/>
      <x:c r="U1404" s="1"/>
      <x:c r="V1404" s="1"/>
    </x:row>
    <x:row r="1405">
      <x:c r="A1405" s="1"/>
      <x:c r="B1405" s="1"/>
      <x:c r="C1405" s="1"/>
      <x:c r="D1405" s="1"/>
      <x:c r="E1405" s="1"/>
      <x:c r="F1405" s="1"/>
      <x:c r="G1405" s="1"/>
      <x:c r="H1405" s="1"/>
      <x:c r="I1405" s="1"/>
      <x:c r="J1405" s="1"/>
      <x:c r="K1405" s="1"/>
      <x:c r="L1405" s="1"/>
      <x:c r="M1405" s="1"/>
      <x:c r="N1405" s="1"/>
      <x:c r="O1405" s="1"/>
      <x:c r="P1405" s="1"/>
      <x:c r="Q1405" s="1"/>
      <x:c r="R1405" s="1"/>
      <x:c r="S1405" s="1"/>
      <x:c r="T1405" s="1"/>
      <x:c r="U1405" s="1"/>
      <x:c r="V1405" s="1"/>
    </x:row>
    <x:row r="1406">
      <x:c r="A1406" s="1"/>
      <x:c r="B1406" s="1"/>
      <x:c r="C1406" s="1"/>
      <x:c r="D1406" s="1"/>
      <x:c r="E1406" s="1"/>
      <x:c r="F1406" s="1"/>
      <x:c r="G1406" s="1"/>
      <x:c r="H1406" s="1"/>
      <x:c r="I1406" s="1"/>
      <x:c r="J1406" s="1"/>
      <x:c r="K1406" s="1"/>
      <x:c r="L1406" s="1"/>
      <x:c r="M1406" s="1"/>
      <x:c r="N1406" s="1"/>
      <x:c r="O1406" s="1"/>
      <x:c r="P1406" s="1"/>
      <x:c r="Q1406" s="1"/>
      <x:c r="R1406" s="1"/>
      <x:c r="S1406" s="1"/>
      <x:c r="T1406" s="1"/>
      <x:c r="U1406" s="1"/>
      <x:c r="V1406" s="1"/>
    </x:row>
    <x:row r="1407">
      <x:c r="A1407" s="1"/>
      <x:c r="B1407" s="1"/>
      <x:c r="C1407" s="1"/>
      <x:c r="D1407" s="1"/>
      <x:c r="E1407" s="1"/>
      <x:c r="F1407" s="1"/>
      <x:c r="G1407" s="1"/>
      <x:c r="H1407" s="1"/>
      <x:c r="I1407" s="1"/>
      <x:c r="J1407" s="1"/>
      <x:c r="K1407" s="1"/>
      <x:c r="L1407" s="1"/>
      <x:c r="M1407" s="1"/>
      <x:c r="N1407" s="1"/>
      <x:c r="O1407" s="1"/>
      <x:c r="P1407" s="1"/>
      <x:c r="Q1407" s="1"/>
      <x:c r="R1407" s="1"/>
      <x:c r="S1407" s="1"/>
      <x:c r="T1407" s="1"/>
      <x:c r="U1407" s="1"/>
      <x:c r="V1407" s="1"/>
    </x:row>
    <x:row r="1408">
      <x:c r="A1408" s="1"/>
      <x:c r="B1408" s="1"/>
      <x:c r="C1408" s="1"/>
      <x:c r="D1408" s="1"/>
      <x:c r="E1408" s="1"/>
      <x:c r="F1408" s="1"/>
      <x:c r="G1408" s="1"/>
      <x:c r="H1408" s="1"/>
      <x:c r="I1408" s="1"/>
      <x:c r="J1408" s="1"/>
      <x:c r="K1408" s="1"/>
      <x:c r="L1408" s="1"/>
      <x:c r="M1408" s="1"/>
      <x:c r="N1408" s="1"/>
      <x:c r="O1408" s="1"/>
      <x:c r="P1408" s="1"/>
      <x:c r="Q1408" s="1"/>
      <x:c r="R1408" s="1"/>
      <x:c r="S1408" s="1"/>
      <x:c r="T1408" s="1"/>
      <x:c r="U1408" s="1"/>
      <x:c r="V1408" s="1"/>
    </x:row>
    <x:row r="1409">
      <x:c r="A1409" s="1"/>
      <x:c r="B1409" s="1"/>
      <x:c r="C1409" s="1"/>
      <x:c r="D1409" s="1"/>
      <x:c r="E1409" s="1"/>
      <x:c r="F1409" s="1"/>
      <x:c r="G1409" s="1"/>
      <x:c r="H1409" s="1"/>
      <x:c r="I1409" s="1"/>
      <x:c r="J1409" s="1"/>
      <x:c r="K1409" s="1"/>
      <x:c r="L1409" s="1"/>
      <x:c r="M1409" s="1"/>
      <x:c r="N1409" s="1"/>
      <x:c r="O1409" s="1"/>
      <x:c r="P1409" s="1"/>
      <x:c r="Q1409" s="1"/>
      <x:c r="R1409" s="1"/>
      <x:c r="S1409" s="1"/>
      <x:c r="T1409" s="1"/>
      <x:c r="U1409" s="1"/>
      <x:c r="V1409" s="1"/>
    </x:row>
    <x:row r="1410">
      <x:c r="A1410" s="1"/>
      <x:c r="B1410" s="1"/>
      <x:c r="C1410" s="1"/>
      <x:c r="D1410" s="1"/>
      <x:c r="E1410" s="1"/>
      <x:c r="F1410" s="1"/>
      <x:c r="G1410" s="1"/>
      <x:c r="H1410" s="1"/>
      <x:c r="I1410" s="1"/>
      <x:c r="J1410" s="1"/>
      <x:c r="K1410" s="1"/>
      <x:c r="L1410" s="1"/>
      <x:c r="M1410" s="1"/>
      <x:c r="N1410" s="1"/>
      <x:c r="O1410" s="1"/>
      <x:c r="P1410" s="1"/>
      <x:c r="Q1410" s="1"/>
      <x:c r="R1410" s="1"/>
      <x:c r="S1410" s="1"/>
      <x:c r="T1410" s="1"/>
      <x:c r="U1410" s="1"/>
      <x:c r="V1410" s="1"/>
    </x:row>
    <x:row r="1411">
      <x:c r="A1411" s="1"/>
      <x:c r="B1411" s="1"/>
      <x:c r="C1411" s="1"/>
      <x:c r="D1411" s="1"/>
      <x:c r="E1411" s="1"/>
      <x:c r="F1411" s="1"/>
      <x:c r="G1411" s="1"/>
      <x:c r="H1411" s="1"/>
      <x:c r="I1411" s="1"/>
      <x:c r="J1411" s="1"/>
      <x:c r="K1411" s="1"/>
      <x:c r="L1411" s="1"/>
      <x:c r="M1411" s="1"/>
      <x:c r="N1411" s="1"/>
      <x:c r="O1411" s="1"/>
      <x:c r="P1411" s="1"/>
      <x:c r="Q1411" s="1"/>
      <x:c r="R1411" s="1"/>
      <x:c r="S1411" s="1"/>
      <x:c r="T1411" s="1"/>
      <x:c r="U1411" s="1"/>
      <x:c r="V1411" s="1"/>
    </x:row>
    <x:row r="1412">
      <x:c r="A1412" s="1"/>
      <x:c r="B1412" s="1"/>
      <x:c r="C1412" s="1"/>
      <x:c r="D1412" s="1"/>
      <x:c r="E1412" s="1"/>
      <x:c r="F1412" s="1"/>
      <x:c r="G1412" s="1"/>
      <x:c r="H1412" s="1"/>
      <x:c r="I1412" s="1"/>
      <x:c r="J1412" s="1"/>
      <x:c r="K1412" s="1"/>
      <x:c r="L1412" s="1"/>
      <x:c r="M1412" s="1"/>
      <x:c r="N1412" s="1"/>
      <x:c r="O1412" s="1"/>
      <x:c r="P1412" s="1"/>
      <x:c r="Q1412" s="1"/>
      <x:c r="R1412" s="1"/>
      <x:c r="S1412" s="1"/>
      <x:c r="T1412" s="1"/>
      <x:c r="U1412" s="1"/>
      <x:c r="V1412" s="1"/>
    </x:row>
    <x:row r="1413">
      <x:c r="A1413" s="1"/>
      <x:c r="B1413" s="1"/>
      <x:c r="C1413" s="1"/>
      <x:c r="D1413" s="1"/>
      <x:c r="E1413" s="1"/>
      <x:c r="F1413" s="1"/>
      <x:c r="G1413" s="1"/>
      <x:c r="H1413" s="1"/>
      <x:c r="I1413" s="1"/>
      <x:c r="J1413" s="1"/>
      <x:c r="K1413" s="1"/>
      <x:c r="L1413" s="1"/>
      <x:c r="M1413" s="1"/>
      <x:c r="N1413" s="1"/>
      <x:c r="O1413" s="1"/>
      <x:c r="P1413" s="1"/>
      <x:c r="Q1413" s="1"/>
      <x:c r="R1413" s="1"/>
      <x:c r="S1413" s="1"/>
      <x:c r="T1413" s="1"/>
      <x:c r="U1413" s="1"/>
      <x:c r="V1413" s="1"/>
    </x:row>
    <x:row r="1414">
      <x:c r="A1414" s="1"/>
      <x:c r="B1414" s="1"/>
      <x:c r="C1414" s="1"/>
      <x:c r="D1414" s="1"/>
      <x:c r="E1414" s="1"/>
      <x:c r="F1414" s="1"/>
      <x:c r="G1414" s="1"/>
      <x:c r="H1414" s="1"/>
      <x:c r="I1414" s="1"/>
      <x:c r="J1414" s="1"/>
      <x:c r="K1414" s="1"/>
      <x:c r="L1414" s="1"/>
      <x:c r="M1414" s="1"/>
      <x:c r="N1414" s="1"/>
      <x:c r="O1414" s="1"/>
      <x:c r="P1414" s="1"/>
      <x:c r="Q1414" s="1"/>
      <x:c r="R1414" s="1"/>
      <x:c r="S1414" s="1"/>
      <x:c r="T1414" s="1"/>
      <x:c r="U1414" s="1"/>
      <x:c r="V1414" s="1"/>
    </x:row>
    <x:row r="1415">
      <x:c r="A1415" s="1"/>
      <x:c r="B1415" s="1"/>
      <x:c r="C1415" s="1"/>
      <x:c r="D1415" s="1"/>
      <x:c r="E1415" s="1"/>
      <x:c r="F1415" s="1"/>
      <x:c r="G1415" s="1"/>
      <x:c r="H1415" s="1"/>
      <x:c r="I1415" s="1"/>
      <x:c r="J1415" s="1"/>
      <x:c r="K1415" s="1"/>
      <x:c r="L1415" s="1"/>
      <x:c r="M1415" s="1"/>
      <x:c r="N1415" s="1"/>
      <x:c r="O1415" s="1"/>
      <x:c r="P1415" s="1"/>
      <x:c r="Q1415" s="1"/>
      <x:c r="R1415" s="1"/>
      <x:c r="S1415" s="1"/>
      <x:c r="T1415" s="1"/>
      <x:c r="U1415" s="1"/>
      <x:c r="V1415" s="1"/>
    </x:row>
    <x:row r="1416">
      <x:c r="A1416" s="1"/>
      <x:c r="B1416" s="1"/>
      <x:c r="C1416" s="1"/>
      <x:c r="D1416" s="1"/>
      <x:c r="E1416" s="1"/>
      <x:c r="F1416" s="1"/>
      <x:c r="G1416" s="1"/>
      <x:c r="H1416" s="1"/>
      <x:c r="I1416" s="1"/>
      <x:c r="J1416" s="1"/>
      <x:c r="K1416" s="1"/>
      <x:c r="L1416" s="1"/>
      <x:c r="M1416" s="1"/>
      <x:c r="N1416" s="1"/>
      <x:c r="O1416" s="1"/>
      <x:c r="P1416" s="1"/>
      <x:c r="Q1416" s="1"/>
      <x:c r="R1416" s="1"/>
      <x:c r="S1416" s="1"/>
      <x:c r="T1416" s="1"/>
      <x:c r="U1416" s="1"/>
      <x:c r="V1416" s="1"/>
    </x:row>
    <x:row r="1417">
      <x:c r="A1417" s="1"/>
      <x:c r="B1417" s="1"/>
      <x:c r="C1417" s="1"/>
      <x:c r="D1417" s="1"/>
      <x:c r="E1417" s="1"/>
      <x:c r="F1417" s="1"/>
      <x:c r="G1417" s="1"/>
      <x:c r="H1417" s="1"/>
      <x:c r="I1417" s="1"/>
      <x:c r="J1417" s="1"/>
      <x:c r="K1417" s="1"/>
      <x:c r="L1417" s="1"/>
      <x:c r="M1417" s="1"/>
      <x:c r="N1417" s="1"/>
      <x:c r="O1417" s="1"/>
      <x:c r="P1417" s="1"/>
      <x:c r="Q1417" s="1"/>
      <x:c r="R1417" s="1"/>
      <x:c r="S1417" s="1"/>
      <x:c r="T1417" s="1"/>
      <x:c r="U1417" s="1"/>
      <x:c r="V1417" s="1"/>
    </x:row>
    <x:row r="1418">
      <x:c r="A1418" s="1"/>
      <x:c r="B1418" s="1"/>
      <x:c r="C1418" s="1"/>
      <x:c r="D1418" s="1"/>
      <x:c r="E1418" s="1"/>
      <x:c r="F1418" s="1"/>
      <x:c r="G1418" s="1"/>
      <x:c r="H1418" s="1"/>
      <x:c r="I1418" s="1"/>
      <x:c r="J1418" s="1"/>
      <x:c r="K1418" s="1"/>
      <x:c r="L1418" s="1"/>
      <x:c r="M1418" s="1"/>
      <x:c r="N1418" s="1"/>
      <x:c r="O1418" s="1"/>
      <x:c r="P1418" s="1"/>
      <x:c r="Q1418" s="1"/>
      <x:c r="R1418" s="1"/>
      <x:c r="S1418" s="1"/>
      <x:c r="T1418" s="1"/>
      <x:c r="U1418" s="1"/>
      <x:c r="V1418" s="1"/>
    </x:row>
    <x:row r="1419">
      <x:c r="A1419" s="1"/>
      <x:c r="B1419" s="1"/>
      <x:c r="C1419" s="1"/>
      <x:c r="D1419" s="1"/>
      <x:c r="E1419" s="1"/>
      <x:c r="F1419" s="1"/>
      <x:c r="G1419" s="1"/>
      <x:c r="H1419" s="1"/>
      <x:c r="I1419" s="1"/>
      <x:c r="J1419" s="1"/>
      <x:c r="K1419" s="1"/>
      <x:c r="L1419" s="1"/>
      <x:c r="M1419" s="1"/>
      <x:c r="N1419" s="1"/>
      <x:c r="O1419" s="1"/>
      <x:c r="P1419" s="1"/>
      <x:c r="Q1419" s="1"/>
      <x:c r="R1419" s="1"/>
      <x:c r="S1419" s="1"/>
      <x:c r="T1419" s="1"/>
      <x:c r="U1419" s="1"/>
      <x:c r="V1419" s="1"/>
    </x:row>
    <x:row r="1420">
      <x:c r="A1420" s="1"/>
      <x:c r="B1420" s="1"/>
      <x:c r="C1420" s="1"/>
      <x:c r="D1420" s="1"/>
      <x:c r="E1420" s="1"/>
      <x:c r="F1420" s="1"/>
      <x:c r="G1420" s="1"/>
      <x:c r="H1420" s="1"/>
      <x:c r="I1420" s="1"/>
      <x:c r="J1420" s="1"/>
      <x:c r="K1420" s="1"/>
      <x:c r="L1420" s="1"/>
      <x:c r="M1420" s="1"/>
      <x:c r="N1420" s="1"/>
      <x:c r="O1420" s="1"/>
      <x:c r="P1420" s="1"/>
      <x:c r="Q1420" s="1"/>
      <x:c r="R1420" s="1"/>
      <x:c r="S1420" s="1"/>
      <x:c r="T1420" s="1"/>
      <x:c r="U1420" s="1"/>
      <x:c r="V1420" s="1"/>
    </x:row>
    <x:row r="1421">
      <x:c r="A1421" s="1"/>
      <x:c r="B1421" s="1"/>
      <x:c r="C1421" s="1"/>
      <x:c r="D1421" s="1"/>
      <x:c r="E1421" s="1"/>
      <x:c r="F1421" s="1"/>
      <x:c r="G1421" s="1"/>
      <x:c r="H1421" s="1"/>
      <x:c r="I1421" s="1"/>
      <x:c r="J1421" s="1"/>
      <x:c r="K1421" s="1"/>
      <x:c r="L1421" s="1"/>
      <x:c r="M1421" s="1"/>
      <x:c r="N1421" s="1"/>
      <x:c r="O1421" s="1"/>
      <x:c r="P1421" s="1"/>
      <x:c r="Q1421" s="1"/>
      <x:c r="R1421" s="1"/>
      <x:c r="S1421" s="1"/>
      <x:c r="T1421" s="1"/>
      <x:c r="U1421" s="1"/>
      <x:c r="V1421" s="1"/>
    </x:row>
    <x:row r="1422">
      <x:c r="A1422" s="1"/>
      <x:c r="B1422" s="1"/>
      <x:c r="C1422" s="1"/>
      <x:c r="D1422" s="1"/>
      <x:c r="E1422" s="1"/>
      <x:c r="F1422" s="1"/>
      <x:c r="G1422" s="1"/>
      <x:c r="H1422" s="1"/>
      <x:c r="I1422" s="1"/>
      <x:c r="J1422" s="1"/>
      <x:c r="K1422" s="1"/>
      <x:c r="L1422" s="1"/>
      <x:c r="M1422" s="1"/>
      <x:c r="N1422" s="1"/>
      <x:c r="O1422" s="1"/>
      <x:c r="P1422" s="1"/>
      <x:c r="Q1422" s="1"/>
      <x:c r="R1422" s="1"/>
      <x:c r="S1422" s="1"/>
      <x:c r="T1422" s="1"/>
      <x:c r="U1422" s="1"/>
      <x:c r="V1422" s="1"/>
    </x:row>
    <x:row r="1423">
      <x:c r="A1423" s="1"/>
      <x:c r="B1423" s="1"/>
      <x:c r="C1423" s="1"/>
      <x:c r="D1423" s="1"/>
      <x:c r="E1423" s="1"/>
      <x:c r="F1423" s="1"/>
      <x:c r="G1423" s="1"/>
      <x:c r="H1423" s="1"/>
      <x:c r="I1423" s="1"/>
      <x:c r="J1423" s="1"/>
      <x:c r="K1423" s="1"/>
      <x:c r="L1423" s="1"/>
      <x:c r="M1423" s="1"/>
      <x:c r="N1423" s="1"/>
      <x:c r="O1423" s="1"/>
      <x:c r="P1423" s="1"/>
      <x:c r="Q1423" s="1"/>
      <x:c r="R1423" s="1"/>
      <x:c r="S1423" s="1"/>
      <x:c r="T1423" s="1"/>
      <x:c r="U1423" s="1"/>
      <x:c r="V1423" s="1"/>
    </x:row>
    <x:row r="1424">
      <x:c r="A1424" s="1"/>
      <x:c r="B1424" s="1"/>
      <x:c r="C1424" s="1"/>
      <x:c r="D1424" s="1"/>
      <x:c r="E1424" s="1"/>
      <x:c r="F1424" s="1"/>
      <x:c r="G1424" s="1"/>
      <x:c r="H1424" s="1"/>
      <x:c r="I1424" s="1"/>
      <x:c r="J1424" s="1"/>
      <x:c r="K1424" s="1"/>
      <x:c r="L1424" s="1"/>
      <x:c r="M1424" s="1"/>
      <x:c r="N1424" s="1"/>
      <x:c r="O1424" s="1"/>
      <x:c r="P1424" s="1"/>
      <x:c r="Q1424" s="1"/>
      <x:c r="R1424" s="1"/>
      <x:c r="S1424" s="1"/>
      <x:c r="T1424" s="1"/>
      <x:c r="U1424" s="1"/>
      <x:c r="V1424" s="1"/>
    </x:row>
    <x:row r="1425">
      <x:c r="A1425" s="1"/>
      <x:c r="B1425" s="1"/>
      <x:c r="C1425" s="1"/>
      <x:c r="D1425" s="1"/>
      <x:c r="E1425" s="1"/>
      <x:c r="F1425" s="1"/>
      <x:c r="G1425" s="1"/>
      <x:c r="H1425" s="1"/>
      <x:c r="I1425" s="1"/>
      <x:c r="J1425" s="1"/>
      <x:c r="K1425" s="1"/>
      <x:c r="L1425" s="1"/>
      <x:c r="M1425" s="1"/>
      <x:c r="N1425" s="1"/>
      <x:c r="O1425" s="1"/>
      <x:c r="P1425" s="1"/>
      <x:c r="Q1425" s="1"/>
      <x:c r="R1425" s="1"/>
      <x:c r="S1425" s="1"/>
      <x:c r="T1425" s="1"/>
      <x:c r="U1425" s="1"/>
      <x:c r="V1425" s="1"/>
    </x:row>
    <x:row r="1426">
      <x:c r="A1426" s="1"/>
      <x:c r="B1426" s="1"/>
      <x:c r="C1426" s="1"/>
      <x:c r="D1426" s="1"/>
      <x:c r="E1426" s="1"/>
      <x:c r="F1426" s="1"/>
      <x:c r="G1426" s="1"/>
      <x:c r="H1426" s="1"/>
      <x:c r="I1426" s="1"/>
      <x:c r="J1426" s="1"/>
      <x:c r="K1426" s="1"/>
      <x:c r="L1426" s="1"/>
      <x:c r="M1426" s="1"/>
      <x:c r="N1426" s="1"/>
      <x:c r="O1426" s="1"/>
      <x:c r="P1426" s="1"/>
      <x:c r="Q1426" s="1"/>
      <x:c r="R1426" s="1"/>
      <x:c r="S1426" s="1"/>
      <x:c r="T1426" s="1"/>
      <x:c r="U1426" s="1"/>
      <x:c r="V1426" s="1"/>
    </x:row>
    <x:row r="1427">
      <x:c r="A1427" s="1"/>
      <x:c r="B1427" s="1"/>
      <x:c r="C1427" s="1"/>
      <x:c r="D1427" s="1"/>
      <x:c r="E1427" s="1"/>
      <x:c r="F1427" s="1"/>
      <x:c r="G1427" s="1"/>
      <x:c r="H1427" s="1"/>
      <x:c r="I1427" s="1"/>
      <x:c r="J1427" s="1"/>
      <x:c r="K1427" s="1"/>
      <x:c r="L1427" s="1"/>
      <x:c r="M1427" s="1"/>
      <x:c r="N1427" s="1"/>
      <x:c r="O1427" s="1"/>
      <x:c r="P1427" s="1"/>
      <x:c r="Q1427" s="1"/>
      <x:c r="R1427" s="1"/>
      <x:c r="S1427" s="1"/>
      <x:c r="T1427" s="1"/>
      <x:c r="U1427" s="1"/>
      <x:c r="V1427" s="1"/>
    </x:row>
    <x:row r="1428">
      <x:c r="A1428" s="1"/>
      <x:c r="B1428" s="1"/>
      <x:c r="C1428" s="1"/>
      <x:c r="D1428" s="1"/>
      <x:c r="E1428" s="1"/>
      <x:c r="F1428" s="1"/>
      <x:c r="G1428" s="1"/>
      <x:c r="H1428" s="1"/>
      <x:c r="I1428" s="1"/>
      <x:c r="J1428" s="1"/>
      <x:c r="K1428" s="1"/>
      <x:c r="L1428" s="1"/>
      <x:c r="M1428" s="1"/>
      <x:c r="N1428" s="1"/>
      <x:c r="O1428" s="1"/>
      <x:c r="P1428" s="1"/>
      <x:c r="Q1428" s="1"/>
      <x:c r="R1428" s="1"/>
      <x:c r="S1428" s="1"/>
      <x:c r="T1428" s="1"/>
      <x:c r="U1428" s="1"/>
      <x:c r="V1428" s="1"/>
    </x:row>
    <x:row r="1429">
      <x:c r="A1429" s="1"/>
      <x:c r="B1429" s="1"/>
      <x:c r="C1429" s="1"/>
      <x:c r="D1429" s="1"/>
      <x:c r="E1429" s="1"/>
      <x:c r="F1429" s="1"/>
      <x:c r="G1429" s="1"/>
      <x:c r="H1429" s="1"/>
      <x:c r="I1429" s="1"/>
      <x:c r="J1429" s="1"/>
      <x:c r="K1429" s="1"/>
      <x:c r="L1429" s="1"/>
      <x:c r="M1429" s="1"/>
      <x:c r="N1429" s="1"/>
      <x:c r="O1429" s="1"/>
      <x:c r="P1429" s="1"/>
      <x:c r="Q1429" s="1"/>
      <x:c r="R1429" s="1"/>
      <x:c r="S1429" s="1"/>
      <x:c r="T1429" s="1"/>
      <x:c r="U1429" s="1"/>
      <x:c r="V1429" s="1"/>
    </x:row>
    <x:row r="1430">
      <x:c r="A1430" s="1"/>
      <x:c r="B1430" s="1"/>
      <x:c r="C1430" s="1"/>
      <x:c r="D1430" s="1"/>
      <x:c r="E1430" s="1"/>
      <x:c r="F1430" s="1"/>
      <x:c r="G1430" s="1"/>
      <x:c r="H1430" s="1"/>
      <x:c r="I1430" s="1"/>
      <x:c r="J1430" s="1"/>
      <x:c r="K1430" s="1"/>
      <x:c r="L1430" s="1"/>
      <x:c r="M1430" s="1"/>
      <x:c r="N1430" s="1"/>
      <x:c r="O1430" s="1"/>
      <x:c r="P1430" s="1"/>
      <x:c r="Q1430" s="1"/>
      <x:c r="R1430" s="1"/>
      <x:c r="S1430" s="1"/>
      <x:c r="T1430" s="1"/>
      <x:c r="U1430" s="1"/>
      <x:c r="V1430" s="1"/>
    </x:row>
    <x:row r="1431">
      <x:c r="A1431" s="1"/>
      <x:c r="B1431" s="1"/>
      <x:c r="C1431" s="1"/>
      <x:c r="D1431" s="1"/>
      <x:c r="E1431" s="1"/>
      <x:c r="F1431" s="1"/>
      <x:c r="G1431" s="1"/>
      <x:c r="H1431" s="1"/>
      <x:c r="I1431" s="1"/>
      <x:c r="J1431" s="1"/>
      <x:c r="K1431" s="1"/>
      <x:c r="L1431" s="1"/>
      <x:c r="M1431" s="1"/>
      <x:c r="N1431" s="1"/>
      <x:c r="O1431" s="1"/>
      <x:c r="P1431" s="1"/>
      <x:c r="Q1431" s="1"/>
      <x:c r="R1431" s="1"/>
      <x:c r="S1431" s="1"/>
      <x:c r="T1431" s="1"/>
      <x:c r="U1431" s="1"/>
      <x:c r="V1431" s="1"/>
    </x:row>
    <x:row r="1432">
      <x:c r="A1432" s="1"/>
      <x:c r="B1432" s="1"/>
      <x:c r="C1432" s="1"/>
      <x:c r="D1432" s="1"/>
      <x:c r="E1432" s="1"/>
      <x:c r="F1432" s="1"/>
      <x:c r="G1432" s="1"/>
      <x:c r="H1432" s="1"/>
      <x:c r="I1432" s="1"/>
      <x:c r="J1432" s="1"/>
      <x:c r="K1432" s="1"/>
      <x:c r="L1432" s="1"/>
      <x:c r="M1432" s="1"/>
      <x:c r="N1432" s="1"/>
      <x:c r="O1432" s="1"/>
      <x:c r="P1432" s="1"/>
      <x:c r="Q1432" s="1"/>
      <x:c r="R1432" s="1"/>
      <x:c r="S1432" s="1"/>
      <x:c r="T1432" s="1"/>
      <x:c r="U1432" s="1"/>
      <x:c r="V1432" s="1"/>
    </x:row>
    <x:row r="1433">
      <x:c r="A1433" s="1"/>
      <x:c r="B1433" s="1"/>
      <x:c r="C1433" s="1"/>
      <x:c r="D1433" s="1"/>
      <x:c r="E1433" s="1"/>
      <x:c r="F1433" s="1"/>
      <x:c r="G1433" s="1"/>
      <x:c r="H1433" s="1"/>
      <x:c r="I1433" s="1"/>
      <x:c r="J1433" s="1"/>
      <x:c r="K1433" s="1"/>
      <x:c r="L1433" s="1"/>
      <x:c r="M1433" s="1"/>
      <x:c r="N1433" s="1"/>
      <x:c r="O1433" s="1"/>
      <x:c r="P1433" s="1"/>
      <x:c r="Q1433" s="1"/>
      <x:c r="R1433" s="1"/>
      <x:c r="S1433" s="1"/>
      <x:c r="T1433" s="1"/>
      <x:c r="U1433" s="1"/>
      <x:c r="V1433" s="1"/>
    </x:row>
    <x:row r="1434">
      <x:c r="A1434" s="1"/>
      <x:c r="B1434" s="1"/>
      <x:c r="C1434" s="1"/>
      <x:c r="D1434" s="1"/>
      <x:c r="E1434" s="1"/>
      <x:c r="F1434" s="1"/>
      <x:c r="G1434" s="1"/>
      <x:c r="H1434" s="1"/>
      <x:c r="I1434" s="1"/>
      <x:c r="J1434" s="1"/>
      <x:c r="K1434" s="1"/>
      <x:c r="L1434" s="1"/>
      <x:c r="M1434" s="1"/>
      <x:c r="N1434" s="1"/>
      <x:c r="O1434" s="1"/>
      <x:c r="P1434" s="1"/>
      <x:c r="Q1434" s="1"/>
      <x:c r="R1434" s="1"/>
      <x:c r="S1434" s="1"/>
      <x:c r="T1434" s="1"/>
      <x:c r="U1434" s="1"/>
      <x:c r="V1434" s="1"/>
    </x:row>
    <x:row r="1435">
      <x:c r="A1435" s="1"/>
      <x:c r="B1435" s="1"/>
      <x:c r="C1435" s="1"/>
      <x:c r="D1435" s="1"/>
      <x:c r="E1435" s="1"/>
      <x:c r="F1435" s="1"/>
      <x:c r="G1435" s="1"/>
      <x:c r="H1435" s="1"/>
      <x:c r="I1435" s="1"/>
      <x:c r="J1435" s="1"/>
      <x:c r="K1435" s="1"/>
      <x:c r="L1435" s="1"/>
      <x:c r="M1435" s="1"/>
      <x:c r="N1435" s="1"/>
      <x:c r="O1435" s="1"/>
      <x:c r="P1435" s="1"/>
      <x:c r="Q1435" s="1"/>
      <x:c r="R1435" s="1"/>
      <x:c r="S1435" s="1"/>
      <x:c r="T1435" s="1"/>
      <x:c r="U1435" s="1"/>
      <x:c r="V1435" s="1"/>
    </x:row>
    <x:row r="1436">
      <x:c r="A1436" s="1"/>
      <x:c r="B1436" s="1"/>
      <x:c r="C1436" s="1"/>
      <x:c r="D1436" s="1"/>
      <x:c r="E1436" s="1"/>
      <x:c r="F1436" s="1"/>
      <x:c r="G1436" s="1"/>
      <x:c r="H1436" s="1"/>
      <x:c r="I1436" s="1"/>
      <x:c r="J1436" s="1"/>
      <x:c r="K1436" s="1"/>
      <x:c r="L1436" s="1"/>
      <x:c r="M1436" s="1"/>
      <x:c r="N1436" s="1"/>
      <x:c r="O1436" s="1"/>
      <x:c r="P1436" s="1"/>
      <x:c r="Q1436" s="1"/>
      <x:c r="R1436" s="1"/>
      <x:c r="S1436" s="1"/>
      <x:c r="T1436" s="1"/>
      <x:c r="U1436" s="1"/>
      <x:c r="V1436" s="1"/>
    </x:row>
    <x:row r="1437">
      <x:c r="A1437" s="1"/>
      <x:c r="B1437" s="1"/>
      <x:c r="C1437" s="1"/>
      <x:c r="D1437" s="1"/>
      <x:c r="E1437" s="1"/>
      <x:c r="F1437" s="1"/>
      <x:c r="G1437" s="1"/>
      <x:c r="H1437" s="1"/>
      <x:c r="I1437" s="1"/>
      <x:c r="J1437" s="1"/>
      <x:c r="K1437" s="1"/>
      <x:c r="L1437" s="1"/>
      <x:c r="M1437" s="1"/>
      <x:c r="N1437" s="1"/>
      <x:c r="O1437" s="1"/>
      <x:c r="P1437" s="1"/>
      <x:c r="Q1437" s="1"/>
      <x:c r="R1437" s="1"/>
      <x:c r="S1437" s="1"/>
      <x:c r="T1437" s="1"/>
      <x:c r="U1437" s="1"/>
      <x:c r="V1437" s="1"/>
    </x:row>
    <x:row r="1438">
      <x:c r="A1438" s="1"/>
      <x:c r="B1438" s="1"/>
      <x:c r="C1438" s="1"/>
      <x:c r="D1438" s="1"/>
      <x:c r="E1438" s="1"/>
      <x:c r="F1438" s="1"/>
      <x:c r="G1438" s="1"/>
      <x:c r="H1438" s="1"/>
      <x:c r="I1438" s="1"/>
      <x:c r="J1438" s="1"/>
      <x:c r="K1438" s="1"/>
      <x:c r="L1438" s="1"/>
      <x:c r="M1438" s="1"/>
      <x:c r="N1438" s="1"/>
      <x:c r="O1438" s="1"/>
      <x:c r="P1438" s="1"/>
      <x:c r="Q1438" s="1"/>
      <x:c r="R1438" s="1"/>
      <x:c r="S1438" s="1"/>
      <x:c r="T1438" s="1"/>
      <x:c r="U1438" s="1"/>
      <x:c r="V1438" s="1"/>
    </x:row>
    <x:row r="1439">
      <x:c r="A1439" s="1"/>
      <x:c r="B1439" s="1"/>
      <x:c r="C1439" s="1"/>
      <x:c r="D1439" s="1"/>
      <x:c r="E1439" s="1"/>
      <x:c r="F1439" s="1"/>
      <x:c r="G1439" s="1"/>
      <x:c r="H1439" s="1"/>
      <x:c r="I1439" s="1"/>
      <x:c r="J1439" s="1"/>
      <x:c r="K1439" s="1"/>
      <x:c r="L1439" s="1"/>
      <x:c r="M1439" s="1"/>
      <x:c r="N1439" s="1"/>
      <x:c r="O1439" s="1"/>
      <x:c r="P1439" s="1"/>
      <x:c r="Q1439" s="1"/>
      <x:c r="R1439" s="1"/>
      <x:c r="S1439" s="1"/>
      <x:c r="T1439" s="1"/>
      <x:c r="U1439" s="1"/>
      <x:c r="V1439" s="1"/>
    </x:row>
    <x:row r="1440">
      <x:c r="A1440" s="1"/>
      <x:c r="B1440" s="1"/>
      <x:c r="C1440" s="1"/>
      <x:c r="D1440" s="1"/>
      <x:c r="E1440" s="1"/>
      <x:c r="F1440" s="1"/>
      <x:c r="G1440" s="1"/>
      <x:c r="H1440" s="1"/>
      <x:c r="I1440" s="1"/>
      <x:c r="J1440" s="1"/>
      <x:c r="K1440" s="1"/>
      <x:c r="L1440" s="1"/>
      <x:c r="M1440" s="1"/>
      <x:c r="N1440" s="1"/>
      <x:c r="O1440" s="1"/>
      <x:c r="P1440" s="1"/>
      <x:c r="Q1440" s="1"/>
      <x:c r="R1440" s="1"/>
      <x:c r="S1440" s="1"/>
      <x:c r="T1440" s="1"/>
      <x:c r="U1440" s="1"/>
      <x:c r="V1440" s="1"/>
    </x:row>
    <x:row r="1441">
      <x:c r="A1441" s="1"/>
      <x:c r="B1441" s="1"/>
      <x:c r="C1441" s="1"/>
      <x:c r="D1441" s="1"/>
      <x:c r="E1441" s="1"/>
      <x:c r="F1441" s="1"/>
      <x:c r="G1441" s="1"/>
      <x:c r="H1441" s="1"/>
      <x:c r="I1441" s="1"/>
      <x:c r="J1441" s="1"/>
      <x:c r="K1441" s="1"/>
      <x:c r="L1441" s="1"/>
      <x:c r="M1441" s="1"/>
      <x:c r="N1441" s="1"/>
      <x:c r="O1441" s="1"/>
      <x:c r="P1441" s="1"/>
      <x:c r="Q1441" s="1"/>
      <x:c r="R1441" s="1"/>
      <x:c r="S1441" s="1"/>
      <x:c r="T1441" s="1"/>
      <x:c r="U1441" s="1"/>
      <x:c r="V1441" s="1"/>
    </x:row>
    <x:row r="1442">
      <x:c r="A1442" s="1"/>
      <x:c r="B1442" s="1"/>
      <x:c r="C1442" s="1"/>
      <x:c r="D1442" s="1"/>
      <x:c r="E1442" s="1"/>
      <x:c r="F1442" s="1"/>
      <x:c r="G1442" s="1"/>
      <x:c r="H1442" s="1"/>
      <x:c r="I1442" s="1"/>
      <x:c r="J1442" s="1"/>
      <x:c r="K1442" s="1"/>
      <x:c r="L1442" s="1"/>
      <x:c r="M1442" s="1"/>
      <x:c r="N1442" s="1"/>
      <x:c r="O1442" s="1"/>
      <x:c r="P1442" s="1"/>
      <x:c r="Q1442" s="1"/>
      <x:c r="R1442" s="1"/>
      <x:c r="S1442" s="1"/>
      <x:c r="T1442" s="1"/>
      <x:c r="U1442" s="1"/>
      <x:c r="V1442" s="1"/>
    </x:row>
    <x:row r="1443">
      <x:c r="A1443" s="1"/>
      <x:c r="B1443" s="1"/>
      <x:c r="C1443" s="1"/>
      <x:c r="D1443" s="1"/>
      <x:c r="E1443" s="1"/>
      <x:c r="F1443" s="1"/>
      <x:c r="G1443" s="1"/>
      <x:c r="H1443" s="1"/>
      <x:c r="I1443" s="1"/>
      <x:c r="J1443" s="1"/>
      <x:c r="K1443" s="1"/>
      <x:c r="L1443" s="1"/>
      <x:c r="M1443" s="1"/>
      <x:c r="N1443" s="1"/>
      <x:c r="O1443" s="1"/>
      <x:c r="P1443" s="1"/>
      <x:c r="Q1443" s="1"/>
      <x:c r="R1443" s="1"/>
      <x:c r="S1443" s="1"/>
      <x:c r="T1443" s="1"/>
      <x:c r="U1443" s="1"/>
      <x:c r="V1443" s="1"/>
    </x:row>
    <x:row r="1444">
      <x:c r="A1444" s="1"/>
      <x:c r="B1444" s="1"/>
      <x:c r="C1444" s="1"/>
      <x:c r="D1444" s="1"/>
      <x:c r="E1444" s="1"/>
      <x:c r="F1444" s="1"/>
      <x:c r="G1444" s="1"/>
      <x:c r="H1444" s="1"/>
      <x:c r="I1444" s="1"/>
      <x:c r="J1444" s="1"/>
      <x:c r="K1444" s="1"/>
      <x:c r="L1444" s="1"/>
      <x:c r="M1444" s="1"/>
      <x:c r="N1444" s="1"/>
      <x:c r="O1444" s="1"/>
      <x:c r="P1444" s="1"/>
      <x:c r="Q1444" s="1"/>
      <x:c r="R1444" s="1"/>
      <x:c r="S1444" s="1"/>
      <x:c r="T1444" s="1"/>
      <x:c r="U1444" s="1"/>
      <x:c r="V1444" s="1"/>
    </x:row>
    <x:row r="1445">
      <x:c r="A1445" s="1"/>
      <x:c r="B1445" s="1"/>
      <x:c r="C1445" s="1"/>
      <x:c r="D1445" s="1"/>
      <x:c r="E1445" s="1"/>
      <x:c r="F1445" s="1"/>
      <x:c r="G1445" s="1"/>
      <x:c r="H1445" s="1"/>
      <x:c r="I1445" s="1"/>
      <x:c r="J1445" s="1"/>
      <x:c r="K1445" s="1"/>
      <x:c r="L1445" s="1"/>
      <x:c r="M1445" s="1"/>
      <x:c r="N1445" s="1"/>
      <x:c r="O1445" s="1"/>
      <x:c r="P1445" s="1"/>
      <x:c r="Q1445" s="1"/>
      <x:c r="R1445" s="1"/>
      <x:c r="S1445" s="1"/>
      <x:c r="T1445" s="1"/>
      <x:c r="U1445" s="1"/>
      <x:c r="V1445" s="1"/>
    </x:row>
    <x:row r="1446">
      <x:c r="A1446" s="1"/>
      <x:c r="B1446" s="1"/>
      <x:c r="C1446" s="1"/>
      <x:c r="D1446" s="1"/>
      <x:c r="E1446" s="1"/>
      <x:c r="F1446" s="1"/>
      <x:c r="G1446" s="1"/>
      <x:c r="H1446" s="1"/>
      <x:c r="I1446" s="1"/>
      <x:c r="J1446" s="1"/>
      <x:c r="K1446" s="1"/>
      <x:c r="L1446" s="1"/>
      <x:c r="M1446" s="1"/>
      <x:c r="N1446" s="1"/>
      <x:c r="O1446" s="1"/>
      <x:c r="P1446" s="1"/>
      <x:c r="Q1446" s="1"/>
      <x:c r="R1446" s="1"/>
      <x:c r="S1446" s="1"/>
      <x:c r="T1446" s="1"/>
      <x:c r="U1446" s="1"/>
      <x:c r="V1446" s="1"/>
    </x:row>
    <x:row r="1447">
      <x:c r="A1447" s="1"/>
      <x:c r="B1447" s="1"/>
      <x:c r="C1447" s="1"/>
      <x:c r="D1447" s="1"/>
      <x:c r="E1447" s="1"/>
      <x:c r="F1447" s="1"/>
      <x:c r="G1447" s="1"/>
      <x:c r="H1447" s="1"/>
      <x:c r="I1447" s="1"/>
      <x:c r="J1447" s="1"/>
      <x:c r="K1447" s="1"/>
      <x:c r="L1447" s="1"/>
      <x:c r="M1447" s="1"/>
      <x:c r="N1447" s="1"/>
      <x:c r="O1447" s="1"/>
      <x:c r="P1447" s="1"/>
      <x:c r="Q1447" s="1"/>
      <x:c r="R1447" s="1"/>
      <x:c r="S1447" s="1"/>
      <x:c r="T1447" s="1"/>
      <x:c r="U1447" s="1"/>
      <x:c r="V1447" s="1"/>
    </x:row>
    <x:row r="1448">
      <x:c r="A1448" s="1"/>
      <x:c r="B1448" s="1"/>
      <x:c r="C1448" s="1"/>
      <x:c r="D1448" s="1"/>
      <x:c r="E1448" s="1"/>
      <x:c r="F1448" s="1"/>
      <x:c r="G1448" s="1"/>
      <x:c r="H1448" s="1"/>
      <x:c r="I1448" s="1"/>
      <x:c r="J1448" s="1"/>
      <x:c r="K1448" s="1"/>
      <x:c r="L1448" s="1"/>
      <x:c r="M1448" s="1"/>
      <x:c r="N1448" s="1"/>
      <x:c r="O1448" s="1"/>
      <x:c r="P1448" s="1"/>
      <x:c r="Q1448" s="1"/>
      <x:c r="R1448" s="1"/>
      <x:c r="S1448" s="1"/>
      <x:c r="T1448" s="1"/>
      <x:c r="U1448" s="1"/>
      <x:c r="V1448" s="1"/>
    </x:row>
    <x:row r="1449">
      <x:c r="A1449" s="1"/>
      <x:c r="B1449" s="1"/>
      <x:c r="C1449" s="1"/>
      <x:c r="D1449" s="1"/>
      <x:c r="E1449" s="1"/>
      <x:c r="F1449" s="1"/>
      <x:c r="G1449" s="1"/>
      <x:c r="H1449" s="1"/>
      <x:c r="I1449" s="1"/>
      <x:c r="J1449" s="1"/>
      <x:c r="K1449" s="1"/>
      <x:c r="L1449" s="1"/>
      <x:c r="M1449" s="1"/>
      <x:c r="N1449" s="1"/>
      <x:c r="O1449" s="1"/>
      <x:c r="P1449" s="1"/>
      <x:c r="Q1449" s="1"/>
      <x:c r="R1449" s="1"/>
      <x:c r="S1449" s="1"/>
      <x:c r="T1449" s="1"/>
      <x:c r="U1449" s="1"/>
      <x:c r="V1449" s="1"/>
    </x:row>
    <x:row r="1450">
      <x:c r="A1450" s="1"/>
      <x:c r="B1450" s="1"/>
      <x:c r="C1450" s="1"/>
      <x:c r="D1450" s="1"/>
      <x:c r="E1450" s="1"/>
      <x:c r="F1450" s="1"/>
      <x:c r="G1450" s="1"/>
      <x:c r="H1450" s="1"/>
      <x:c r="I1450" s="1"/>
      <x:c r="J1450" s="1"/>
      <x:c r="K1450" s="1"/>
      <x:c r="L1450" s="1"/>
      <x:c r="M1450" s="1"/>
      <x:c r="N1450" s="1"/>
      <x:c r="O1450" s="1"/>
      <x:c r="P1450" s="1"/>
      <x:c r="Q1450" s="1"/>
      <x:c r="R1450" s="1"/>
      <x:c r="S1450" s="1"/>
      <x:c r="T1450" s="1"/>
      <x:c r="U1450" s="1"/>
      <x:c r="V1450" s="1"/>
    </x:row>
    <x:row r="1451">
      <x:c r="A1451" s="1"/>
      <x:c r="B1451" s="1"/>
      <x:c r="C1451" s="1"/>
      <x:c r="D1451" s="1"/>
      <x:c r="E1451" s="1"/>
      <x:c r="F1451" s="1"/>
      <x:c r="G1451" s="1"/>
      <x:c r="H1451" s="1"/>
      <x:c r="I1451" s="1"/>
      <x:c r="J1451" s="1"/>
      <x:c r="K1451" s="1"/>
      <x:c r="L1451" s="1"/>
      <x:c r="M1451" s="1"/>
      <x:c r="N1451" s="1"/>
      <x:c r="O1451" s="1"/>
      <x:c r="P1451" s="1"/>
      <x:c r="Q1451" s="1"/>
      <x:c r="R1451" s="1"/>
      <x:c r="S1451" s="1"/>
      <x:c r="T1451" s="1"/>
      <x:c r="U1451" s="1"/>
      <x:c r="V1451" s="1"/>
    </x:row>
    <x:row r="1452">
      <x:c r="A1452" s="1"/>
      <x:c r="B1452" s="1"/>
      <x:c r="C1452" s="1"/>
      <x:c r="D1452" s="1"/>
      <x:c r="E1452" s="1"/>
      <x:c r="F1452" s="1"/>
      <x:c r="G1452" s="1"/>
      <x:c r="H1452" s="1"/>
      <x:c r="I1452" s="1"/>
      <x:c r="J1452" s="1"/>
      <x:c r="K1452" s="1"/>
      <x:c r="L1452" s="1"/>
      <x:c r="M1452" s="1"/>
      <x:c r="N1452" s="1"/>
      <x:c r="O1452" s="1"/>
      <x:c r="P1452" s="1"/>
      <x:c r="Q1452" s="1"/>
      <x:c r="R1452" s="1"/>
      <x:c r="S1452" s="1"/>
      <x:c r="T1452" s="1"/>
      <x:c r="U1452" s="1"/>
      <x:c r="V1452" s="1"/>
    </x:row>
    <x:row r="1453">
      <x:c r="A1453" s="1"/>
      <x:c r="B1453" s="1"/>
      <x:c r="C1453" s="1"/>
      <x:c r="D1453" s="1"/>
      <x:c r="E1453" s="1"/>
      <x:c r="F1453" s="1"/>
      <x:c r="G1453" s="1"/>
      <x:c r="H1453" s="1"/>
      <x:c r="I1453" s="1"/>
      <x:c r="J1453" s="1"/>
      <x:c r="K1453" s="1"/>
      <x:c r="L1453" s="1"/>
      <x:c r="M1453" s="1"/>
      <x:c r="N1453" s="1"/>
      <x:c r="O1453" s="1"/>
      <x:c r="P1453" s="1"/>
      <x:c r="Q1453" s="1"/>
      <x:c r="R1453" s="1"/>
      <x:c r="S1453" s="1"/>
      <x:c r="T1453" s="1"/>
      <x:c r="U1453" s="1"/>
      <x:c r="V1453" s="1"/>
    </x:row>
    <x:row r="1454">
      <x:c r="A1454" s="1"/>
      <x:c r="B1454" s="1"/>
      <x:c r="C1454" s="1"/>
      <x:c r="D1454" s="1"/>
      <x:c r="E1454" s="1"/>
      <x:c r="F1454" s="1"/>
      <x:c r="G1454" s="1"/>
      <x:c r="H1454" s="1"/>
      <x:c r="I1454" s="1"/>
      <x:c r="J1454" s="1"/>
      <x:c r="K1454" s="1"/>
      <x:c r="L1454" s="1"/>
      <x:c r="M1454" s="1"/>
      <x:c r="N1454" s="1"/>
      <x:c r="O1454" s="1"/>
      <x:c r="P1454" s="1"/>
      <x:c r="Q1454" s="1"/>
      <x:c r="R1454" s="1"/>
      <x:c r="S1454" s="1"/>
      <x:c r="T1454" s="1"/>
      <x:c r="U1454" s="1"/>
      <x:c r="V1454" s="1"/>
    </x:row>
    <x:row r="1455">
      <x:c r="A1455" s="1"/>
      <x:c r="B1455" s="1"/>
      <x:c r="C1455" s="1"/>
      <x:c r="D1455" s="1"/>
      <x:c r="E1455" s="1"/>
      <x:c r="F1455" s="1"/>
      <x:c r="G1455" s="1"/>
      <x:c r="H1455" s="1"/>
      <x:c r="I1455" s="1"/>
      <x:c r="J1455" s="1"/>
      <x:c r="K1455" s="1"/>
      <x:c r="L1455" s="1"/>
      <x:c r="M1455" s="1"/>
      <x:c r="N1455" s="1"/>
      <x:c r="O1455" s="1"/>
      <x:c r="P1455" s="1"/>
      <x:c r="Q1455" s="1"/>
      <x:c r="R1455" s="1"/>
      <x:c r="S1455" s="1"/>
      <x:c r="T1455" s="1"/>
      <x:c r="U1455" s="1"/>
      <x:c r="V1455" s="1"/>
    </x:row>
    <x:row r="1456">
      <x:c r="A1456" s="1"/>
      <x:c r="B1456" s="1"/>
      <x:c r="C1456" s="1"/>
      <x:c r="D1456" s="1"/>
      <x:c r="E1456" s="1"/>
      <x:c r="F1456" s="1"/>
      <x:c r="G1456" s="1"/>
      <x:c r="H1456" s="1"/>
      <x:c r="I1456" s="1"/>
      <x:c r="J1456" s="1"/>
      <x:c r="K1456" s="1"/>
      <x:c r="L1456" s="1"/>
      <x:c r="M1456" s="1"/>
      <x:c r="N1456" s="1"/>
      <x:c r="O1456" s="1"/>
      <x:c r="P1456" s="1"/>
      <x:c r="Q1456" s="1"/>
      <x:c r="R1456" s="1"/>
      <x:c r="S1456" s="1"/>
      <x:c r="T1456" s="1"/>
      <x:c r="U1456" s="1"/>
      <x:c r="V1456" s="1"/>
    </x:row>
    <x:row r="1457">
      <x:c r="A1457" s="1"/>
      <x:c r="B1457" s="1"/>
      <x:c r="C1457" s="1"/>
      <x:c r="D1457" s="1"/>
      <x:c r="E1457" s="1"/>
      <x:c r="F1457" s="1"/>
      <x:c r="G1457" s="1"/>
      <x:c r="H1457" s="1"/>
      <x:c r="I1457" s="1"/>
      <x:c r="J1457" s="1"/>
      <x:c r="K1457" s="1"/>
      <x:c r="L1457" s="1"/>
      <x:c r="M1457" s="1"/>
      <x:c r="N1457" s="1"/>
      <x:c r="O1457" s="1"/>
      <x:c r="P1457" s="1"/>
      <x:c r="Q1457" s="1"/>
      <x:c r="R1457" s="1"/>
      <x:c r="S1457" s="1"/>
      <x:c r="T1457" s="1"/>
      <x:c r="U1457" s="1"/>
      <x:c r="V1457" s="1"/>
    </x:row>
    <x:row r="1458">
      <x:c r="A1458" s="1"/>
      <x:c r="B1458" s="1"/>
      <x:c r="C1458" s="1"/>
      <x:c r="D1458" s="1"/>
      <x:c r="E1458" s="1"/>
      <x:c r="F1458" s="1"/>
      <x:c r="G1458" s="1"/>
      <x:c r="H1458" s="1"/>
      <x:c r="I1458" s="1"/>
      <x:c r="J1458" s="1"/>
      <x:c r="K1458" s="1"/>
      <x:c r="L1458" s="1"/>
      <x:c r="M1458" s="1"/>
      <x:c r="N1458" s="1"/>
      <x:c r="O1458" s="1"/>
      <x:c r="P1458" s="1"/>
      <x:c r="Q1458" s="1"/>
      <x:c r="R1458" s="1"/>
      <x:c r="S1458" s="1"/>
      <x:c r="T1458" s="1"/>
      <x:c r="U1458" s="1"/>
      <x:c r="V1458" s="1"/>
    </x:row>
    <x:row r="1459">
      <x:c r="A1459" s="1"/>
      <x:c r="B1459" s="1"/>
      <x:c r="C1459" s="1"/>
      <x:c r="D1459" s="1"/>
      <x:c r="E1459" s="1"/>
      <x:c r="F1459" s="1"/>
      <x:c r="G1459" s="1"/>
      <x:c r="H1459" s="1"/>
      <x:c r="I1459" s="1"/>
      <x:c r="J1459" s="1"/>
      <x:c r="K1459" s="1"/>
      <x:c r="L1459" s="1"/>
      <x:c r="M1459" s="1"/>
      <x:c r="N1459" s="1"/>
      <x:c r="O1459" s="1"/>
      <x:c r="P1459" s="1"/>
      <x:c r="Q1459" s="1"/>
      <x:c r="R1459" s="1"/>
      <x:c r="S1459" s="1"/>
      <x:c r="T1459" s="1"/>
      <x:c r="U1459" s="1"/>
      <x:c r="V1459" s="1"/>
    </x:row>
    <x:row r="1460">
      <x:c r="A1460" s="1"/>
      <x:c r="B1460" s="1"/>
      <x:c r="C1460" s="1"/>
      <x:c r="D1460" s="1"/>
      <x:c r="E1460" s="1"/>
      <x:c r="F1460" s="1"/>
      <x:c r="G1460" s="1"/>
      <x:c r="H1460" s="1"/>
      <x:c r="I1460" s="1"/>
      <x:c r="J1460" s="1"/>
      <x:c r="K1460" s="1"/>
      <x:c r="L1460" s="1"/>
      <x:c r="M1460" s="1"/>
      <x:c r="N1460" s="1"/>
      <x:c r="O1460" s="1"/>
      <x:c r="P1460" s="1"/>
      <x:c r="Q1460" s="1"/>
      <x:c r="R1460" s="1"/>
      <x:c r="S1460" s="1"/>
      <x:c r="T1460" s="1"/>
      <x:c r="U1460" s="1"/>
      <x:c r="V1460" s="1"/>
    </x:row>
    <x:row r="1461">
      <x:c r="A1461" s="1"/>
      <x:c r="B1461" s="1"/>
      <x:c r="C1461" s="1"/>
      <x:c r="D1461" s="1"/>
      <x:c r="E1461" s="1"/>
      <x:c r="F1461" s="1"/>
      <x:c r="G1461" s="1"/>
      <x:c r="H1461" s="1"/>
      <x:c r="I1461" s="1"/>
      <x:c r="J1461" s="1"/>
      <x:c r="K1461" s="1"/>
      <x:c r="L1461" s="1"/>
      <x:c r="M1461" s="1"/>
      <x:c r="N1461" s="1"/>
      <x:c r="O1461" s="1"/>
      <x:c r="P1461" s="1"/>
      <x:c r="Q1461" s="1"/>
      <x:c r="R1461" s="1"/>
      <x:c r="S1461" s="1"/>
      <x:c r="T1461" s="1"/>
      <x:c r="U1461" s="1"/>
      <x:c r="V1461" s="1"/>
    </x:row>
    <x:row r="1462">
      <x:c r="A1462" s="1"/>
      <x:c r="B1462" s="1"/>
      <x:c r="C1462" s="1"/>
      <x:c r="D1462" s="1"/>
      <x:c r="E1462" s="1"/>
      <x:c r="F1462" s="1"/>
      <x:c r="G1462" s="1"/>
      <x:c r="H1462" s="1"/>
      <x:c r="I1462" s="1"/>
      <x:c r="J1462" s="1"/>
      <x:c r="K1462" s="1"/>
      <x:c r="L1462" s="1"/>
      <x:c r="M1462" s="1"/>
      <x:c r="N1462" s="1"/>
      <x:c r="O1462" s="1"/>
      <x:c r="P1462" s="1"/>
      <x:c r="Q1462" s="1"/>
      <x:c r="R1462" s="1"/>
      <x:c r="S1462" s="1"/>
      <x:c r="T1462" s="1"/>
      <x:c r="U1462" s="1"/>
      <x:c r="V1462" s="1"/>
    </x:row>
    <x:row r="1463">
      <x:c r="A1463" s="1"/>
      <x:c r="B1463" s="1"/>
      <x:c r="C1463" s="1"/>
      <x:c r="D1463" s="1"/>
      <x:c r="E1463" s="1"/>
      <x:c r="F1463" s="1"/>
      <x:c r="G1463" s="1"/>
      <x:c r="H1463" s="1"/>
      <x:c r="I1463" s="1"/>
      <x:c r="J1463" s="1"/>
      <x:c r="K1463" s="1"/>
      <x:c r="L1463" s="1"/>
      <x:c r="M1463" s="1"/>
      <x:c r="N1463" s="1"/>
      <x:c r="O1463" s="1"/>
      <x:c r="P1463" s="1"/>
      <x:c r="Q1463" s="1"/>
      <x:c r="R1463" s="1"/>
      <x:c r="S1463" s="1"/>
      <x:c r="T1463" s="1"/>
      <x:c r="U1463" s="1"/>
      <x:c r="V1463" s="1"/>
    </x:row>
    <x:row r="1464">
      <x:c r="A1464" s="1"/>
      <x:c r="B1464" s="1"/>
      <x:c r="C1464" s="1"/>
      <x:c r="D1464" s="1"/>
      <x:c r="E1464" s="1"/>
      <x:c r="F1464" s="1"/>
      <x:c r="G1464" s="1"/>
      <x:c r="H1464" s="1"/>
      <x:c r="I1464" s="1"/>
      <x:c r="J1464" s="1"/>
      <x:c r="K1464" s="1"/>
      <x:c r="L1464" s="1"/>
      <x:c r="M1464" s="1"/>
      <x:c r="N1464" s="1"/>
      <x:c r="O1464" s="1"/>
      <x:c r="P1464" s="1"/>
      <x:c r="Q1464" s="1"/>
      <x:c r="R1464" s="1"/>
      <x:c r="S1464" s="1"/>
      <x:c r="T1464" s="1"/>
      <x:c r="U1464" s="1"/>
      <x:c r="V1464" s="1"/>
    </x:row>
    <x:row r="1465">
      <x:c r="A1465" s="1"/>
      <x:c r="B1465" s="1"/>
      <x:c r="C1465" s="1"/>
      <x:c r="D1465" s="1"/>
      <x:c r="E1465" s="1"/>
      <x:c r="F1465" s="1"/>
      <x:c r="G1465" s="1"/>
      <x:c r="H1465" s="1"/>
      <x:c r="I1465" s="1"/>
      <x:c r="J1465" s="1"/>
      <x:c r="K1465" s="1"/>
      <x:c r="L1465" s="1"/>
      <x:c r="M1465" s="1"/>
      <x:c r="N1465" s="1"/>
      <x:c r="O1465" s="1"/>
      <x:c r="P1465" s="1"/>
      <x:c r="Q1465" s="1"/>
      <x:c r="R1465" s="1"/>
      <x:c r="S1465" s="1"/>
      <x:c r="T1465" s="1"/>
      <x:c r="U1465" s="1"/>
      <x:c r="V1465" s="1"/>
    </x:row>
    <x:row r="1466">
      <x:c r="A1466" s="1"/>
      <x:c r="B1466" s="1"/>
      <x:c r="C1466" s="1"/>
      <x:c r="D1466" s="1"/>
      <x:c r="E1466" s="1"/>
      <x:c r="F1466" s="1"/>
      <x:c r="G1466" s="1"/>
      <x:c r="H1466" s="1"/>
      <x:c r="I1466" s="1"/>
      <x:c r="J1466" s="1"/>
      <x:c r="K1466" s="1"/>
      <x:c r="L1466" s="1"/>
      <x:c r="M1466" s="1"/>
      <x:c r="N1466" s="1"/>
      <x:c r="O1466" s="1"/>
      <x:c r="P1466" s="1"/>
      <x:c r="Q1466" s="1"/>
      <x:c r="R1466" s="1"/>
      <x:c r="S1466" s="1"/>
      <x:c r="T1466" s="1"/>
      <x:c r="U1466" s="1"/>
      <x:c r="V1466" s="1"/>
    </x:row>
    <x:row r="1467">
      <x:c r="A1467" s="1"/>
      <x:c r="B1467" s="1"/>
      <x:c r="C1467" s="1"/>
      <x:c r="D1467" s="1"/>
      <x:c r="E1467" s="1"/>
      <x:c r="F1467" s="1"/>
      <x:c r="G1467" s="1"/>
      <x:c r="H1467" s="1"/>
      <x:c r="I1467" s="1"/>
      <x:c r="J1467" s="1"/>
      <x:c r="K1467" s="1"/>
      <x:c r="L1467" s="1"/>
      <x:c r="M1467" s="1"/>
      <x:c r="N1467" s="1"/>
      <x:c r="O1467" s="1"/>
      <x:c r="P1467" s="1"/>
      <x:c r="Q1467" s="1"/>
      <x:c r="R1467" s="1"/>
      <x:c r="S1467" s="1"/>
      <x:c r="T1467" s="1"/>
      <x:c r="U1467" s="1"/>
      <x:c r="V1467" s="1"/>
    </x:row>
    <x:row r="1468">
      <x:c r="A1468" s="1"/>
      <x:c r="B1468" s="1"/>
      <x:c r="C1468" s="1"/>
      <x:c r="D1468" s="1"/>
      <x:c r="E1468" s="1"/>
      <x:c r="F1468" s="1"/>
      <x:c r="G1468" s="1"/>
      <x:c r="H1468" s="1"/>
      <x:c r="I1468" s="1"/>
      <x:c r="J1468" s="1"/>
      <x:c r="K1468" s="1"/>
      <x:c r="L1468" s="1"/>
      <x:c r="M1468" s="1"/>
      <x:c r="N1468" s="1"/>
      <x:c r="O1468" s="1"/>
      <x:c r="P1468" s="1"/>
      <x:c r="Q1468" s="1"/>
      <x:c r="R1468" s="1"/>
      <x:c r="S1468" s="1"/>
      <x:c r="T1468" s="1"/>
      <x:c r="U1468" s="1"/>
      <x:c r="V1468" s="1"/>
    </x:row>
    <x:row r="1469">
      <x:c r="A1469" s="1"/>
      <x:c r="B1469" s="1"/>
      <x:c r="C1469" s="1"/>
      <x:c r="D1469" s="1"/>
      <x:c r="E1469" s="1"/>
      <x:c r="F1469" s="1"/>
      <x:c r="G1469" s="1"/>
      <x:c r="H1469" s="1"/>
      <x:c r="I1469" s="1"/>
      <x:c r="J1469" s="1"/>
      <x:c r="K1469" s="1"/>
      <x:c r="L1469" s="1"/>
      <x:c r="M1469" s="1"/>
      <x:c r="N1469" s="1"/>
      <x:c r="O1469" s="1"/>
      <x:c r="P1469" s="1"/>
      <x:c r="Q1469" s="1"/>
      <x:c r="R1469" s="1"/>
      <x:c r="S1469" s="1"/>
      <x:c r="T1469" s="1"/>
      <x:c r="U1469" s="1"/>
      <x:c r="V1469" s="1"/>
    </x:row>
    <x:row r="1470">
      <x:c r="A1470" s="1"/>
      <x:c r="B1470" s="1"/>
      <x:c r="C1470" s="1"/>
      <x:c r="D1470" s="1"/>
      <x:c r="E1470" s="1"/>
      <x:c r="F1470" s="1"/>
      <x:c r="G1470" s="1"/>
      <x:c r="H1470" s="1"/>
      <x:c r="I1470" s="1"/>
      <x:c r="J1470" s="1"/>
      <x:c r="K1470" s="1"/>
      <x:c r="L1470" s="1"/>
      <x:c r="M1470" s="1"/>
      <x:c r="N1470" s="1"/>
      <x:c r="O1470" s="1"/>
      <x:c r="P1470" s="1"/>
      <x:c r="Q1470" s="1"/>
      <x:c r="R1470" s="1"/>
      <x:c r="S1470" s="1"/>
      <x:c r="T1470" s="1"/>
      <x:c r="U1470" s="1"/>
      <x:c r="V1470" s="1"/>
    </x:row>
    <x:row r="1471">
      <x:c r="A1471" s="1"/>
      <x:c r="B1471" s="1"/>
      <x:c r="C1471" s="1"/>
      <x:c r="D1471" s="1"/>
      <x:c r="E1471" s="1"/>
      <x:c r="F1471" s="1"/>
      <x:c r="G1471" s="1"/>
      <x:c r="H1471" s="1"/>
      <x:c r="I1471" s="1"/>
      <x:c r="J1471" s="1"/>
      <x:c r="K1471" s="1"/>
      <x:c r="L1471" s="1"/>
      <x:c r="M1471" s="1"/>
      <x:c r="N1471" s="1"/>
      <x:c r="O1471" s="1"/>
      <x:c r="P1471" s="1"/>
      <x:c r="Q1471" s="1"/>
      <x:c r="R1471" s="1"/>
      <x:c r="S1471" s="1"/>
      <x:c r="T1471" s="1"/>
      <x:c r="U1471" s="1"/>
      <x:c r="V1471" s="1"/>
    </x:row>
    <x:row r="1472">
      <x:c r="A1472" s="1"/>
      <x:c r="B1472" s="1"/>
      <x:c r="C1472" s="1"/>
      <x:c r="D1472" s="1"/>
      <x:c r="E1472" s="1"/>
      <x:c r="F1472" s="1"/>
      <x:c r="G1472" s="1"/>
      <x:c r="H1472" s="1"/>
      <x:c r="I1472" s="1"/>
      <x:c r="J1472" s="1"/>
      <x:c r="K1472" s="1"/>
      <x:c r="L1472" s="1"/>
      <x:c r="M1472" s="1"/>
      <x:c r="N1472" s="1"/>
      <x:c r="O1472" s="1"/>
      <x:c r="P1472" s="1"/>
      <x:c r="Q1472" s="1"/>
      <x:c r="R1472" s="1"/>
      <x:c r="S1472" s="1"/>
      <x:c r="T1472" s="1"/>
      <x:c r="U1472" s="1"/>
      <x:c r="V1472" s="1"/>
    </x:row>
    <x:row r="1473">
      <x:c r="A1473" s="1"/>
      <x:c r="B1473" s="1"/>
      <x:c r="C1473" s="1"/>
      <x:c r="D1473" s="1"/>
      <x:c r="E1473" s="1"/>
      <x:c r="F1473" s="1"/>
      <x:c r="G1473" s="1"/>
      <x:c r="H1473" s="1"/>
      <x:c r="I1473" s="1"/>
      <x:c r="J1473" s="1"/>
      <x:c r="K1473" s="1"/>
      <x:c r="L1473" s="1"/>
      <x:c r="M1473" s="1"/>
      <x:c r="N1473" s="1"/>
      <x:c r="O1473" s="1"/>
      <x:c r="P1473" s="1"/>
      <x:c r="Q1473" s="1"/>
      <x:c r="R1473" s="1"/>
      <x:c r="S1473" s="1"/>
      <x:c r="T1473" s="1"/>
      <x:c r="U1473" s="1"/>
      <x:c r="V1473" s="1"/>
    </x:row>
    <x:row r="1474">
      <x:c r="A1474" s="1"/>
      <x:c r="B1474" s="1"/>
      <x:c r="C1474" s="1"/>
      <x:c r="D1474" s="1"/>
      <x:c r="E1474" s="1"/>
      <x:c r="F1474" s="1"/>
      <x:c r="G1474" s="1"/>
      <x:c r="H1474" s="1"/>
      <x:c r="I1474" s="1"/>
      <x:c r="J1474" s="1"/>
      <x:c r="K1474" s="1"/>
      <x:c r="L1474" s="1"/>
      <x:c r="M1474" s="1"/>
      <x:c r="N1474" s="1"/>
      <x:c r="O1474" s="1"/>
      <x:c r="P1474" s="1"/>
      <x:c r="Q1474" s="1"/>
      <x:c r="R1474" s="1"/>
      <x:c r="S1474" s="1"/>
      <x:c r="T1474" s="1"/>
      <x:c r="U1474" s="1"/>
      <x:c r="V1474" s="1"/>
    </x:row>
    <x:row r="1475">
      <x:c r="A1475" s="1"/>
      <x:c r="B1475" s="1"/>
      <x:c r="C1475" s="1"/>
      <x:c r="D1475" s="1"/>
      <x:c r="E1475" s="1"/>
      <x:c r="F1475" s="1"/>
      <x:c r="G1475" s="1"/>
      <x:c r="H1475" s="1"/>
      <x:c r="I1475" s="1"/>
      <x:c r="J1475" s="1"/>
      <x:c r="K1475" s="1"/>
      <x:c r="L1475" s="1"/>
      <x:c r="M1475" s="1"/>
      <x:c r="N1475" s="1"/>
      <x:c r="O1475" s="1"/>
      <x:c r="P1475" s="1"/>
      <x:c r="Q1475" s="1"/>
      <x:c r="R1475" s="1"/>
      <x:c r="S1475" s="1"/>
      <x:c r="T1475" s="1"/>
      <x:c r="U1475" s="1"/>
      <x:c r="V1475" s="1"/>
    </x:row>
    <x:row r="1476">
      <x:c r="A1476" s="1"/>
      <x:c r="B1476" s="1"/>
      <x:c r="C1476" s="1"/>
      <x:c r="D1476" s="1"/>
      <x:c r="E1476" s="1"/>
      <x:c r="F1476" s="1"/>
      <x:c r="G1476" s="1"/>
      <x:c r="H1476" s="1"/>
      <x:c r="I1476" s="1"/>
      <x:c r="J1476" s="1"/>
      <x:c r="K1476" s="1"/>
      <x:c r="L1476" s="1"/>
      <x:c r="M1476" s="1"/>
      <x:c r="N1476" s="1"/>
      <x:c r="O1476" s="1"/>
      <x:c r="P1476" s="1"/>
      <x:c r="Q1476" s="1"/>
      <x:c r="R1476" s="1"/>
      <x:c r="S1476" s="1"/>
      <x:c r="T1476" s="1"/>
      <x:c r="U1476" s="1"/>
      <x:c r="V1476" s="1"/>
    </x:row>
    <x:row r="1477">
      <x:c r="A1477" s="1"/>
      <x:c r="B1477" s="1"/>
      <x:c r="C1477" s="1"/>
      <x:c r="D1477" s="1"/>
      <x:c r="E1477" s="1"/>
      <x:c r="F1477" s="1"/>
      <x:c r="G1477" s="1"/>
      <x:c r="H1477" s="1"/>
      <x:c r="I1477" s="1"/>
      <x:c r="J1477" s="1"/>
      <x:c r="K1477" s="1"/>
      <x:c r="L1477" s="1"/>
      <x:c r="M1477" s="1"/>
      <x:c r="N1477" s="1"/>
      <x:c r="O1477" s="1"/>
      <x:c r="P1477" s="1"/>
      <x:c r="Q1477" s="1"/>
      <x:c r="R1477" s="1"/>
      <x:c r="S1477" s="1"/>
      <x:c r="T1477" s="1"/>
      <x:c r="U1477" s="1"/>
      <x:c r="V1477" s="1"/>
    </x:row>
    <x:row r="1478">
      <x:c r="A1478" s="1"/>
      <x:c r="B1478" s="1"/>
      <x:c r="C1478" s="1"/>
      <x:c r="D1478" s="1"/>
      <x:c r="E1478" s="1"/>
      <x:c r="F1478" s="1"/>
      <x:c r="G1478" s="1"/>
      <x:c r="H1478" s="1"/>
      <x:c r="I1478" s="1"/>
      <x:c r="J1478" s="1"/>
      <x:c r="K1478" s="1"/>
      <x:c r="L1478" s="1"/>
      <x:c r="M1478" s="1"/>
      <x:c r="N1478" s="1"/>
      <x:c r="O1478" s="1"/>
      <x:c r="P1478" s="1"/>
      <x:c r="Q1478" s="1"/>
      <x:c r="R1478" s="1"/>
      <x:c r="S1478" s="1"/>
      <x:c r="T1478" s="1"/>
      <x:c r="U1478" s="1"/>
      <x:c r="V1478" s="1"/>
    </x:row>
    <x:row r="1479">
      <x:c r="A1479" s="1"/>
      <x:c r="B1479" s="1"/>
      <x:c r="C1479" s="1"/>
      <x:c r="D1479" s="1"/>
      <x:c r="E1479" s="1"/>
      <x:c r="F1479" s="1"/>
      <x:c r="G1479" s="1"/>
      <x:c r="H1479" s="1"/>
      <x:c r="I1479" s="1"/>
      <x:c r="J1479" s="1"/>
      <x:c r="K1479" s="1"/>
      <x:c r="L1479" s="1"/>
      <x:c r="M1479" s="1"/>
      <x:c r="N1479" s="1"/>
      <x:c r="O1479" s="1"/>
      <x:c r="P1479" s="1"/>
      <x:c r="Q1479" s="1"/>
      <x:c r="R1479" s="1"/>
      <x:c r="S1479" s="1"/>
      <x:c r="T1479" s="1"/>
      <x:c r="U1479" s="1"/>
      <x:c r="V1479" s="1"/>
    </x:row>
    <x:row r="1480">
      <x:c r="A1480" s="1"/>
      <x:c r="B1480" s="1"/>
      <x:c r="C1480" s="1"/>
      <x:c r="D1480" s="1"/>
      <x:c r="E1480" s="1"/>
      <x:c r="F1480" s="1"/>
      <x:c r="G1480" s="1"/>
      <x:c r="H1480" s="1"/>
      <x:c r="I1480" s="1"/>
      <x:c r="J1480" s="1"/>
      <x:c r="K1480" s="1"/>
      <x:c r="L1480" s="1"/>
      <x:c r="M1480" s="1"/>
      <x:c r="N1480" s="1"/>
      <x:c r="O1480" s="1"/>
      <x:c r="P1480" s="1"/>
      <x:c r="Q1480" s="1"/>
      <x:c r="R1480" s="1"/>
      <x:c r="S1480" s="1"/>
      <x:c r="T1480" s="1"/>
      <x:c r="U1480" s="1"/>
      <x:c r="V1480" s="1"/>
    </x:row>
    <x:row r="1481">
      <x:c r="A1481" s="1"/>
      <x:c r="B1481" s="1"/>
      <x:c r="C1481" s="1"/>
      <x:c r="D1481" s="1"/>
      <x:c r="E1481" s="1"/>
      <x:c r="F1481" s="1"/>
      <x:c r="G1481" s="1"/>
      <x:c r="H1481" s="1"/>
      <x:c r="I1481" s="1"/>
      <x:c r="J1481" s="1"/>
      <x:c r="K1481" s="1"/>
      <x:c r="L1481" s="1"/>
      <x:c r="M1481" s="1"/>
      <x:c r="N1481" s="1"/>
      <x:c r="O1481" s="1"/>
      <x:c r="P1481" s="1"/>
      <x:c r="Q1481" s="1"/>
      <x:c r="R1481" s="1"/>
      <x:c r="S1481" s="1"/>
      <x:c r="T1481" s="1"/>
      <x:c r="U1481" s="1"/>
      <x:c r="V1481" s="1"/>
    </x:row>
    <x:row r="1482">
      <x:c r="A1482" s="1"/>
      <x:c r="B1482" s="1"/>
      <x:c r="C1482" s="1"/>
      <x:c r="D1482" s="1"/>
      <x:c r="E1482" s="1"/>
      <x:c r="F1482" s="1"/>
      <x:c r="G1482" s="1"/>
      <x:c r="H1482" s="1"/>
      <x:c r="I1482" s="1"/>
      <x:c r="J1482" s="1"/>
      <x:c r="K1482" s="1"/>
      <x:c r="L1482" s="1"/>
      <x:c r="M1482" s="1"/>
      <x:c r="N1482" s="1"/>
      <x:c r="O1482" s="1"/>
      <x:c r="P1482" s="1"/>
      <x:c r="Q1482" s="1"/>
      <x:c r="R1482" s="1"/>
      <x:c r="S1482" s="1"/>
      <x:c r="T1482" s="1"/>
      <x:c r="U1482" s="1"/>
      <x:c r="V1482" s="1"/>
    </x:row>
    <x:row r="1483">
      <x:c r="A1483" s="1"/>
      <x:c r="B1483" s="1"/>
      <x:c r="C1483" s="1"/>
      <x:c r="D1483" s="1"/>
      <x:c r="E1483" s="1"/>
      <x:c r="F1483" s="1"/>
      <x:c r="G1483" s="1"/>
      <x:c r="H1483" s="1"/>
      <x:c r="I1483" s="1"/>
      <x:c r="J1483" s="1"/>
      <x:c r="K1483" s="1"/>
      <x:c r="L1483" s="1"/>
      <x:c r="M1483" s="1"/>
      <x:c r="N1483" s="1"/>
      <x:c r="O1483" s="1"/>
      <x:c r="P1483" s="1"/>
      <x:c r="Q1483" s="1"/>
      <x:c r="R1483" s="1"/>
      <x:c r="S1483" s="1"/>
      <x:c r="T1483" s="1"/>
      <x:c r="U1483" s="1"/>
      <x:c r="V1483" s="1"/>
    </x:row>
    <x:row r="1484">
      <x:c r="A1484" s="1"/>
      <x:c r="B1484" s="1"/>
      <x:c r="C1484" s="1"/>
      <x:c r="D1484" s="1"/>
      <x:c r="E1484" s="1"/>
      <x:c r="F1484" s="1"/>
      <x:c r="G1484" s="1"/>
      <x:c r="H1484" s="1"/>
      <x:c r="I1484" s="1"/>
      <x:c r="J1484" s="1"/>
      <x:c r="K1484" s="1"/>
      <x:c r="L1484" s="1"/>
      <x:c r="M1484" s="1"/>
      <x:c r="N1484" s="1"/>
      <x:c r="O1484" s="1"/>
      <x:c r="P1484" s="1"/>
      <x:c r="Q1484" s="1"/>
      <x:c r="R1484" s="1"/>
      <x:c r="S1484" s="1"/>
      <x:c r="T1484" s="1"/>
      <x:c r="U1484" s="1"/>
      <x:c r="V1484" s="1"/>
    </x:row>
    <x:row r="1485">
      <x:c r="A1485" s="1"/>
      <x:c r="B1485" s="1"/>
      <x:c r="C1485" s="1"/>
      <x:c r="D1485" s="1"/>
      <x:c r="E1485" s="1"/>
      <x:c r="F1485" s="1"/>
      <x:c r="G1485" s="1"/>
      <x:c r="H1485" s="1"/>
      <x:c r="I1485" s="1"/>
      <x:c r="J1485" s="1"/>
      <x:c r="K1485" s="1"/>
      <x:c r="L1485" s="1"/>
      <x:c r="M1485" s="1"/>
      <x:c r="N1485" s="1"/>
      <x:c r="O1485" s="1"/>
      <x:c r="P1485" s="1"/>
      <x:c r="Q1485" s="1"/>
      <x:c r="R1485" s="1"/>
      <x:c r="S1485" s="1"/>
      <x:c r="T1485" s="1"/>
      <x:c r="U1485" s="1"/>
      <x:c r="V1485" s="1"/>
    </x:row>
    <x:row r="1486">
      <x:c r="A1486" s="1"/>
      <x:c r="B1486" s="1"/>
      <x:c r="C1486" s="1"/>
      <x:c r="D1486" s="1"/>
      <x:c r="E1486" s="1"/>
      <x:c r="F1486" s="1"/>
      <x:c r="G1486" s="1"/>
      <x:c r="H1486" s="1"/>
      <x:c r="I1486" s="1"/>
      <x:c r="J1486" s="1"/>
      <x:c r="K1486" s="1"/>
      <x:c r="L1486" s="1"/>
      <x:c r="M1486" s="1"/>
      <x:c r="N1486" s="1"/>
      <x:c r="O1486" s="1"/>
      <x:c r="P1486" s="1"/>
      <x:c r="Q1486" s="1"/>
      <x:c r="R1486" s="1"/>
      <x:c r="S1486" s="1"/>
      <x:c r="T1486" s="1"/>
      <x:c r="U1486" s="1"/>
      <x:c r="V1486" s="1"/>
    </x:row>
    <x:row r="1487">
      <x:c r="A1487" s="1"/>
      <x:c r="B1487" s="1"/>
      <x:c r="C1487" s="1"/>
      <x:c r="D1487" s="1"/>
      <x:c r="E1487" s="1"/>
      <x:c r="F1487" s="1"/>
      <x:c r="G1487" s="1"/>
      <x:c r="H1487" s="1"/>
      <x:c r="I1487" s="1"/>
      <x:c r="J1487" s="1"/>
      <x:c r="K1487" s="1"/>
      <x:c r="L1487" s="1"/>
      <x:c r="M1487" s="1"/>
      <x:c r="N1487" s="1"/>
      <x:c r="O1487" s="1"/>
      <x:c r="P1487" s="1"/>
      <x:c r="Q1487" s="1"/>
      <x:c r="R1487" s="1"/>
      <x:c r="S1487" s="1"/>
      <x:c r="T1487" s="1"/>
      <x:c r="U1487" s="1"/>
      <x:c r="V1487" s="1"/>
    </x:row>
    <x:row r="1488">
      <x:c r="A1488" s="1"/>
      <x:c r="B1488" s="1"/>
      <x:c r="C1488" s="1"/>
      <x:c r="D1488" s="1"/>
      <x:c r="E1488" s="1"/>
      <x:c r="F1488" s="1"/>
      <x:c r="G1488" s="1"/>
      <x:c r="H1488" s="1"/>
      <x:c r="I1488" s="1"/>
      <x:c r="J1488" s="1"/>
      <x:c r="K1488" s="1"/>
      <x:c r="L1488" s="1"/>
      <x:c r="M1488" s="1"/>
      <x:c r="N1488" s="1"/>
      <x:c r="O1488" s="1"/>
      <x:c r="P1488" s="1"/>
      <x:c r="Q1488" s="1"/>
      <x:c r="R1488" s="1"/>
      <x:c r="S1488" s="1"/>
      <x:c r="T1488" s="1"/>
      <x:c r="U1488" s="1"/>
      <x:c r="V1488" s="1"/>
    </x:row>
    <x:row r="1489">
      <x:c r="A1489" s="1"/>
      <x:c r="B1489" s="1"/>
      <x:c r="C1489" s="1"/>
      <x:c r="D1489" s="1"/>
      <x:c r="E1489" s="1"/>
      <x:c r="F1489" s="1"/>
      <x:c r="G1489" s="1"/>
      <x:c r="H1489" s="1"/>
      <x:c r="I1489" s="1"/>
      <x:c r="J1489" s="1"/>
      <x:c r="K1489" s="1"/>
      <x:c r="L1489" s="1"/>
      <x:c r="M1489" s="1"/>
      <x:c r="N1489" s="1"/>
      <x:c r="O1489" s="1"/>
      <x:c r="P1489" s="1"/>
      <x:c r="Q1489" s="1"/>
      <x:c r="R1489" s="1"/>
      <x:c r="S1489" s="1"/>
      <x:c r="T1489" s="1"/>
      <x:c r="U1489" s="1"/>
      <x:c r="V1489" s="1"/>
    </x:row>
    <x:row r="1490">
      <x:c r="A1490" s="1"/>
      <x:c r="B1490" s="1"/>
      <x:c r="C1490" s="1"/>
      <x:c r="D1490" s="1"/>
      <x:c r="E1490" s="1"/>
      <x:c r="F1490" s="1"/>
      <x:c r="G1490" s="1"/>
      <x:c r="H1490" s="1"/>
      <x:c r="I1490" s="1"/>
      <x:c r="J1490" s="1"/>
      <x:c r="K1490" s="1"/>
      <x:c r="L1490" s="1"/>
      <x:c r="M1490" s="1"/>
      <x:c r="N1490" s="1"/>
      <x:c r="O1490" s="1"/>
      <x:c r="P1490" s="1"/>
      <x:c r="Q1490" s="1"/>
      <x:c r="R1490" s="1"/>
      <x:c r="S1490" s="1"/>
      <x:c r="T1490" s="1"/>
      <x:c r="U1490" s="1"/>
      <x:c r="V1490" s="1"/>
    </x:row>
    <x:row r="1491">
      <x:c r="A1491" s="1"/>
      <x:c r="B1491" s="1"/>
      <x:c r="C1491" s="1"/>
      <x:c r="D1491" s="1"/>
      <x:c r="E1491" s="1"/>
      <x:c r="F1491" s="1"/>
      <x:c r="G1491" s="1"/>
      <x:c r="H1491" s="1"/>
      <x:c r="I1491" s="1"/>
      <x:c r="J1491" s="1"/>
      <x:c r="K1491" s="1"/>
      <x:c r="L1491" s="1"/>
      <x:c r="M1491" s="1"/>
      <x:c r="N1491" s="1"/>
      <x:c r="O1491" s="1"/>
      <x:c r="P1491" s="1"/>
      <x:c r="Q1491" s="1"/>
      <x:c r="R1491" s="1"/>
      <x:c r="S1491" s="1"/>
      <x:c r="T1491" s="1"/>
      <x:c r="U1491" s="1"/>
      <x:c r="V1491" s="1"/>
    </x:row>
    <x:row r="1492">
      <x:c r="A1492" s="1"/>
      <x:c r="B1492" s="1"/>
      <x:c r="C1492" s="1"/>
      <x:c r="D1492" s="1"/>
      <x:c r="E1492" s="1"/>
      <x:c r="F1492" s="1"/>
      <x:c r="G1492" s="1"/>
      <x:c r="H1492" s="1"/>
      <x:c r="I1492" s="1"/>
      <x:c r="J1492" s="1"/>
      <x:c r="K1492" s="1"/>
      <x:c r="L1492" s="1"/>
      <x:c r="M1492" s="1"/>
      <x:c r="N1492" s="1"/>
      <x:c r="O1492" s="1"/>
      <x:c r="P1492" s="1"/>
      <x:c r="Q1492" s="1"/>
      <x:c r="R1492" s="1"/>
      <x:c r="S1492" s="1"/>
      <x:c r="T1492" s="1"/>
      <x:c r="U1492" s="1"/>
      <x:c r="V1492" s="1"/>
    </x:row>
    <x:row r="1493">
      <x:c r="A1493" s="1"/>
      <x:c r="B1493" s="1"/>
      <x:c r="C1493" s="1"/>
      <x:c r="D1493" s="1"/>
      <x:c r="E1493" s="1"/>
      <x:c r="F1493" s="1"/>
      <x:c r="G1493" s="1"/>
      <x:c r="H1493" s="1"/>
      <x:c r="I1493" s="1"/>
      <x:c r="J1493" s="1"/>
      <x:c r="K1493" s="1"/>
      <x:c r="L1493" s="1"/>
      <x:c r="M1493" s="1"/>
      <x:c r="N1493" s="1"/>
      <x:c r="O1493" s="1"/>
      <x:c r="P1493" s="1"/>
      <x:c r="Q1493" s="1"/>
      <x:c r="R1493" s="1"/>
      <x:c r="S1493" s="1"/>
      <x:c r="T1493" s="1"/>
      <x:c r="U1493" s="1"/>
      <x:c r="V1493" s="1"/>
    </x:row>
    <x:row r="1494">
      <x:c r="A1494" s="1"/>
      <x:c r="B1494" s="1"/>
      <x:c r="C1494" s="1"/>
      <x:c r="D1494" s="1"/>
      <x:c r="E1494" s="1"/>
      <x:c r="F1494" s="1"/>
      <x:c r="G1494" s="1"/>
      <x:c r="H1494" s="1"/>
      <x:c r="I1494" s="1"/>
      <x:c r="J1494" s="1"/>
      <x:c r="K1494" s="1"/>
      <x:c r="L1494" s="1"/>
      <x:c r="M1494" s="1"/>
      <x:c r="N1494" s="1"/>
      <x:c r="O1494" s="1"/>
      <x:c r="P1494" s="1"/>
      <x:c r="Q1494" s="1"/>
      <x:c r="R1494" s="1"/>
      <x:c r="S1494" s="1"/>
      <x:c r="T1494" s="1"/>
      <x:c r="U1494" s="1"/>
      <x:c r="V1494" s="1"/>
    </x:row>
    <x:row r="1495">
      <x:c r="A1495" s="1"/>
      <x:c r="B1495" s="1"/>
      <x:c r="C1495" s="1"/>
      <x:c r="D1495" s="1"/>
      <x:c r="E1495" s="1"/>
      <x:c r="F1495" s="1"/>
      <x:c r="G1495" s="1"/>
      <x:c r="H1495" s="1"/>
      <x:c r="I1495" s="1"/>
      <x:c r="J1495" s="1"/>
      <x:c r="K1495" s="1"/>
      <x:c r="L1495" s="1"/>
      <x:c r="M1495" s="1"/>
      <x:c r="N1495" s="1"/>
      <x:c r="O1495" s="1"/>
      <x:c r="P1495" s="1"/>
      <x:c r="Q1495" s="1"/>
      <x:c r="R1495" s="1"/>
      <x:c r="S1495" s="1"/>
      <x:c r="T1495" s="1"/>
      <x:c r="U1495" s="1"/>
      <x:c r="V1495" s="1"/>
    </x:row>
    <x:row r="1496">
      <x:c r="A1496" s="1"/>
      <x:c r="B1496" s="1"/>
      <x:c r="C1496" s="1"/>
      <x:c r="D1496" s="1"/>
      <x:c r="E1496" s="1"/>
      <x:c r="F1496" s="1"/>
      <x:c r="G1496" s="1"/>
      <x:c r="H1496" s="1"/>
      <x:c r="I1496" s="1"/>
      <x:c r="J1496" s="1"/>
      <x:c r="K1496" s="1"/>
      <x:c r="L1496" s="1"/>
      <x:c r="M1496" s="1"/>
      <x:c r="N1496" s="1"/>
      <x:c r="O1496" s="1"/>
      <x:c r="P1496" s="1"/>
      <x:c r="Q1496" s="1"/>
      <x:c r="R1496" s="1"/>
      <x:c r="S1496" s="1"/>
      <x:c r="T1496" s="1"/>
      <x:c r="U1496" s="1"/>
      <x:c r="V1496" s="1"/>
    </x:row>
    <x:row r="1497">
      <x:c r="A1497" s="1"/>
      <x:c r="B1497" s="1"/>
      <x:c r="C1497" s="1"/>
      <x:c r="D1497" s="1"/>
      <x:c r="E1497" s="1"/>
      <x:c r="F1497" s="1"/>
      <x:c r="G1497" s="1"/>
      <x:c r="H1497" s="1"/>
      <x:c r="I1497" s="1"/>
      <x:c r="J1497" s="1"/>
      <x:c r="K1497" s="1"/>
      <x:c r="L1497" s="1"/>
      <x:c r="M1497" s="1"/>
      <x:c r="N1497" s="1"/>
      <x:c r="O1497" s="1"/>
      <x:c r="P1497" s="1"/>
      <x:c r="Q1497" s="1"/>
      <x:c r="R1497" s="1"/>
      <x:c r="S1497" s="1"/>
      <x:c r="T1497" s="1"/>
      <x:c r="U1497" s="1"/>
      <x:c r="V1497" s="1"/>
    </x:row>
    <x:row r="1498">
      <x:c r="A1498" s="1"/>
      <x:c r="B1498" s="1"/>
      <x:c r="C1498" s="1"/>
      <x:c r="D1498" s="1"/>
      <x:c r="E1498" s="1"/>
      <x:c r="F1498" s="1"/>
      <x:c r="G1498" s="1"/>
      <x:c r="H1498" s="1"/>
      <x:c r="I1498" s="1"/>
      <x:c r="J1498" s="1"/>
      <x:c r="K1498" s="1"/>
      <x:c r="L1498" s="1"/>
      <x:c r="M1498" s="1"/>
      <x:c r="N1498" s="1"/>
      <x:c r="O1498" s="1"/>
      <x:c r="P1498" s="1"/>
      <x:c r="Q1498" s="1"/>
      <x:c r="R1498" s="1"/>
      <x:c r="S1498" s="1"/>
      <x:c r="T1498" s="1"/>
      <x:c r="U1498" s="1"/>
      <x:c r="V1498" s="1"/>
    </x:row>
    <x:row r="1499">
      <x:c r="A1499" s="1"/>
      <x:c r="B1499" s="1"/>
      <x:c r="C1499" s="1"/>
      <x:c r="D1499" s="1"/>
      <x:c r="E1499" s="1"/>
      <x:c r="F1499" s="1"/>
      <x:c r="G1499" s="1"/>
      <x:c r="H1499" s="1"/>
      <x:c r="I1499" s="1"/>
      <x:c r="J1499" s="1"/>
      <x:c r="K1499" s="1"/>
      <x:c r="L1499" s="1"/>
      <x:c r="M1499" s="1"/>
      <x:c r="N1499" s="1"/>
      <x:c r="O1499" s="1"/>
      <x:c r="P1499" s="1"/>
      <x:c r="Q1499" s="1"/>
      <x:c r="R1499" s="1"/>
      <x:c r="S1499" s="1"/>
      <x:c r="T1499" s="1"/>
      <x:c r="U1499" s="1"/>
      <x:c r="V1499" s="1"/>
    </x:row>
    <x:row r="1500">
      <x:c r="A1500" s="1"/>
      <x:c r="B1500" s="1"/>
      <x:c r="C1500" s="1"/>
      <x:c r="D1500" s="1"/>
      <x:c r="E1500" s="1"/>
      <x:c r="F1500" s="1"/>
      <x:c r="G1500" s="1"/>
      <x:c r="H1500" s="1"/>
      <x:c r="I1500" s="1"/>
      <x:c r="J1500" s="1"/>
      <x:c r="K1500" s="1"/>
      <x:c r="L1500" s="1"/>
      <x:c r="M1500" s="1"/>
      <x:c r="N1500" s="1"/>
      <x:c r="O1500" s="1"/>
      <x:c r="P1500" s="1"/>
      <x:c r="Q1500" s="1"/>
      <x:c r="R1500" s="1"/>
      <x:c r="S1500" s="1"/>
      <x:c r="T1500" s="1"/>
      <x:c r="U1500" s="1"/>
      <x:c r="V1500" s="1"/>
    </x:row>
    <x:row r="1501">
      <x:c r="A1501" s="1"/>
      <x:c r="B1501" s="1"/>
      <x:c r="C1501" s="1"/>
      <x:c r="D1501" s="1"/>
      <x:c r="E1501" s="1"/>
      <x:c r="F1501" s="1"/>
      <x:c r="G1501" s="1"/>
      <x:c r="H1501" s="1"/>
      <x:c r="I1501" s="1"/>
      <x:c r="J1501" s="1"/>
      <x:c r="K1501" s="1"/>
      <x:c r="L1501" s="1"/>
      <x:c r="M1501" s="1"/>
      <x:c r="N1501" s="1"/>
      <x:c r="O1501" s="1"/>
      <x:c r="P1501" s="1"/>
      <x:c r="Q1501" s="1"/>
      <x:c r="R1501" s="1"/>
      <x:c r="S1501" s="1"/>
      <x:c r="T1501" s="1"/>
      <x:c r="U1501" s="1"/>
      <x:c r="V1501" s="1"/>
    </x:row>
    <x:row r="1502">
      <x:c r="A1502" s="1"/>
      <x:c r="B1502" s="1"/>
      <x:c r="C1502" s="1"/>
      <x:c r="D1502" s="1"/>
      <x:c r="E1502" s="1"/>
      <x:c r="F1502" s="1"/>
      <x:c r="G1502" s="1"/>
      <x:c r="H1502" s="1"/>
      <x:c r="I1502" s="1"/>
      <x:c r="J1502" s="1"/>
      <x:c r="K1502" s="1"/>
      <x:c r="L1502" s="1"/>
      <x:c r="M1502" s="1"/>
      <x:c r="N1502" s="1"/>
      <x:c r="O1502" s="1"/>
      <x:c r="P1502" s="1"/>
      <x:c r="Q1502" s="1"/>
      <x:c r="R1502" s="1"/>
      <x:c r="S1502" s="1"/>
      <x:c r="T1502" s="1"/>
      <x:c r="U1502" s="1"/>
      <x:c r="V1502" s="1"/>
    </x:row>
    <x:row r="1503">
      <x:c r="A1503" s="1"/>
      <x:c r="B1503" s="1"/>
      <x:c r="C1503" s="1"/>
      <x:c r="D1503" s="1"/>
      <x:c r="E1503" s="1"/>
      <x:c r="F1503" s="1"/>
      <x:c r="G1503" s="1"/>
      <x:c r="H1503" s="1"/>
      <x:c r="I1503" s="1"/>
      <x:c r="J1503" s="1"/>
      <x:c r="K1503" s="1"/>
      <x:c r="L1503" s="1"/>
      <x:c r="M1503" s="1"/>
      <x:c r="N1503" s="1"/>
      <x:c r="O1503" s="1"/>
      <x:c r="P1503" s="1"/>
      <x:c r="Q1503" s="1"/>
      <x:c r="R1503" s="1"/>
      <x:c r="S1503" s="1"/>
      <x:c r="T1503" s="1"/>
      <x:c r="U1503" s="1"/>
      <x:c r="V1503" s="1"/>
    </x:row>
    <x:row r="1504">
      <x:c r="A1504" s="1"/>
      <x:c r="B1504" s="1"/>
      <x:c r="C1504" s="1"/>
      <x:c r="D1504" s="1"/>
      <x:c r="E1504" s="1"/>
      <x:c r="F1504" s="1"/>
      <x:c r="G1504" s="1"/>
      <x:c r="H1504" s="1"/>
      <x:c r="I1504" s="1"/>
      <x:c r="J1504" s="1"/>
      <x:c r="K1504" s="1"/>
      <x:c r="L1504" s="1"/>
      <x:c r="M1504" s="1"/>
      <x:c r="N1504" s="1"/>
      <x:c r="O1504" s="1"/>
      <x:c r="P1504" s="1"/>
      <x:c r="Q1504" s="1"/>
      <x:c r="R1504" s="1"/>
      <x:c r="S1504" s="1"/>
      <x:c r="T1504" s="1"/>
      <x:c r="U1504" s="1"/>
      <x:c r="V1504" s="1"/>
    </x:row>
    <x:row r="1505">
      <x:c r="A1505" s="1"/>
      <x:c r="B1505" s="1"/>
      <x:c r="C1505" s="1"/>
      <x:c r="D1505" s="1"/>
      <x:c r="E1505" s="1"/>
      <x:c r="F1505" s="1"/>
      <x:c r="G1505" s="1"/>
      <x:c r="H1505" s="1"/>
      <x:c r="I1505" s="1"/>
      <x:c r="J1505" s="1"/>
      <x:c r="K1505" s="1"/>
      <x:c r="L1505" s="1"/>
      <x:c r="M1505" s="1"/>
      <x:c r="N1505" s="1"/>
      <x:c r="O1505" s="1"/>
      <x:c r="P1505" s="1"/>
      <x:c r="Q1505" s="1"/>
      <x:c r="R1505" s="1"/>
      <x:c r="S1505" s="1"/>
      <x:c r="T1505" s="1"/>
      <x:c r="U1505" s="1"/>
      <x:c r="V1505" s="1"/>
    </x:row>
    <x:row r="1506">
      <x:c r="A1506" s="1"/>
      <x:c r="B1506" s="1"/>
      <x:c r="C1506" s="1"/>
      <x:c r="D1506" s="1"/>
      <x:c r="E1506" s="1"/>
      <x:c r="F1506" s="1"/>
      <x:c r="G1506" s="1"/>
      <x:c r="H1506" s="1"/>
      <x:c r="I1506" s="1"/>
      <x:c r="J1506" s="1"/>
      <x:c r="K1506" s="1"/>
      <x:c r="L1506" s="1"/>
      <x:c r="M1506" s="1"/>
      <x:c r="N1506" s="1"/>
      <x:c r="O1506" s="1"/>
      <x:c r="P1506" s="1"/>
      <x:c r="Q1506" s="1"/>
      <x:c r="R1506" s="1"/>
      <x:c r="S1506" s="1"/>
      <x:c r="T1506" s="1"/>
      <x:c r="U1506" s="1"/>
      <x:c r="V1506" s="1"/>
    </x:row>
    <x:row r="1507">
      <x:c r="A1507" s="1"/>
      <x:c r="B1507" s="1"/>
      <x:c r="C1507" s="1"/>
      <x:c r="D1507" s="1"/>
      <x:c r="E1507" s="1"/>
      <x:c r="F1507" s="1"/>
      <x:c r="G1507" s="1"/>
      <x:c r="H1507" s="1"/>
      <x:c r="I1507" s="1"/>
      <x:c r="J1507" s="1"/>
      <x:c r="K1507" s="1"/>
      <x:c r="L1507" s="1"/>
      <x:c r="M1507" s="1"/>
      <x:c r="N1507" s="1"/>
      <x:c r="O1507" s="1"/>
      <x:c r="P1507" s="1"/>
      <x:c r="Q1507" s="1"/>
      <x:c r="R1507" s="1"/>
      <x:c r="S1507" s="1"/>
      <x:c r="T1507" s="1"/>
      <x:c r="U1507" s="1"/>
      <x:c r="V1507" s="1"/>
    </x:row>
    <x:row r="1508">
      <x:c r="A1508" s="1"/>
      <x:c r="B1508" s="1"/>
      <x:c r="C1508" s="1"/>
      <x:c r="D1508" s="1"/>
      <x:c r="E1508" s="1"/>
      <x:c r="F1508" s="1"/>
      <x:c r="G1508" s="1"/>
      <x:c r="H1508" s="1"/>
      <x:c r="I1508" s="1"/>
      <x:c r="J1508" s="1"/>
      <x:c r="K1508" s="1"/>
      <x:c r="L1508" s="1"/>
      <x:c r="M1508" s="1"/>
      <x:c r="N1508" s="1"/>
      <x:c r="O1508" s="1"/>
      <x:c r="P1508" s="1"/>
      <x:c r="Q1508" s="1"/>
      <x:c r="R1508" s="1"/>
      <x:c r="S1508" s="1"/>
      <x:c r="T1508" s="1"/>
      <x:c r="U1508" s="1"/>
      <x:c r="V1508" s="1"/>
    </x:row>
    <x:row r="1509">
      <x:c r="A1509" s="1"/>
      <x:c r="B1509" s="1"/>
      <x:c r="C1509" s="1"/>
      <x:c r="D1509" s="1"/>
      <x:c r="E1509" s="1"/>
      <x:c r="F1509" s="1"/>
      <x:c r="G1509" s="1"/>
      <x:c r="H1509" s="1"/>
      <x:c r="I1509" s="1"/>
      <x:c r="J1509" s="1"/>
      <x:c r="K1509" s="1"/>
      <x:c r="L1509" s="1"/>
      <x:c r="M1509" s="1"/>
      <x:c r="N1509" s="1"/>
      <x:c r="O1509" s="1"/>
      <x:c r="P1509" s="1"/>
      <x:c r="Q1509" s="1"/>
      <x:c r="R1509" s="1"/>
      <x:c r="S1509" s="1"/>
      <x:c r="T1509" s="1"/>
      <x:c r="U1509" s="1"/>
      <x:c r="V1509" s="1"/>
    </x:row>
    <x:row r="1510">
      <x:c r="A1510" s="1"/>
      <x:c r="B1510" s="1"/>
      <x:c r="C1510" s="1"/>
      <x:c r="D1510" s="1"/>
      <x:c r="E1510" s="1"/>
      <x:c r="F1510" s="1"/>
      <x:c r="G1510" s="1"/>
      <x:c r="H1510" s="1"/>
      <x:c r="I1510" s="1"/>
      <x:c r="J1510" s="1"/>
      <x:c r="K1510" s="1"/>
      <x:c r="L1510" s="1"/>
      <x:c r="M1510" s="1"/>
      <x:c r="N1510" s="1"/>
      <x:c r="O1510" s="1"/>
      <x:c r="P1510" s="1"/>
      <x:c r="Q1510" s="1"/>
      <x:c r="R1510" s="1"/>
      <x:c r="S1510" s="1"/>
      <x:c r="T1510" s="1"/>
      <x:c r="U1510" s="1"/>
      <x:c r="V1510" s="1"/>
    </x:row>
    <x:row r="1511">
      <x:c r="A1511" s="1"/>
      <x:c r="B1511" s="1"/>
      <x:c r="C1511" s="1"/>
      <x:c r="D1511" s="1"/>
      <x:c r="E1511" s="1"/>
      <x:c r="F1511" s="1"/>
      <x:c r="G1511" s="1"/>
      <x:c r="H1511" s="1"/>
      <x:c r="I1511" s="1"/>
      <x:c r="J1511" s="1"/>
      <x:c r="K1511" s="1"/>
      <x:c r="L1511" s="1"/>
      <x:c r="M1511" s="1"/>
      <x:c r="N1511" s="1"/>
      <x:c r="O1511" s="1"/>
      <x:c r="P1511" s="1"/>
      <x:c r="Q1511" s="1"/>
      <x:c r="R1511" s="1"/>
      <x:c r="S1511" s="1"/>
      <x:c r="T1511" s="1"/>
      <x:c r="U1511" s="1"/>
      <x:c r="V1511" s="1"/>
    </x:row>
    <x:row r="1512">
      <x:c r="A1512" s="1"/>
      <x:c r="B1512" s="1"/>
      <x:c r="C1512" s="1"/>
      <x:c r="D1512" s="1"/>
      <x:c r="E1512" s="1"/>
      <x:c r="F1512" s="1"/>
      <x:c r="G1512" s="1"/>
      <x:c r="H1512" s="1"/>
      <x:c r="I1512" s="1"/>
      <x:c r="J1512" s="1"/>
      <x:c r="K1512" s="1"/>
      <x:c r="L1512" s="1"/>
      <x:c r="M1512" s="1"/>
      <x:c r="N1512" s="1"/>
      <x:c r="O1512" s="1"/>
      <x:c r="P1512" s="1"/>
      <x:c r="Q1512" s="1"/>
      <x:c r="R1512" s="1"/>
      <x:c r="S1512" s="1"/>
      <x:c r="T1512" s="1"/>
      <x:c r="U1512" s="1"/>
      <x:c r="V1512" s="1"/>
    </x:row>
    <x:row r="1513">
      <x:c r="A1513" s="1"/>
      <x:c r="B1513" s="1"/>
      <x:c r="C1513" s="1"/>
      <x:c r="D1513" s="1"/>
      <x:c r="E1513" s="1"/>
      <x:c r="F1513" s="1"/>
      <x:c r="G1513" s="1"/>
      <x:c r="H1513" s="1"/>
      <x:c r="I1513" s="1"/>
      <x:c r="J1513" s="1"/>
      <x:c r="K1513" s="1"/>
      <x:c r="L1513" s="1"/>
      <x:c r="M1513" s="1"/>
      <x:c r="N1513" s="1"/>
      <x:c r="O1513" s="1"/>
      <x:c r="P1513" s="1"/>
      <x:c r="Q1513" s="1"/>
      <x:c r="R1513" s="1"/>
      <x:c r="S1513" s="1"/>
      <x:c r="T1513" s="1"/>
      <x:c r="U1513" s="1"/>
      <x:c r="V1513" s="1"/>
    </x:row>
    <x:row r="1514">
      <x:c r="A1514" s="1"/>
      <x:c r="B1514" s="1"/>
      <x:c r="C1514" s="1"/>
      <x:c r="D1514" s="1"/>
      <x:c r="E1514" s="1"/>
      <x:c r="F1514" s="1"/>
      <x:c r="G1514" s="1"/>
      <x:c r="H1514" s="1"/>
      <x:c r="I1514" s="1"/>
      <x:c r="J1514" s="1"/>
      <x:c r="K1514" s="1"/>
      <x:c r="L1514" s="1"/>
      <x:c r="M1514" s="1"/>
      <x:c r="N1514" s="1"/>
      <x:c r="O1514" s="1"/>
      <x:c r="P1514" s="1"/>
      <x:c r="Q1514" s="1"/>
      <x:c r="R1514" s="1"/>
      <x:c r="S1514" s="1"/>
      <x:c r="T1514" s="1"/>
      <x:c r="U1514" s="1"/>
      <x:c r="V1514" s="1"/>
    </x:row>
    <x:row r="1515">
      <x:c r="A1515" s="1"/>
      <x:c r="B1515" s="1"/>
      <x:c r="C1515" s="1"/>
      <x:c r="D1515" s="1"/>
      <x:c r="E1515" s="1"/>
      <x:c r="F1515" s="1"/>
      <x:c r="G1515" s="1"/>
      <x:c r="H1515" s="1"/>
      <x:c r="I1515" s="1"/>
      <x:c r="J1515" s="1"/>
      <x:c r="K1515" s="1"/>
      <x:c r="L1515" s="1"/>
      <x:c r="M1515" s="1"/>
      <x:c r="N1515" s="1"/>
      <x:c r="O1515" s="1"/>
      <x:c r="P1515" s="1"/>
      <x:c r="Q1515" s="1"/>
      <x:c r="R1515" s="1"/>
      <x:c r="S1515" s="1"/>
      <x:c r="T1515" s="1"/>
      <x:c r="U1515" s="1"/>
      <x:c r="V1515" s="1"/>
    </x:row>
    <x:row r="1516">
      <x:c r="A1516" s="1"/>
      <x:c r="B1516" s="1"/>
      <x:c r="C1516" s="1"/>
      <x:c r="D1516" s="1"/>
      <x:c r="E1516" s="1"/>
      <x:c r="F1516" s="1"/>
      <x:c r="G1516" s="1"/>
      <x:c r="H1516" s="1"/>
      <x:c r="I1516" s="1"/>
      <x:c r="J1516" s="1"/>
      <x:c r="K1516" s="1"/>
      <x:c r="L1516" s="1"/>
      <x:c r="M1516" s="1"/>
      <x:c r="N1516" s="1"/>
      <x:c r="O1516" s="1"/>
      <x:c r="P1516" s="1"/>
      <x:c r="Q1516" s="1"/>
      <x:c r="R1516" s="1"/>
      <x:c r="S1516" s="1"/>
      <x:c r="T1516" s="1"/>
      <x:c r="U1516" s="1"/>
      <x:c r="V1516" s="1"/>
    </x:row>
    <x:row r="1517">
      <x:c r="A1517" s="1"/>
      <x:c r="B1517" s="1"/>
      <x:c r="C1517" s="1"/>
      <x:c r="D1517" s="1"/>
      <x:c r="E1517" s="1"/>
      <x:c r="F1517" s="1"/>
      <x:c r="G1517" s="1"/>
      <x:c r="H1517" s="1"/>
      <x:c r="I1517" s="1"/>
      <x:c r="J1517" s="1"/>
      <x:c r="K1517" s="1"/>
      <x:c r="L1517" s="1"/>
      <x:c r="M1517" s="1"/>
      <x:c r="N1517" s="1"/>
      <x:c r="O1517" s="1"/>
      <x:c r="P1517" s="1"/>
      <x:c r="Q1517" s="1"/>
      <x:c r="R1517" s="1"/>
      <x:c r="S1517" s="1"/>
      <x:c r="T1517" s="1"/>
      <x:c r="U1517" s="1"/>
      <x:c r="V1517" s="1"/>
    </x:row>
    <x:row r="1518">
      <x:c r="A1518" s="1"/>
      <x:c r="B1518" s="1"/>
      <x:c r="C1518" s="1"/>
      <x:c r="D1518" s="1"/>
      <x:c r="E1518" s="1"/>
      <x:c r="F1518" s="1"/>
      <x:c r="G1518" s="1"/>
      <x:c r="H1518" s="1"/>
      <x:c r="I1518" s="1"/>
      <x:c r="J1518" s="1"/>
      <x:c r="K1518" s="1"/>
      <x:c r="L1518" s="1"/>
      <x:c r="M1518" s="1"/>
      <x:c r="N1518" s="1"/>
      <x:c r="O1518" s="1"/>
      <x:c r="P1518" s="1"/>
      <x:c r="Q1518" s="1"/>
      <x:c r="R1518" s="1"/>
      <x:c r="S1518" s="1"/>
      <x:c r="T1518" s="1"/>
      <x:c r="U1518" s="1"/>
      <x:c r="V1518" s="1"/>
    </x:row>
    <x:row r="1519">
      <x:c r="A1519" s="1"/>
      <x:c r="B1519" s="1"/>
      <x:c r="C1519" s="1"/>
      <x:c r="D1519" s="1"/>
      <x:c r="E1519" s="1"/>
      <x:c r="F1519" s="1"/>
      <x:c r="G1519" s="1"/>
      <x:c r="H1519" s="1"/>
      <x:c r="I1519" s="1"/>
      <x:c r="J1519" s="1"/>
      <x:c r="K1519" s="1"/>
      <x:c r="L1519" s="1"/>
      <x:c r="M1519" s="1"/>
      <x:c r="N1519" s="1"/>
      <x:c r="O1519" s="1"/>
      <x:c r="P1519" s="1"/>
      <x:c r="Q1519" s="1"/>
      <x:c r="R1519" s="1"/>
      <x:c r="S1519" s="1"/>
      <x:c r="T1519" s="1"/>
      <x:c r="U1519" s="1"/>
      <x:c r="V1519" s="1"/>
    </x:row>
    <x:row r="1520">
      <x:c r="A1520" s="1"/>
      <x:c r="B1520" s="1"/>
      <x:c r="C1520" s="1"/>
      <x:c r="D1520" s="1"/>
      <x:c r="E1520" s="1"/>
      <x:c r="F1520" s="1"/>
      <x:c r="G1520" s="1"/>
      <x:c r="H1520" s="1"/>
      <x:c r="I1520" s="1"/>
      <x:c r="J1520" s="1"/>
      <x:c r="K1520" s="1"/>
      <x:c r="L1520" s="1"/>
      <x:c r="M1520" s="1"/>
      <x:c r="N1520" s="1"/>
      <x:c r="O1520" s="1"/>
      <x:c r="P1520" s="1"/>
      <x:c r="Q1520" s="1"/>
      <x:c r="R1520" s="1"/>
      <x:c r="S1520" s="1"/>
      <x:c r="T1520" s="1"/>
      <x:c r="U1520" s="1"/>
      <x:c r="V1520" s="1"/>
    </x:row>
    <x:row r="1521">
      <x:c r="A1521" s="1"/>
      <x:c r="B1521" s="1"/>
      <x:c r="C1521" s="1"/>
      <x:c r="D1521" s="1"/>
      <x:c r="E1521" s="1"/>
      <x:c r="F1521" s="1"/>
      <x:c r="G1521" s="1"/>
      <x:c r="H1521" s="1"/>
      <x:c r="I1521" s="1"/>
      <x:c r="J1521" s="1"/>
      <x:c r="K1521" s="1"/>
      <x:c r="L1521" s="1"/>
      <x:c r="M1521" s="1"/>
      <x:c r="N1521" s="1"/>
      <x:c r="O1521" s="1"/>
      <x:c r="P1521" s="1"/>
      <x:c r="Q1521" s="1"/>
      <x:c r="R1521" s="1"/>
      <x:c r="S1521" s="1"/>
      <x:c r="T1521" s="1"/>
      <x:c r="U1521" s="1"/>
      <x:c r="V1521" s="1"/>
    </x:row>
    <x:row r="1522">
      <x:c r="A1522" s="1"/>
      <x:c r="B1522" s="1"/>
      <x:c r="C1522" s="1"/>
      <x:c r="D1522" s="1"/>
      <x:c r="E1522" s="1"/>
      <x:c r="F1522" s="1"/>
      <x:c r="G1522" s="1"/>
      <x:c r="H1522" s="1"/>
      <x:c r="I1522" s="1"/>
      <x:c r="J1522" s="1"/>
      <x:c r="K1522" s="1"/>
      <x:c r="L1522" s="1"/>
      <x:c r="M1522" s="1"/>
      <x:c r="N1522" s="1"/>
      <x:c r="O1522" s="1"/>
      <x:c r="P1522" s="1"/>
      <x:c r="Q1522" s="1"/>
      <x:c r="R1522" s="1"/>
      <x:c r="S1522" s="1"/>
      <x:c r="T1522" s="1"/>
      <x:c r="U1522" s="1"/>
      <x:c r="V1522" s="1"/>
    </x:row>
    <x:row r="1523">
      <x:c r="A1523" s="1"/>
      <x:c r="B1523" s="1"/>
      <x:c r="C1523" s="1"/>
      <x:c r="D1523" s="1"/>
      <x:c r="E1523" s="1"/>
      <x:c r="F1523" s="1"/>
      <x:c r="G1523" s="1"/>
      <x:c r="H1523" s="1"/>
      <x:c r="I1523" s="1"/>
      <x:c r="J1523" s="1"/>
      <x:c r="K1523" s="1"/>
      <x:c r="L1523" s="1"/>
      <x:c r="M1523" s="1"/>
      <x:c r="N1523" s="1"/>
      <x:c r="O1523" s="1"/>
      <x:c r="P1523" s="1"/>
      <x:c r="Q1523" s="1"/>
      <x:c r="R1523" s="1"/>
      <x:c r="S1523" s="1"/>
      <x:c r="T1523" s="1"/>
      <x:c r="U1523" s="1"/>
      <x:c r="V1523" s="1"/>
    </x:row>
    <x:row r="1524">
      <x:c r="A1524" s="1"/>
      <x:c r="B1524" s="1"/>
      <x:c r="C1524" s="1"/>
      <x:c r="D1524" s="1"/>
      <x:c r="E1524" s="1"/>
      <x:c r="F1524" s="1"/>
      <x:c r="G1524" s="1"/>
      <x:c r="H1524" s="1"/>
      <x:c r="I1524" s="1"/>
      <x:c r="J1524" s="1"/>
      <x:c r="K1524" s="1"/>
      <x:c r="L1524" s="1"/>
      <x:c r="M1524" s="1"/>
      <x:c r="N1524" s="1"/>
      <x:c r="O1524" s="1"/>
      <x:c r="P1524" s="1"/>
      <x:c r="Q1524" s="1"/>
      <x:c r="R1524" s="1"/>
      <x:c r="S1524" s="1"/>
      <x:c r="T1524" s="1"/>
      <x:c r="U1524" s="1"/>
      <x:c r="V1524" s="1"/>
    </x:row>
    <x:row r="1525">
      <x:c r="A1525" s="1"/>
      <x:c r="B1525" s="1"/>
      <x:c r="C1525" s="1"/>
      <x:c r="D1525" s="1"/>
      <x:c r="E1525" s="1"/>
      <x:c r="F1525" s="1"/>
      <x:c r="G1525" s="1"/>
      <x:c r="H1525" s="1"/>
      <x:c r="I1525" s="1"/>
      <x:c r="J1525" s="1"/>
      <x:c r="K1525" s="1"/>
      <x:c r="L1525" s="1"/>
      <x:c r="M1525" s="1"/>
      <x:c r="N1525" s="1"/>
      <x:c r="O1525" s="1"/>
      <x:c r="P1525" s="1"/>
      <x:c r="Q1525" s="1"/>
      <x:c r="R1525" s="1"/>
      <x:c r="S1525" s="1"/>
      <x:c r="T1525" s="1"/>
      <x:c r="U1525" s="1"/>
      <x:c r="V1525" s="1"/>
    </x:row>
    <x:row r="1526">
      <x:c r="A1526" s="1"/>
      <x:c r="B1526" s="1"/>
      <x:c r="C1526" s="1"/>
      <x:c r="D1526" s="1"/>
      <x:c r="E1526" s="1"/>
      <x:c r="F1526" s="1"/>
      <x:c r="G1526" s="1"/>
      <x:c r="H1526" s="1"/>
      <x:c r="I1526" s="1"/>
      <x:c r="J1526" s="1"/>
      <x:c r="K1526" s="1"/>
      <x:c r="L1526" s="1"/>
      <x:c r="M1526" s="1"/>
      <x:c r="N1526" s="1"/>
      <x:c r="O1526" s="1"/>
      <x:c r="P1526" s="1"/>
      <x:c r="Q1526" s="1"/>
      <x:c r="R1526" s="1"/>
      <x:c r="S1526" s="1"/>
      <x:c r="T1526" s="1"/>
      <x:c r="U1526" s="1"/>
      <x:c r="V1526" s="1"/>
    </x:row>
    <x:row r="1527">
      <x:c r="A1527" s="1"/>
      <x:c r="B1527" s="1"/>
      <x:c r="C1527" s="1"/>
      <x:c r="D1527" s="1"/>
      <x:c r="E1527" s="1"/>
      <x:c r="F1527" s="1"/>
      <x:c r="G1527" s="1"/>
      <x:c r="H1527" s="1"/>
      <x:c r="I1527" s="1"/>
      <x:c r="J1527" s="1"/>
      <x:c r="K1527" s="1"/>
      <x:c r="L1527" s="1"/>
      <x:c r="M1527" s="1"/>
      <x:c r="N1527" s="1"/>
      <x:c r="O1527" s="1"/>
      <x:c r="P1527" s="1"/>
      <x:c r="Q1527" s="1"/>
      <x:c r="R1527" s="1"/>
      <x:c r="S1527" s="1"/>
      <x:c r="T1527" s="1"/>
      <x:c r="U1527" s="1"/>
      <x:c r="V1527" s="1"/>
    </x:row>
    <x:row r="1528">
      <x:c r="A1528" s="1"/>
      <x:c r="B1528" s="1"/>
      <x:c r="C1528" s="1"/>
      <x:c r="D1528" s="1"/>
      <x:c r="E1528" s="1"/>
      <x:c r="F1528" s="1"/>
      <x:c r="G1528" s="1"/>
      <x:c r="H1528" s="1"/>
      <x:c r="I1528" s="1"/>
      <x:c r="J1528" s="1"/>
      <x:c r="K1528" s="1"/>
      <x:c r="L1528" s="1"/>
      <x:c r="M1528" s="1"/>
      <x:c r="N1528" s="1"/>
      <x:c r="O1528" s="1"/>
      <x:c r="P1528" s="1"/>
      <x:c r="Q1528" s="1"/>
      <x:c r="R1528" s="1"/>
      <x:c r="S1528" s="1"/>
      <x:c r="T1528" s="1"/>
      <x:c r="U1528" s="1"/>
      <x:c r="V1528" s="1"/>
    </x:row>
    <x:row r="1529">
      <x:c r="A1529" s="1"/>
      <x:c r="B1529" s="1"/>
      <x:c r="C1529" s="1"/>
      <x:c r="D1529" s="1"/>
      <x:c r="E1529" s="1"/>
      <x:c r="F1529" s="1"/>
      <x:c r="G1529" s="1"/>
      <x:c r="H1529" s="1"/>
      <x:c r="I1529" s="1"/>
      <x:c r="J1529" s="1"/>
      <x:c r="K1529" s="1"/>
      <x:c r="L1529" s="1"/>
      <x:c r="M1529" s="1"/>
      <x:c r="N1529" s="1"/>
      <x:c r="O1529" s="1"/>
      <x:c r="P1529" s="1"/>
      <x:c r="Q1529" s="1"/>
      <x:c r="R1529" s="1"/>
      <x:c r="S1529" s="1"/>
      <x:c r="T1529" s="1"/>
      <x:c r="U1529" s="1"/>
      <x:c r="V1529" s="1"/>
    </x:row>
    <x:row r="1530">
      <x:c r="A1530" s="1"/>
      <x:c r="B1530" s="1"/>
      <x:c r="C1530" s="1"/>
      <x:c r="D1530" s="1"/>
      <x:c r="E1530" s="1"/>
      <x:c r="F1530" s="1"/>
      <x:c r="G1530" s="1"/>
      <x:c r="H1530" s="1"/>
      <x:c r="I1530" s="1"/>
      <x:c r="J1530" s="1"/>
      <x:c r="K1530" s="1"/>
      <x:c r="L1530" s="1"/>
      <x:c r="M1530" s="1"/>
      <x:c r="N1530" s="1"/>
      <x:c r="O1530" s="1"/>
      <x:c r="P1530" s="1"/>
      <x:c r="Q1530" s="1"/>
      <x:c r="R1530" s="1"/>
      <x:c r="S1530" s="1"/>
      <x:c r="T1530" s="1"/>
      <x:c r="U1530" s="1"/>
      <x:c r="V1530" s="1"/>
    </x:row>
    <x:row r="1531">
      <x:c r="A1531" s="1"/>
      <x:c r="B1531" s="1"/>
      <x:c r="C1531" s="1"/>
      <x:c r="D1531" s="1"/>
      <x:c r="E1531" s="1"/>
      <x:c r="F1531" s="1"/>
      <x:c r="G1531" s="1"/>
      <x:c r="H1531" s="1"/>
      <x:c r="I1531" s="1"/>
      <x:c r="J1531" s="1"/>
      <x:c r="K1531" s="1"/>
      <x:c r="L1531" s="1"/>
      <x:c r="M1531" s="1"/>
      <x:c r="N1531" s="1"/>
      <x:c r="O1531" s="1"/>
      <x:c r="P1531" s="1"/>
      <x:c r="Q1531" s="1"/>
      <x:c r="R1531" s="1"/>
      <x:c r="S1531" s="1"/>
      <x:c r="T1531" s="1"/>
      <x:c r="U1531" s="1"/>
      <x:c r="V1531" s="1"/>
    </x:row>
    <x:row r="1532">
      <x:c r="A1532" s="1"/>
      <x:c r="B1532" s="1"/>
      <x:c r="C1532" s="1"/>
      <x:c r="D1532" s="1"/>
      <x:c r="E1532" s="1"/>
      <x:c r="F1532" s="1"/>
      <x:c r="G1532" s="1"/>
      <x:c r="H1532" s="1"/>
      <x:c r="I1532" s="1"/>
      <x:c r="J1532" s="1"/>
      <x:c r="K1532" s="1"/>
      <x:c r="L1532" s="1"/>
      <x:c r="M1532" s="1"/>
      <x:c r="N1532" s="1"/>
      <x:c r="O1532" s="1"/>
      <x:c r="P1532" s="1"/>
      <x:c r="Q1532" s="1"/>
      <x:c r="R1532" s="1"/>
      <x:c r="S1532" s="1"/>
      <x:c r="T1532" s="1"/>
      <x:c r="U1532" s="1"/>
      <x:c r="V1532" s="1"/>
    </x:row>
    <x:row r="1533">
      <x:c r="A1533" s="1"/>
      <x:c r="B1533" s="1"/>
      <x:c r="C1533" s="1"/>
      <x:c r="D1533" s="1"/>
      <x:c r="E1533" s="1"/>
      <x:c r="F1533" s="1"/>
      <x:c r="G1533" s="1"/>
      <x:c r="H1533" s="1"/>
      <x:c r="I1533" s="1"/>
      <x:c r="J1533" s="1"/>
      <x:c r="K1533" s="1"/>
      <x:c r="L1533" s="1"/>
      <x:c r="M1533" s="1"/>
      <x:c r="N1533" s="1"/>
      <x:c r="O1533" s="1"/>
      <x:c r="P1533" s="1"/>
      <x:c r="Q1533" s="1"/>
      <x:c r="R1533" s="1"/>
      <x:c r="S1533" s="1"/>
      <x:c r="T1533" s="1"/>
      <x:c r="U1533" s="1"/>
      <x:c r="V1533" s="1"/>
    </x:row>
    <x:row r="1534">
      <x:c r="A1534" s="1"/>
      <x:c r="B1534" s="1"/>
      <x:c r="C1534" s="1"/>
      <x:c r="D1534" s="1"/>
      <x:c r="E1534" s="1"/>
      <x:c r="F1534" s="1"/>
      <x:c r="G1534" s="1"/>
      <x:c r="H1534" s="1"/>
      <x:c r="I1534" s="1"/>
      <x:c r="J1534" s="1"/>
      <x:c r="K1534" s="1"/>
      <x:c r="L1534" s="1"/>
      <x:c r="M1534" s="1"/>
      <x:c r="N1534" s="1"/>
      <x:c r="O1534" s="1"/>
      <x:c r="P1534" s="1"/>
      <x:c r="Q1534" s="1"/>
      <x:c r="R1534" s="1"/>
      <x:c r="S1534" s="1"/>
      <x:c r="T1534" s="1"/>
      <x:c r="U1534" s="1"/>
      <x:c r="V1534" s="1"/>
    </x:row>
    <x:row r="1535">
      <x:c r="A1535" s="1"/>
      <x:c r="B1535" s="1"/>
      <x:c r="C1535" s="1"/>
      <x:c r="D1535" s="1"/>
      <x:c r="E1535" s="1"/>
      <x:c r="F1535" s="1"/>
      <x:c r="G1535" s="1"/>
      <x:c r="H1535" s="1"/>
      <x:c r="I1535" s="1"/>
      <x:c r="J1535" s="1"/>
      <x:c r="K1535" s="1"/>
      <x:c r="L1535" s="1"/>
      <x:c r="M1535" s="1"/>
      <x:c r="N1535" s="1"/>
      <x:c r="O1535" s="1"/>
      <x:c r="P1535" s="1"/>
      <x:c r="Q1535" s="1"/>
      <x:c r="R1535" s="1"/>
      <x:c r="S1535" s="1"/>
      <x:c r="T1535" s="1"/>
      <x:c r="U1535" s="1"/>
      <x:c r="V1535" s="1"/>
    </x:row>
    <x:row r="1536">
      <x:c r="A1536" s="1"/>
      <x:c r="B1536" s="1"/>
      <x:c r="C1536" s="1"/>
      <x:c r="D1536" s="1"/>
      <x:c r="E1536" s="1"/>
      <x:c r="F1536" s="1"/>
      <x:c r="G1536" s="1"/>
      <x:c r="H1536" s="1"/>
      <x:c r="I1536" s="1"/>
      <x:c r="J1536" s="1"/>
      <x:c r="K1536" s="1"/>
      <x:c r="L1536" s="1"/>
      <x:c r="M1536" s="1"/>
      <x:c r="N1536" s="1"/>
      <x:c r="O1536" s="1"/>
      <x:c r="P1536" s="1"/>
      <x:c r="Q1536" s="1"/>
      <x:c r="R1536" s="1"/>
      <x:c r="S1536" s="1"/>
      <x:c r="T1536" s="1"/>
      <x:c r="U1536" s="1"/>
      <x:c r="V1536" s="1"/>
    </x:row>
    <x:row r="1537">
      <x:c r="A1537" s="1"/>
      <x:c r="B1537" s="1"/>
      <x:c r="C1537" s="1"/>
      <x:c r="D1537" s="1"/>
      <x:c r="E1537" s="1"/>
      <x:c r="F1537" s="1"/>
      <x:c r="G1537" s="1"/>
      <x:c r="H1537" s="1"/>
      <x:c r="I1537" s="1"/>
      <x:c r="J1537" s="1"/>
      <x:c r="K1537" s="1"/>
      <x:c r="L1537" s="1"/>
      <x:c r="M1537" s="1"/>
      <x:c r="N1537" s="1"/>
      <x:c r="O1537" s="1"/>
      <x:c r="P1537" s="1"/>
      <x:c r="Q1537" s="1"/>
      <x:c r="R1537" s="1"/>
      <x:c r="S1537" s="1"/>
      <x:c r="T1537" s="1"/>
      <x:c r="U1537" s="1"/>
      <x:c r="V1537" s="1"/>
    </x:row>
    <x:row r="1538">
      <x:c r="A1538" s="1"/>
      <x:c r="B1538" s="1"/>
      <x:c r="C1538" s="1"/>
      <x:c r="D1538" s="1"/>
      <x:c r="E1538" s="1"/>
      <x:c r="F1538" s="1"/>
      <x:c r="G1538" s="1"/>
      <x:c r="H1538" s="1"/>
      <x:c r="I1538" s="1"/>
      <x:c r="J1538" s="1"/>
      <x:c r="K1538" s="1"/>
      <x:c r="L1538" s="1"/>
      <x:c r="M1538" s="1"/>
      <x:c r="N1538" s="1"/>
      <x:c r="O1538" s="1"/>
      <x:c r="P1538" s="1"/>
      <x:c r="Q1538" s="1"/>
      <x:c r="R1538" s="1"/>
      <x:c r="S1538" s="1"/>
      <x:c r="T1538" s="1"/>
      <x:c r="U1538" s="1"/>
      <x:c r="V1538" s="1"/>
    </x:row>
    <x:row r="1539">
      <x:c r="A1539" s="1"/>
      <x:c r="B1539" s="1"/>
      <x:c r="C1539" s="1"/>
      <x:c r="D1539" s="1"/>
      <x:c r="E1539" s="1"/>
      <x:c r="F1539" s="1"/>
      <x:c r="G1539" s="1"/>
      <x:c r="H1539" s="1"/>
      <x:c r="I1539" s="1"/>
      <x:c r="J1539" s="1"/>
      <x:c r="K1539" s="1"/>
      <x:c r="L1539" s="1"/>
      <x:c r="M1539" s="1"/>
      <x:c r="N1539" s="1"/>
      <x:c r="O1539" s="1"/>
      <x:c r="P1539" s="1"/>
      <x:c r="Q1539" s="1"/>
      <x:c r="R1539" s="1"/>
      <x:c r="S1539" s="1"/>
      <x:c r="T1539" s="1"/>
      <x:c r="U1539" s="1"/>
      <x:c r="V1539" s="1"/>
    </x:row>
    <x:row r="1540">
      <x:c r="A1540" s="1"/>
      <x:c r="B1540" s="1"/>
      <x:c r="C1540" s="1"/>
      <x:c r="D1540" s="1"/>
      <x:c r="E1540" s="1"/>
      <x:c r="F1540" s="1"/>
      <x:c r="G1540" s="1"/>
      <x:c r="H1540" s="1"/>
      <x:c r="I1540" s="1"/>
      <x:c r="J1540" s="1"/>
      <x:c r="K1540" s="1"/>
      <x:c r="L1540" s="1"/>
      <x:c r="M1540" s="1"/>
      <x:c r="N1540" s="1"/>
      <x:c r="O1540" s="1"/>
      <x:c r="P1540" s="1"/>
      <x:c r="Q1540" s="1"/>
      <x:c r="R1540" s="1"/>
      <x:c r="S1540" s="1"/>
      <x:c r="T1540" s="1"/>
      <x:c r="U1540" s="1"/>
      <x:c r="V1540" s="1"/>
    </x:row>
    <x:row r="1541">
      <x:c r="A1541" s="1"/>
      <x:c r="B1541" s="1"/>
      <x:c r="C1541" s="1"/>
      <x:c r="D1541" s="1"/>
      <x:c r="E1541" s="1"/>
      <x:c r="F1541" s="1"/>
      <x:c r="G1541" s="1"/>
      <x:c r="H1541" s="1"/>
      <x:c r="I1541" s="1"/>
      <x:c r="J1541" s="1"/>
      <x:c r="K1541" s="1"/>
      <x:c r="L1541" s="1"/>
      <x:c r="M1541" s="1"/>
      <x:c r="N1541" s="1"/>
      <x:c r="O1541" s="1"/>
      <x:c r="P1541" s="1"/>
      <x:c r="Q1541" s="1"/>
      <x:c r="R1541" s="1"/>
      <x:c r="S1541" s="1"/>
      <x:c r="T1541" s="1"/>
      <x:c r="U1541" s="1"/>
      <x:c r="V1541" s="1"/>
    </x:row>
    <x:row r="1542">
      <x:c r="A1542" s="1"/>
      <x:c r="B1542" s="1"/>
      <x:c r="C1542" s="1"/>
      <x:c r="D1542" s="1"/>
      <x:c r="E1542" s="1"/>
      <x:c r="F1542" s="1"/>
      <x:c r="G1542" s="1"/>
      <x:c r="H1542" s="1"/>
      <x:c r="I1542" s="1"/>
      <x:c r="J1542" s="1"/>
      <x:c r="K1542" s="1"/>
      <x:c r="L1542" s="1"/>
      <x:c r="M1542" s="1"/>
      <x:c r="N1542" s="1"/>
      <x:c r="O1542" s="1"/>
      <x:c r="P1542" s="1"/>
      <x:c r="Q1542" s="1"/>
      <x:c r="R1542" s="1"/>
      <x:c r="S1542" s="1"/>
      <x:c r="T1542" s="1"/>
      <x:c r="U1542" s="1"/>
      <x:c r="V1542" s="1"/>
    </x:row>
    <x:row r="1543">
      <x:c r="A1543" s="1"/>
      <x:c r="B1543" s="1"/>
      <x:c r="C1543" s="1"/>
      <x:c r="D1543" s="1"/>
      <x:c r="E1543" s="1"/>
      <x:c r="F1543" s="1"/>
      <x:c r="G1543" s="1"/>
      <x:c r="H1543" s="1"/>
      <x:c r="I1543" s="1"/>
      <x:c r="J1543" s="1"/>
      <x:c r="K1543" s="1"/>
      <x:c r="L1543" s="1"/>
      <x:c r="M1543" s="1"/>
      <x:c r="N1543" s="1"/>
      <x:c r="O1543" s="1"/>
      <x:c r="P1543" s="1"/>
      <x:c r="Q1543" s="1"/>
      <x:c r="R1543" s="1"/>
      <x:c r="S1543" s="1"/>
      <x:c r="T1543" s="1"/>
      <x:c r="U1543" s="1"/>
      <x:c r="V1543" s="1"/>
    </x:row>
    <x:row r="1544">
      <x:c r="A1544" s="1"/>
      <x:c r="B1544" s="1"/>
      <x:c r="C1544" s="1"/>
      <x:c r="D1544" s="1"/>
      <x:c r="E1544" s="1"/>
      <x:c r="F1544" s="1"/>
      <x:c r="G1544" s="1"/>
      <x:c r="H1544" s="1"/>
      <x:c r="I1544" s="1"/>
      <x:c r="J1544" s="1"/>
      <x:c r="K1544" s="1"/>
      <x:c r="L1544" s="1"/>
      <x:c r="M1544" s="1"/>
      <x:c r="N1544" s="1"/>
      <x:c r="O1544" s="1"/>
      <x:c r="P1544" s="1"/>
      <x:c r="Q1544" s="1"/>
      <x:c r="R1544" s="1"/>
      <x:c r="S1544" s="1"/>
      <x:c r="T1544" s="1"/>
      <x:c r="U1544" s="1"/>
      <x:c r="V1544" s="1"/>
    </x:row>
    <x:row r="1545">
      <x:c r="A1545" s="1"/>
      <x:c r="B1545" s="1"/>
      <x:c r="C1545" s="1"/>
      <x:c r="D1545" s="1"/>
      <x:c r="E1545" s="1"/>
      <x:c r="F1545" s="1"/>
      <x:c r="G1545" s="1"/>
      <x:c r="H1545" s="1"/>
      <x:c r="I1545" s="1"/>
      <x:c r="J1545" s="1"/>
      <x:c r="K1545" s="1"/>
      <x:c r="L1545" s="1"/>
      <x:c r="M1545" s="1"/>
      <x:c r="N1545" s="1"/>
      <x:c r="O1545" s="1"/>
      <x:c r="P1545" s="1"/>
      <x:c r="Q1545" s="1"/>
      <x:c r="R1545" s="1"/>
      <x:c r="S1545" s="1"/>
      <x:c r="T1545" s="1"/>
      <x:c r="U1545" s="1"/>
      <x:c r="V1545" s="1"/>
    </x:row>
    <x:row r="1546">
      <x:c r="A1546" s="1"/>
      <x:c r="B1546" s="1"/>
      <x:c r="C1546" s="1"/>
      <x:c r="D1546" s="1"/>
      <x:c r="E1546" s="1"/>
      <x:c r="F1546" s="1"/>
      <x:c r="G1546" s="1"/>
      <x:c r="H1546" s="1"/>
      <x:c r="I1546" s="1"/>
      <x:c r="J1546" s="1"/>
      <x:c r="K1546" s="1"/>
      <x:c r="L1546" s="1"/>
      <x:c r="M1546" s="1"/>
      <x:c r="N1546" s="1"/>
      <x:c r="O1546" s="1"/>
      <x:c r="P1546" s="1"/>
      <x:c r="Q1546" s="1"/>
      <x:c r="R1546" s="1"/>
      <x:c r="S1546" s="1"/>
      <x:c r="T1546" s="1"/>
      <x:c r="U1546" s="1"/>
      <x:c r="V1546" s="1"/>
    </x:row>
    <x:row r="1547">
      <x:c r="A1547" s="1"/>
      <x:c r="B1547" s="1"/>
      <x:c r="C1547" s="1"/>
      <x:c r="D1547" s="1"/>
      <x:c r="E1547" s="1"/>
      <x:c r="F1547" s="1"/>
      <x:c r="G1547" s="1"/>
      <x:c r="H1547" s="1"/>
      <x:c r="I1547" s="1"/>
      <x:c r="J1547" s="1"/>
      <x:c r="K1547" s="1"/>
      <x:c r="L1547" s="1"/>
      <x:c r="M1547" s="1"/>
      <x:c r="N1547" s="1"/>
      <x:c r="O1547" s="1"/>
      <x:c r="P1547" s="1"/>
      <x:c r="Q1547" s="1"/>
      <x:c r="R1547" s="1"/>
      <x:c r="S1547" s="1"/>
      <x:c r="T1547" s="1"/>
      <x:c r="U1547" s="1"/>
      <x:c r="V1547" s="1"/>
    </x:row>
    <x:row r="1548">
      <x:c r="A1548" s="1"/>
      <x:c r="B1548" s="1"/>
      <x:c r="C1548" s="1"/>
      <x:c r="D1548" s="1"/>
      <x:c r="E1548" s="1"/>
      <x:c r="F1548" s="1"/>
      <x:c r="G1548" s="1"/>
      <x:c r="H1548" s="1"/>
      <x:c r="I1548" s="1"/>
      <x:c r="J1548" s="1"/>
      <x:c r="K1548" s="1"/>
      <x:c r="L1548" s="1"/>
      <x:c r="M1548" s="1"/>
      <x:c r="N1548" s="1"/>
      <x:c r="O1548" s="1"/>
      <x:c r="P1548" s="1"/>
      <x:c r="Q1548" s="1"/>
      <x:c r="R1548" s="1"/>
      <x:c r="S1548" s="1"/>
      <x:c r="T1548" s="1"/>
      <x:c r="U1548" s="1"/>
      <x:c r="V1548" s="1"/>
    </x:row>
    <x:row r="1549">
      <x:c r="A1549" s="1"/>
      <x:c r="B1549" s="1"/>
      <x:c r="C1549" s="1"/>
      <x:c r="D1549" s="1"/>
      <x:c r="E1549" s="1"/>
      <x:c r="F1549" s="1"/>
      <x:c r="G1549" s="1"/>
      <x:c r="H1549" s="1"/>
      <x:c r="I1549" s="1"/>
      <x:c r="J1549" s="1"/>
      <x:c r="K1549" s="1"/>
      <x:c r="L1549" s="1"/>
      <x:c r="M1549" s="1"/>
      <x:c r="N1549" s="1"/>
      <x:c r="O1549" s="1"/>
      <x:c r="P1549" s="1"/>
      <x:c r="Q1549" s="1"/>
      <x:c r="R1549" s="1"/>
      <x:c r="S1549" s="1"/>
      <x:c r="T1549" s="1"/>
      <x:c r="U1549" s="1"/>
      <x:c r="V1549" s="1"/>
    </x:row>
    <x:row r="1550">
      <x:c r="A1550" s="1"/>
      <x:c r="B1550" s="1"/>
      <x:c r="C1550" s="1"/>
      <x:c r="D1550" s="1"/>
      <x:c r="E1550" s="1"/>
      <x:c r="F1550" s="1"/>
      <x:c r="G1550" s="1"/>
      <x:c r="H1550" s="1"/>
      <x:c r="I1550" s="1"/>
      <x:c r="J1550" s="1"/>
      <x:c r="K1550" s="1"/>
      <x:c r="L1550" s="1"/>
      <x:c r="M1550" s="1"/>
      <x:c r="N1550" s="1"/>
      <x:c r="O1550" s="1"/>
      <x:c r="P1550" s="1"/>
      <x:c r="Q1550" s="1"/>
      <x:c r="R1550" s="1"/>
      <x:c r="S1550" s="1"/>
      <x:c r="T1550" s="1"/>
      <x:c r="U1550" s="1"/>
      <x:c r="V1550" s="1"/>
    </x:row>
    <x:row r="1551">
      <x:c r="A1551" s="1"/>
      <x:c r="B1551" s="1"/>
      <x:c r="C1551" s="1"/>
      <x:c r="D1551" s="1"/>
      <x:c r="E1551" s="1"/>
      <x:c r="F1551" s="1"/>
      <x:c r="G1551" s="1"/>
      <x:c r="H1551" s="1"/>
      <x:c r="I1551" s="1"/>
      <x:c r="J1551" s="1"/>
      <x:c r="K1551" s="1"/>
      <x:c r="L1551" s="1"/>
      <x:c r="M1551" s="1"/>
      <x:c r="N1551" s="1"/>
      <x:c r="O1551" s="1"/>
      <x:c r="P1551" s="1"/>
      <x:c r="Q1551" s="1"/>
      <x:c r="R1551" s="1"/>
      <x:c r="S1551" s="1"/>
      <x:c r="T1551" s="1"/>
      <x:c r="U1551" s="1"/>
      <x:c r="V1551" s="1"/>
    </x:row>
    <x:row r="1552">
      <x:c r="A1552" s="1"/>
      <x:c r="B1552" s="1"/>
      <x:c r="C1552" s="1"/>
      <x:c r="D1552" s="1"/>
      <x:c r="E1552" s="1"/>
      <x:c r="F1552" s="1"/>
      <x:c r="G1552" s="1"/>
      <x:c r="H1552" s="1"/>
      <x:c r="I1552" s="1"/>
      <x:c r="J1552" s="1"/>
      <x:c r="K1552" s="1"/>
      <x:c r="L1552" s="1"/>
      <x:c r="M1552" s="1"/>
      <x:c r="N1552" s="1"/>
      <x:c r="O1552" s="1"/>
      <x:c r="P1552" s="1"/>
      <x:c r="Q1552" s="1"/>
      <x:c r="R1552" s="1"/>
      <x:c r="S1552" s="1"/>
      <x:c r="T1552" s="1"/>
      <x:c r="U1552" s="1"/>
      <x:c r="V1552" s="1"/>
    </x:row>
    <x:row r="1553">
      <x:c r="A1553" s="1"/>
      <x:c r="B1553" s="1"/>
      <x:c r="C1553" s="1"/>
      <x:c r="D1553" s="1"/>
      <x:c r="E1553" s="1"/>
      <x:c r="F1553" s="1"/>
      <x:c r="G1553" s="1"/>
      <x:c r="H1553" s="1"/>
      <x:c r="I1553" s="1"/>
      <x:c r="J1553" s="1"/>
      <x:c r="K1553" s="1"/>
      <x:c r="L1553" s="1"/>
      <x:c r="M1553" s="1"/>
      <x:c r="N1553" s="1"/>
      <x:c r="O1553" s="1"/>
      <x:c r="P1553" s="1"/>
      <x:c r="Q1553" s="1"/>
      <x:c r="R1553" s="1"/>
      <x:c r="S1553" s="1"/>
      <x:c r="T1553" s="1"/>
      <x:c r="U1553" s="1"/>
      <x:c r="V1553" s="1"/>
    </x:row>
    <x:row r="1554">
      <x:c r="A1554" s="1"/>
      <x:c r="B1554" s="1"/>
      <x:c r="C1554" s="1"/>
      <x:c r="D1554" s="1"/>
      <x:c r="E1554" s="1"/>
      <x:c r="F1554" s="1"/>
      <x:c r="G1554" s="1"/>
      <x:c r="H1554" s="1"/>
      <x:c r="I1554" s="1"/>
      <x:c r="J1554" s="1"/>
      <x:c r="K1554" s="1"/>
      <x:c r="L1554" s="1"/>
      <x:c r="M1554" s="1"/>
      <x:c r="N1554" s="1"/>
      <x:c r="O1554" s="1"/>
      <x:c r="P1554" s="1"/>
      <x:c r="Q1554" s="1"/>
      <x:c r="R1554" s="1"/>
      <x:c r="S1554" s="1"/>
      <x:c r="T1554" s="1"/>
      <x:c r="U1554" s="1"/>
      <x:c r="V1554" s="1"/>
    </x:row>
    <x:row r="1555">
      <x:c r="A1555" s="1"/>
      <x:c r="B1555" s="1"/>
      <x:c r="C1555" s="1"/>
      <x:c r="D1555" s="1"/>
      <x:c r="E1555" s="1"/>
      <x:c r="F1555" s="1"/>
      <x:c r="G1555" s="1"/>
      <x:c r="H1555" s="1"/>
      <x:c r="I1555" s="1"/>
      <x:c r="J1555" s="1"/>
      <x:c r="K1555" s="1"/>
      <x:c r="L1555" s="1"/>
      <x:c r="M1555" s="1"/>
      <x:c r="N1555" s="1"/>
      <x:c r="O1555" s="1"/>
      <x:c r="P1555" s="1"/>
      <x:c r="Q1555" s="1"/>
      <x:c r="R1555" s="1"/>
      <x:c r="S1555" s="1"/>
      <x:c r="T1555" s="1"/>
      <x:c r="U1555" s="1"/>
      <x:c r="V1555" s="1"/>
    </x:row>
    <x:row r="1556">
      <x:c r="A1556" s="1"/>
      <x:c r="B1556" s="1"/>
      <x:c r="C1556" s="1"/>
      <x:c r="D1556" s="1"/>
      <x:c r="E1556" s="1"/>
      <x:c r="F1556" s="1"/>
      <x:c r="G1556" s="1"/>
      <x:c r="H1556" s="1"/>
      <x:c r="I1556" s="1"/>
      <x:c r="J1556" s="1"/>
      <x:c r="K1556" s="1"/>
      <x:c r="L1556" s="1"/>
      <x:c r="M1556" s="1"/>
      <x:c r="N1556" s="1"/>
      <x:c r="O1556" s="1"/>
      <x:c r="P1556" s="1"/>
      <x:c r="Q1556" s="1"/>
      <x:c r="R1556" s="1"/>
      <x:c r="S1556" s="1"/>
      <x:c r="T1556" s="1"/>
      <x:c r="U1556" s="1"/>
      <x:c r="V1556" s="1"/>
    </x:row>
    <x:row r="1557">
      <x:c r="A1557" s="1"/>
      <x:c r="B1557" s="1"/>
      <x:c r="C1557" s="1"/>
      <x:c r="D1557" s="1"/>
      <x:c r="E1557" s="1"/>
      <x:c r="F1557" s="1"/>
      <x:c r="G1557" s="1"/>
      <x:c r="H1557" s="1"/>
      <x:c r="I1557" s="1"/>
      <x:c r="J1557" s="1"/>
      <x:c r="K1557" s="1"/>
      <x:c r="L1557" s="1"/>
      <x:c r="M1557" s="1"/>
      <x:c r="N1557" s="1"/>
      <x:c r="O1557" s="1"/>
      <x:c r="P1557" s="1"/>
      <x:c r="Q1557" s="1"/>
      <x:c r="R1557" s="1"/>
      <x:c r="S1557" s="1"/>
      <x:c r="T1557" s="1"/>
      <x:c r="U1557" s="1"/>
      <x:c r="V1557" s="1"/>
    </x:row>
    <x:row r="1558">
      <x:c r="A1558" s="1"/>
      <x:c r="B1558" s="1"/>
      <x:c r="C1558" s="1"/>
      <x:c r="D1558" s="1"/>
      <x:c r="E1558" s="1"/>
      <x:c r="F1558" s="1"/>
      <x:c r="G1558" s="1"/>
      <x:c r="H1558" s="1"/>
      <x:c r="I1558" s="1"/>
      <x:c r="J1558" s="1"/>
      <x:c r="K1558" s="1"/>
      <x:c r="L1558" s="1"/>
      <x:c r="M1558" s="1"/>
      <x:c r="N1558" s="1"/>
      <x:c r="O1558" s="1"/>
      <x:c r="P1558" s="1"/>
      <x:c r="Q1558" s="1"/>
      <x:c r="R1558" s="1"/>
      <x:c r="S1558" s="1"/>
      <x:c r="T1558" s="1"/>
      <x:c r="U1558" s="1"/>
      <x:c r="V1558" s="1"/>
    </x:row>
    <x:row r="1559">
      <x:c r="A1559" s="1"/>
      <x:c r="B1559" s="1"/>
      <x:c r="C1559" s="1"/>
      <x:c r="D1559" s="1"/>
      <x:c r="E1559" s="1"/>
      <x:c r="F1559" s="1"/>
      <x:c r="G1559" s="1"/>
      <x:c r="H1559" s="1"/>
      <x:c r="I1559" s="1"/>
      <x:c r="J1559" s="1"/>
      <x:c r="K1559" s="1"/>
      <x:c r="L1559" s="1"/>
      <x:c r="M1559" s="1"/>
      <x:c r="N1559" s="1"/>
      <x:c r="O1559" s="1"/>
      <x:c r="P1559" s="1"/>
      <x:c r="Q1559" s="1"/>
      <x:c r="R1559" s="1"/>
      <x:c r="S1559" s="1"/>
      <x:c r="T1559" s="1"/>
      <x:c r="U1559" s="1"/>
      <x:c r="V1559" s="1"/>
    </x:row>
    <x:row r="1560">
      <x:c r="A1560" s="1"/>
      <x:c r="B1560" s="1"/>
      <x:c r="C1560" s="1"/>
      <x:c r="D1560" s="1"/>
      <x:c r="E1560" s="1"/>
      <x:c r="F1560" s="1"/>
      <x:c r="G1560" s="1"/>
      <x:c r="H1560" s="1"/>
      <x:c r="I1560" s="1"/>
      <x:c r="J1560" s="1"/>
      <x:c r="K1560" s="1"/>
      <x:c r="L1560" s="1"/>
      <x:c r="M1560" s="1"/>
      <x:c r="N1560" s="1"/>
      <x:c r="O1560" s="1"/>
      <x:c r="P1560" s="1"/>
      <x:c r="Q1560" s="1"/>
      <x:c r="R1560" s="1"/>
      <x:c r="S1560" s="1"/>
      <x:c r="T1560" s="1"/>
      <x:c r="U1560" s="1"/>
      <x:c r="V1560" s="1"/>
    </x:row>
    <x:row r="1561">
      <x:c r="A1561" s="1"/>
      <x:c r="B1561" s="1"/>
      <x:c r="C1561" s="1"/>
      <x:c r="D1561" s="1"/>
      <x:c r="E1561" s="1"/>
      <x:c r="F1561" s="1"/>
      <x:c r="G1561" s="1"/>
      <x:c r="H1561" s="1"/>
      <x:c r="I1561" s="1"/>
      <x:c r="J1561" s="1"/>
      <x:c r="K1561" s="1"/>
      <x:c r="L1561" s="1"/>
      <x:c r="M1561" s="1"/>
      <x:c r="N1561" s="1"/>
      <x:c r="O1561" s="1"/>
      <x:c r="P1561" s="1"/>
      <x:c r="Q1561" s="1"/>
      <x:c r="R1561" s="1"/>
      <x:c r="S1561" s="1"/>
      <x:c r="T1561" s="1"/>
      <x:c r="U1561" s="1"/>
      <x:c r="V1561" s="1"/>
    </x:row>
    <x:row r="1562">
      <x:c r="A1562" s="1"/>
      <x:c r="B1562" s="1"/>
      <x:c r="C1562" s="1"/>
      <x:c r="D1562" s="1"/>
      <x:c r="E1562" s="1"/>
      <x:c r="F1562" s="1"/>
      <x:c r="G1562" s="1"/>
      <x:c r="H1562" s="1"/>
      <x:c r="I1562" s="1"/>
      <x:c r="J1562" s="1"/>
      <x:c r="K1562" s="1"/>
      <x:c r="L1562" s="1"/>
      <x:c r="M1562" s="1"/>
      <x:c r="N1562" s="1"/>
      <x:c r="O1562" s="1"/>
      <x:c r="P1562" s="1"/>
      <x:c r="Q1562" s="1"/>
      <x:c r="R1562" s="1"/>
      <x:c r="S1562" s="1"/>
      <x:c r="T1562" s="1"/>
      <x:c r="U1562" s="1"/>
      <x:c r="V1562" s="1"/>
    </x:row>
    <x:row r="1563">
      <x:c r="A1563" s="1"/>
      <x:c r="B1563" s="1"/>
      <x:c r="C1563" s="1"/>
      <x:c r="D1563" s="1"/>
      <x:c r="E1563" s="1"/>
      <x:c r="F1563" s="1"/>
      <x:c r="G1563" s="1"/>
      <x:c r="H1563" s="1"/>
      <x:c r="I1563" s="1"/>
      <x:c r="J1563" s="1"/>
      <x:c r="K1563" s="1"/>
      <x:c r="L1563" s="1"/>
      <x:c r="M1563" s="1"/>
      <x:c r="N1563" s="1"/>
      <x:c r="O1563" s="1"/>
      <x:c r="P1563" s="1"/>
      <x:c r="Q1563" s="1"/>
      <x:c r="R1563" s="1"/>
      <x:c r="S1563" s="1"/>
      <x:c r="T1563" s="1"/>
      <x:c r="U1563" s="1"/>
      <x:c r="V1563" s="1"/>
    </x:row>
    <x:row r="1564">
      <x:c r="A1564" s="1"/>
      <x:c r="B1564" s="1"/>
      <x:c r="C1564" s="1"/>
      <x:c r="D1564" s="1"/>
      <x:c r="E1564" s="1"/>
      <x:c r="F1564" s="1"/>
      <x:c r="G1564" s="1"/>
      <x:c r="H1564" s="1"/>
      <x:c r="I1564" s="1"/>
      <x:c r="J1564" s="1"/>
      <x:c r="K1564" s="1"/>
      <x:c r="L1564" s="1"/>
      <x:c r="M1564" s="1"/>
      <x:c r="N1564" s="1"/>
      <x:c r="O1564" s="1"/>
      <x:c r="P1564" s="1"/>
      <x:c r="Q1564" s="1"/>
      <x:c r="R1564" s="1"/>
      <x:c r="S1564" s="1"/>
      <x:c r="T1564" s="1"/>
      <x:c r="U1564" s="1"/>
      <x:c r="V1564" s="1"/>
    </x:row>
    <x:row r="1565">
      <x:c r="A1565" s="1"/>
      <x:c r="B1565" s="1"/>
      <x:c r="C1565" s="1"/>
      <x:c r="D1565" s="1"/>
      <x:c r="E1565" s="1"/>
      <x:c r="F1565" s="1"/>
      <x:c r="G1565" s="1"/>
      <x:c r="H1565" s="1"/>
      <x:c r="I1565" s="1"/>
      <x:c r="J1565" s="1"/>
      <x:c r="K1565" s="1"/>
      <x:c r="L1565" s="1"/>
      <x:c r="M1565" s="1"/>
      <x:c r="N1565" s="1"/>
      <x:c r="O1565" s="1"/>
      <x:c r="P1565" s="1"/>
      <x:c r="Q1565" s="1"/>
      <x:c r="R1565" s="1"/>
      <x:c r="S1565" s="1"/>
      <x:c r="T1565" s="1"/>
      <x:c r="U1565" s="1"/>
      <x:c r="V1565" s="1"/>
    </x:row>
    <x:row r="1566">
      <x:c r="A1566" s="1"/>
      <x:c r="B1566" s="1"/>
      <x:c r="C1566" s="1"/>
      <x:c r="D1566" s="1"/>
      <x:c r="E1566" s="1"/>
      <x:c r="F1566" s="1"/>
      <x:c r="G1566" s="1"/>
      <x:c r="H1566" s="1"/>
      <x:c r="I1566" s="1"/>
      <x:c r="J1566" s="1"/>
      <x:c r="K1566" s="1"/>
      <x:c r="L1566" s="1"/>
      <x:c r="M1566" s="1"/>
      <x:c r="N1566" s="1"/>
      <x:c r="O1566" s="1"/>
      <x:c r="P1566" s="1"/>
      <x:c r="Q1566" s="1"/>
      <x:c r="R1566" s="1"/>
      <x:c r="S1566" s="1"/>
      <x:c r="T1566" s="1"/>
      <x:c r="U1566" s="1"/>
      <x:c r="V1566" s="1"/>
    </x:row>
    <x:row r="1567">
      <x:c r="A1567" s="1"/>
      <x:c r="B1567" s="1"/>
      <x:c r="C1567" s="1"/>
      <x:c r="D1567" s="1"/>
      <x:c r="E1567" s="1"/>
      <x:c r="F1567" s="1"/>
      <x:c r="G1567" s="1"/>
      <x:c r="H1567" s="1"/>
      <x:c r="I1567" s="1"/>
      <x:c r="J1567" s="1"/>
      <x:c r="K1567" s="1"/>
      <x:c r="L1567" s="1"/>
      <x:c r="M1567" s="1"/>
      <x:c r="N1567" s="1"/>
      <x:c r="O1567" s="1"/>
      <x:c r="P1567" s="1"/>
      <x:c r="Q1567" s="1"/>
      <x:c r="R1567" s="1"/>
      <x:c r="S1567" s="1"/>
      <x:c r="T1567" s="1"/>
      <x:c r="U1567" s="1"/>
      <x:c r="V1567" s="1"/>
    </x:row>
    <x:row r="1568">
      <x:c r="A1568" s="1"/>
      <x:c r="B1568" s="1"/>
      <x:c r="C1568" s="1"/>
      <x:c r="D1568" s="1"/>
      <x:c r="E1568" s="1"/>
      <x:c r="F1568" s="1"/>
      <x:c r="G1568" s="1"/>
      <x:c r="H1568" s="1"/>
      <x:c r="I1568" s="1"/>
      <x:c r="J1568" s="1"/>
      <x:c r="K1568" s="1"/>
      <x:c r="L1568" s="1"/>
      <x:c r="M1568" s="1"/>
      <x:c r="N1568" s="1"/>
      <x:c r="O1568" s="1"/>
      <x:c r="P1568" s="1"/>
      <x:c r="Q1568" s="1"/>
      <x:c r="R1568" s="1"/>
      <x:c r="S1568" s="1"/>
      <x:c r="T1568" s="1"/>
      <x:c r="U1568" s="1"/>
      <x:c r="V1568" s="1"/>
    </x:row>
    <x:row r="1569">
      <x:c r="A1569" s="1"/>
      <x:c r="B1569" s="1"/>
      <x:c r="C1569" s="1"/>
      <x:c r="D1569" s="1"/>
      <x:c r="E1569" s="1"/>
      <x:c r="F1569" s="1"/>
      <x:c r="G1569" s="1"/>
      <x:c r="H1569" s="1"/>
      <x:c r="I1569" s="1"/>
      <x:c r="J1569" s="1"/>
      <x:c r="K1569" s="1"/>
      <x:c r="L1569" s="1"/>
      <x:c r="M1569" s="1"/>
      <x:c r="N1569" s="1"/>
      <x:c r="O1569" s="1"/>
      <x:c r="P1569" s="1"/>
      <x:c r="Q1569" s="1"/>
      <x:c r="R1569" s="1"/>
      <x:c r="S1569" s="1"/>
      <x:c r="T1569" s="1"/>
      <x:c r="U1569" s="1"/>
      <x:c r="V1569" s="1"/>
    </x:row>
    <x:row r="1570">
      <x:c r="A1570" s="1"/>
      <x:c r="B1570" s="1"/>
      <x:c r="C1570" s="1"/>
      <x:c r="D1570" s="1"/>
      <x:c r="E1570" s="1"/>
      <x:c r="F1570" s="1"/>
      <x:c r="G1570" s="1"/>
      <x:c r="H1570" s="1"/>
      <x:c r="I1570" s="1"/>
      <x:c r="J1570" s="1"/>
      <x:c r="K1570" s="1"/>
      <x:c r="L1570" s="1"/>
      <x:c r="M1570" s="1"/>
      <x:c r="N1570" s="1"/>
      <x:c r="O1570" s="1"/>
      <x:c r="P1570" s="1"/>
      <x:c r="Q1570" s="1"/>
      <x:c r="R1570" s="1"/>
      <x:c r="S1570" s="1"/>
      <x:c r="T1570" s="1"/>
      <x:c r="U1570" s="1"/>
      <x:c r="V1570" s="1"/>
    </x:row>
    <x:row r="1571">
      <x:c r="A1571" s="1"/>
      <x:c r="B1571" s="1"/>
      <x:c r="C1571" s="1"/>
      <x:c r="D1571" s="1"/>
      <x:c r="E1571" s="1"/>
      <x:c r="F1571" s="1"/>
      <x:c r="G1571" s="1"/>
      <x:c r="H1571" s="1"/>
      <x:c r="I1571" s="1"/>
      <x:c r="J1571" s="1"/>
      <x:c r="K1571" s="1"/>
      <x:c r="L1571" s="1"/>
      <x:c r="M1571" s="1"/>
      <x:c r="N1571" s="1"/>
      <x:c r="O1571" s="1"/>
      <x:c r="P1571" s="1"/>
      <x:c r="Q1571" s="1"/>
      <x:c r="R1571" s="1"/>
      <x:c r="S1571" s="1"/>
      <x:c r="T1571" s="1"/>
      <x:c r="U1571" s="1"/>
      <x:c r="V1571" s="1"/>
    </x:row>
    <x:row r="1572">
      <x:c r="A1572" s="1"/>
      <x:c r="B1572" s="1"/>
      <x:c r="C1572" s="1"/>
      <x:c r="D1572" s="1"/>
      <x:c r="E1572" s="1"/>
      <x:c r="F1572" s="1"/>
      <x:c r="G1572" s="1"/>
      <x:c r="H1572" s="1"/>
      <x:c r="I1572" s="1"/>
      <x:c r="J1572" s="1"/>
      <x:c r="K1572" s="1"/>
      <x:c r="L1572" s="1"/>
      <x:c r="M1572" s="1"/>
      <x:c r="N1572" s="1"/>
      <x:c r="O1572" s="1"/>
      <x:c r="P1572" s="1"/>
      <x:c r="Q1572" s="1"/>
      <x:c r="R1572" s="1"/>
      <x:c r="S1572" s="1"/>
      <x:c r="T1572" s="1"/>
      <x:c r="U1572" s="1"/>
      <x:c r="V1572" s="1"/>
    </x:row>
    <x:row r="1573">
      <x:c r="A1573" s="1"/>
      <x:c r="B1573" s="1"/>
      <x:c r="C1573" s="1"/>
      <x:c r="D1573" s="1"/>
      <x:c r="E1573" s="1"/>
      <x:c r="F1573" s="1"/>
      <x:c r="G1573" s="1"/>
      <x:c r="H1573" s="1"/>
      <x:c r="I1573" s="1"/>
      <x:c r="J1573" s="1"/>
      <x:c r="K1573" s="1"/>
      <x:c r="L1573" s="1"/>
      <x:c r="M1573" s="1"/>
      <x:c r="N1573" s="1"/>
      <x:c r="O1573" s="1"/>
      <x:c r="P1573" s="1"/>
      <x:c r="Q1573" s="1"/>
      <x:c r="R1573" s="1"/>
      <x:c r="S1573" s="1"/>
      <x:c r="T1573" s="1"/>
      <x:c r="U1573" s="1"/>
      <x:c r="V1573" s="1"/>
    </x:row>
    <x:row r="1574">
      <x:c r="A1574" s="1"/>
      <x:c r="B1574" s="1"/>
      <x:c r="C1574" s="1"/>
      <x:c r="D1574" s="1"/>
      <x:c r="E1574" s="1"/>
      <x:c r="F1574" s="1"/>
      <x:c r="G1574" s="1"/>
      <x:c r="H1574" s="1"/>
      <x:c r="I1574" s="1"/>
      <x:c r="J1574" s="1"/>
      <x:c r="K1574" s="1"/>
      <x:c r="L1574" s="1"/>
      <x:c r="M1574" s="1"/>
      <x:c r="N1574" s="1"/>
      <x:c r="O1574" s="1"/>
      <x:c r="P1574" s="1"/>
      <x:c r="Q1574" s="1"/>
      <x:c r="R1574" s="1"/>
      <x:c r="S1574" s="1"/>
      <x:c r="T1574" s="1"/>
      <x:c r="U1574" s="1"/>
      <x:c r="V1574" s="1"/>
    </x:row>
    <x:row r="1575">
      <x:c r="A1575" s="1"/>
      <x:c r="B1575" s="1"/>
      <x:c r="C1575" s="1"/>
      <x:c r="D1575" s="1"/>
      <x:c r="E1575" s="1"/>
      <x:c r="F1575" s="1"/>
      <x:c r="G1575" s="1"/>
      <x:c r="H1575" s="1"/>
      <x:c r="I1575" s="1"/>
      <x:c r="J1575" s="1"/>
      <x:c r="K1575" s="1"/>
      <x:c r="L1575" s="1"/>
      <x:c r="M1575" s="1"/>
      <x:c r="N1575" s="1"/>
      <x:c r="O1575" s="1"/>
      <x:c r="P1575" s="1"/>
      <x:c r="Q1575" s="1"/>
      <x:c r="R1575" s="1"/>
      <x:c r="S1575" s="1"/>
      <x:c r="T1575" s="1"/>
      <x:c r="U1575" s="1"/>
      <x:c r="V1575" s="1"/>
    </x:row>
    <x:row r="1576">
      <x:c r="A1576" s="1"/>
      <x:c r="B1576" s="1"/>
      <x:c r="C1576" s="1"/>
      <x:c r="D1576" s="1"/>
      <x:c r="E1576" s="1"/>
      <x:c r="F1576" s="1"/>
      <x:c r="G1576" s="1"/>
      <x:c r="H1576" s="1"/>
      <x:c r="I1576" s="1"/>
      <x:c r="J1576" s="1"/>
      <x:c r="K1576" s="1"/>
      <x:c r="L1576" s="1"/>
      <x:c r="M1576" s="1"/>
      <x:c r="N1576" s="1"/>
      <x:c r="O1576" s="1"/>
      <x:c r="P1576" s="1"/>
      <x:c r="Q1576" s="1"/>
      <x:c r="R1576" s="1"/>
      <x:c r="S1576" s="1"/>
      <x:c r="T1576" s="1"/>
      <x:c r="U1576" s="1"/>
      <x:c r="V1576" s="1"/>
    </x:row>
    <x:row r="1577">
      <x:c r="A1577" s="1"/>
      <x:c r="B1577" s="1"/>
      <x:c r="C1577" s="1"/>
      <x:c r="D1577" s="1"/>
      <x:c r="E1577" s="1"/>
      <x:c r="F1577" s="1"/>
      <x:c r="G1577" s="1"/>
      <x:c r="H1577" s="1"/>
      <x:c r="I1577" s="1"/>
      <x:c r="J1577" s="1"/>
      <x:c r="K1577" s="1"/>
      <x:c r="L1577" s="1"/>
      <x:c r="M1577" s="1"/>
      <x:c r="N1577" s="1"/>
      <x:c r="O1577" s="1"/>
      <x:c r="P1577" s="1"/>
      <x:c r="Q1577" s="1"/>
      <x:c r="R1577" s="1"/>
      <x:c r="S1577" s="1"/>
      <x:c r="T1577" s="1"/>
      <x:c r="U1577" s="1"/>
      <x:c r="V1577" s="1"/>
    </x:row>
    <x:row r="1578">
      <x:c r="A1578" s="1"/>
      <x:c r="B1578" s="1"/>
      <x:c r="C1578" s="1"/>
      <x:c r="D1578" s="1"/>
      <x:c r="E1578" s="1"/>
      <x:c r="F1578" s="1"/>
      <x:c r="G1578" s="1"/>
      <x:c r="H1578" s="1"/>
      <x:c r="I1578" s="1"/>
      <x:c r="J1578" s="1"/>
      <x:c r="K1578" s="1"/>
      <x:c r="L1578" s="1"/>
      <x:c r="M1578" s="1"/>
      <x:c r="N1578" s="1"/>
      <x:c r="O1578" s="1"/>
      <x:c r="P1578" s="1"/>
      <x:c r="Q1578" s="1"/>
      <x:c r="R1578" s="1"/>
      <x:c r="S1578" s="1"/>
      <x:c r="T1578" s="1"/>
      <x:c r="U1578" s="1"/>
      <x:c r="V1578" s="1"/>
    </x:row>
    <x:row r="1579">
      <x:c r="A1579" s="1"/>
      <x:c r="B1579" s="1"/>
      <x:c r="C1579" s="1"/>
      <x:c r="D1579" s="1"/>
      <x:c r="E1579" s="1"/>
      <x:c r="F1579" s="1"/>
      <x:c r="G1579" s="1"/>
      <x:c r="H1579" s="1"/>
      <x:c r="I1579" s="1"/>
      <x:c r="J1579" s="1"/>
      <x:c r="K1579" s="1"/>
      <x:c r="L1579" s="1"/>
      <x:c r="M1579" s="1"/>
      <x:c r="N1579" s="1"/>
      <x:c r="O1579" s="1"/>
      <x:c r="P1579" s="1"/>
      <x:c r="Q1579" s="1"/>
      <x:c r="R1579" s="1"/>
      <x:c r="S1579" s="1"/>
      <x:c r="T1579" s="1"/>
      <x:c r="U1579" s="1"/>
      <x:c r="V1579" s="1"/>
    </x:row>
    <x:row r="1580">
      <x:c r="A1580" s="1"/>
      <x:c r="B1580" s="1"/>
      <x:c r="C1580" s="1"/>
      <x:c r="D1580" s="1"/>
      <x:c r="E1580" s="1"/>
      <x:c r="F1580" s="1"/>
      <x:c r="G1580" s="1"/>
      <x:c r="H1580" s="1"/>
      <x:c r="I1580" s="1"/>
      <x:c r="J1580" s="1"/>
      <x:c r="K1580" s="1"/>
      <x:c r="L1580" s="1"/>
      <x:c r="M1580" s="1"/>
      <x:c r="N1580" s="1"/>
      <x:c r="O1580" s="1"/>
      <x:c r="P1580" s="1"/>
      <x:c r="Q1580" s="1"/>
      <x:c r="R1580" s="1"/>
      <x:c r="S1580" s="1"/>
      <x:c r="T1580" s="1"/>
      <x:c r="U1580" s="1"/>
      <x:c r="V1580" s="1"/>
    </x:row>
    <x:row r="1581">
      <x:c r="A1581" s="1"/>
      <x:c r="B1581" s="1"/>
      <x:c r="C1581" s="1"/>
      <x:c r="D1581" s="1"/>
      <x:c r="E1581" s="1"/>
      <x:c r="F1581" s="1"/>
      <x:c r="G1581" s="1"/>
      <x:c r="H1581" s="1"/>
      <x:c r="I1581" s="1"/>
      <x:c r="J1581" s="1"/>
      <x:c r="K1581" s="1"/>
      <x:c r="L1581" s="1"/>
      <x:c r="M1581" s="1"/>
      <x:c r="N1581" s="1"/>
      <x:c r="O1581" s="1"/>
      <x:c r="P1581" s="1"/>
      <x:c r="Q1581" s="1"/>
      <x:c r="R1581" s="1"/>
      <x:c r="S1581" s="1"/>
      <x:c r="T1581" s="1"/>
      <x:c r="U1581" s="1"/>
      <x:c r="V1581" s="1"/>
    </x:row>
    <x:row r="1582">
      <x:c r="A1582" s="1"/>
      <x:c r="B1582" s="1"/>
      <x:c r="C1582" s="1"/>
      <x:c r="D1582" s="1"/>
      <x:c r="E1582" s="1"/>
      <x:c r="F1582" s="1"/>
      <x:c r="G1582" s="1"/>
      <x:c r="H1582" s="1"/>
      <x:c r="I1582" s="1"/>
      <x:c r="J1582" s="1"/>
      <x:c r="K1582" s="1"/>
      <x:c r="L1582" s="1"/>
      <x:c r="M1582" s="1"/>
      <x:c r="N1582" s="1"/>
      <x:c r="O1582" s="1"/>
      <x:c r="P1582" s="1"/>
      <x:c r="Q1582" s="1"/>
      <x:c r="R1582" s="1"/>
      <x:c r="S1582" s="1"/>
      <x:c r="T1582" s="1"/>
      <x:c r="U1582" s="1"/>
      <x:c r="V1582" s="1"/>
    </x:row>
    <x:row r="1583">
      <x:c r="A1583" s="1"/>
      <x:c r="B1583" s="1"/>
      <x:c r="C1583" s="1"/>
      <x:c r="D1583" s="1"/>
      <x:c r="E1583" s="1"/>
      <x:c r="F1583" s="1"/>
      <x:c r="G1583" s="1"/>
      <x:c r="H1583" s="1"/>
      <x:c r="I1583" s="1"/>
      <x:c r="J1583" s="1"/>
      <x:c r="K1583" s="1"/>
      <x:c r="L1583" s="1"/>
      <x:c r="M1583" s="1"/>
      <x:c r="N1583" s="1"/>
      <x:c r="O1583" s="1"/>
      <x:c r="P1583" s="1"/>
      <x:c r="Q1583" s="1"/>
      <x:c r="R1583" s="1"/>
      <x:c r="S1583" s="1"/>
      <x:c r="T1583" s="1"/>
      <x:c r="U1583" s="1"/>
      <x:c r="V1583" s="1"/>
    </x:row>
    <x:row r="1584">
      <x:c r="A1584" s="1"/>
      <x:c r="B1584" s="1"/>
      <x:c r="C1584" s="1"/>
      <x:c r="D1584" s="1"/>
      <x:c r="E1584" s="1"/>
      <x:c r="F1584" s="1"/>
      <x:c r="G1584" s="1"/>
      <x:c r="H1584" s="1"/>
      <x:c r="I1584" s="1"/>
      <x:c r="J1584" s="1"/>
      <x:c r="K1584" s="1"/>
      <x:c r="L1584" s="1"/>
      <x:c r="M1584" s="1"/>
      <x:c r="N1584" s="1"/>
      <x:c r="O1584" s="1"/>
      <x:c r="P1584" s="1"/>
      <x:c r="Q1584" s="1"/>
      <x:c r="R1584" s="1"/>
      <x:c r="S1584" s="1"/>
      <x:c r="T1584" s="1"/>
      <x:c r="U1584" s="1"/>
      <x:c r="V1584" s="1"/>
    </x:row>
    <x:row r="1585">
      <x:c r="A1585" s="1"/>
      <x:c r="B1585" s="1"/>
      <x:c r="C1585" s="1"/>
      <x:c r="D1585" s="1"/>
      <x:c r="E1585" s="1"/>
      <x:c r="F1585" s="1"/>
      <x:c r="G1585" s="1"/>
      <x:c r="H1585" s="1"/>
      <x:c r="I1585" s="1"/>
      <x:c r="J1585" s="1"/>
      <x:c r="K1585" s="1"/>
      <x:c r="L1585" s="1"/>
      <x:c r="M1585" s="1"/>
      <x:c r="N1585" s="1"/>
      <x:c r="O1585" s="1"/>
      <x:c r="P1585" s="1"/>
      <x:c r="Q1585" s="1"/>
      <x:c r="R1585" s="1"/>
      <x:c r="S1585" s="1"/>
      <x:c r="T1585" s="1"/>
      <x:c r="U1585" s="1"/>
      <x:c r="V1585" s="1"/>
    </x:row>
    <x:row r="1586">
      <x:c r="A1586" s="1"/>
      <x:c r="B1586" s="1"/>
      <x:c r="C1586" s="1"/>
      <x:c r="D1586" s="1"/>
      <x:c r="E1586" s="1"/>
      <x:c r="F1586" s="1"/>
      <x:c r="G1586" s="1"/>
      <x:c r="H1586" s="1"/>
      <x:c r="I1586" s="1"/>
      <x:c r="J1586" s="1"/>
      <x:c r="K1586" s="1"/>
      <x:c r="L1586" s="1"/>
      <x:c r="M1586" s="1"/>
      <x:c r="N1586" s="1"/>
      <x:c r="O1586" s="1"/>
      <x:c r="P1586" s="1"/>
      <x:c r="Q1586" s="1"/>
      <x:c r="R1586" s="1"/>
      <x:c r="S1586" s="1"/>
      <x:c r="T1586" s="1"/>
      <x:c r="U1586" s="1"/>
      <x:c r="V1586" s="1"/>
    </x:row>
    <x:row r="1587">
      <x:c r="A1587" s="1"/>
      <x:c r="B1587" s="1"/>
      <x:c r="C1587" s="1"/>
      <x:c r="D1587" s="1"/>
      <x:c r="E1587" s="1"/>
      <x:c r="F1587" s="1"/>
      <x:c r="G1587" s="1"/>
      <x:c r="H1587" s="1"/>
      <x:c r="I1587" s="1"/>
      <x:c r="J1587" s="1"/>
      <x:c r="K1587" s="1"/>
      <x:c r="L1587" s="1"/>
      <x:c r="M1587" s="1"/>
      <x:c r="N1587" s="1"/>
      <x:c r="O1587" s="1"/>
      <x:c r="P1587" s="1"/>
      <x:c r="Q1587" s="1"/>
      <x:c r="R1587" s="1"/>
      <x:c r="S1587" s="1"/>
      <x:c r="T1587" s="1"/>
      <x:c r="U1587" s="1"/>
      <x:c r="V1587" s="1"/>
    </x:row>
    <x:row r="1588">
      <x:c r="A1588" s="1"/>
      <x:c r="B1588" s="1"/>
      <x:c r="C1588" s="1"/>
      <x:c r="D1588" s="1"/>
      <x:c r="E1588" s="1"/>
      <x:c r="F1588" s="1"/>
      <x:c r="G1588" s="1"/>
      <x:c r="H1588" s="1"/>
      <x:c r="I1588" s="1"/>
      <x:c r="J1588" s="1"/>
      <x:c r="K1588" s="1"/>
      <x:c r="L1588" s="1"/>
      <x:c r="M1588" s="1"/>
      <x:c r="N1588" s="1"/>
      <x:c r="O1588" s="1"/>
      <x:c r="P1588" s="1"/>
      <x:c r="Q1588" s="1"/>
      <x:c r="R1588" s="1"/>
      <x:c r="S1588" s="1"/>
      <x:c r="T1588" s="1"/>
      <x:c r="U1588" s="1"/>
      <x:c r="V1588" s="1"/>
    </x:row>
    <x:row r="1589">
      <x:c r="A1589" s="1"/>
      <x:c r="B1589" s="1"/>
      <x:c r="C1589" s="1"/>
      <x:c r="D1589" s="1"/>
      <x:c r="E1589" s="1"/>
      <x:c r="F1589" s="1"/>
      <x:c r="G1589" s="1"/>
      <x:c r="H1589" s="1"/>
      <x:c r="I1589" s="1"/>
      <x:c r="J1589" s="1"/>
      <x:c r="K1589" s="1"/>
      <x:c r="L1589" s="1"/>
      <x:c r="M1589" s="1"/>
      <x:c r="N1589" s="1"/>
      <x:c r="O1589" s="1"/>
      <x:c r="P1589" s="1"/>
      <x:c r="Q1589" s="1"/>
      <x:c r="R1589" s="1"/>
      <x:c r="S1589" s="1"/>
      <x:c r="T1589" s="1"/>
      <x:c r="U1589" s="1"/>
      <x:c r="V1589" s="1"/>
    </x:row>
    <x:row r="1590">
      <x:c r="A1590" s="1"/>
      <x:c r="B1590" s="1"/>
      <x:c r="C1590" s="1"/>
      <x:c r="D1590" s="1"/>
      <x:c r="E1590" s="1"/>
      <x:c r="F1590" s="1"/>
      <x:c r="G1590" s="1"/>
      <x:c r="H1590" s="1"/>
      <x:c r="I1590" s="1"/>
      <x:c r="J1590" s="1"/>
      <x:c r="K1590" s="1"/>
      <x:c r="L1590" s="1"/>
      <x:c r="M1590" s="1"/>
      <x:c r="N1590" s="1"/>
      <x:c r="O1590" s="1"/>
      <x:c r="P1590" s="1"/>
      <x:c r="Q1590" s="1"/>
      <x:c r="R1590" s="1"/>
      <x:c r="S1590" s="1"/>
      <x:c r="T1590" s="1"/>
      <x:c r="U1590" s="1"/>
      <x:c r="V1590" s="1"/>
    </x:row>
    <x:row r="1591">
      <x:c r="A1591" s="1"/>
      <x:c r="B1591" s="1"/>
      <x:c r="C1591" s="1"/>
      <x:c r="D1591" s="1"/>
      <x:c r="E1591" s="1"/>
      <x:c r="F1591" s="1"/>
      <x:c r="G1591" s="1"/>
      <x:c r="H1591" s="1"/>
      <x:c r="I1591" s="1"/>
      <x:c r="J1591" s="1"/>
      <x:c r="K1591" s="1"/>
      <x:c r="L1591" s="1"/>
      <x:c r="M1591" s="1"/>
      <x:c r="N1591" s="1"/>
      <x:c r="O1591" s="1"/>
      <x:c r="P1591" s="1"/>
      <x:c r="Q1591" s="1"/>
      <x:c r="R1591" s="1"/>
      <x:c r="S1591" s="1"/>
      <x:c r="T1591" s="1"/>
      <x:c r="U1591" s="1"/>
      <x:c r="V1591" s="1"/>
    </x:row>
    <x:row r="1592">
      <x:c r="A1592" s="1"/>
      <x:c r="B1592" s="1"/>
      <x:c r="C1592" s="1"/>
      <x:c r="D1592" s="1"/>
      <x:c r="E1592" s="1"/>
      <x:c r="F1592" s="1"/>
      <x:c r="G1592" s="1"/>
      <x:c r="H1592" s="1"/>
      <x:c r="I1592" s="1"/>
      <x:c r="J1592" s="1"/>
      <x:c r="K1592" s="1"/>
      <x:c r="L1592" s="1"/>
      <x:c r="M1592" s="1"/>
      <x:c r="N1592" s="1"/>
      <x:c r="O1592" s="1"/>
      <x:c r="P1592" s="1"/>
      <x:c r="Q1592" s="1"/>
      <x:c r="R1592" s="1"/>
      <x:c r="S1592" s="1"/>
      <x:c r="T1592" s="1"/>
      <x:c r="U1592" s="1"/>
      <x:c r="V1592" s="1"/>
    </x:row>
    <x:row r="1593">
      <x:c r="A1593" s="1"/>
      <x:c r="B1593" s="1"/>
      <x:c r="C1593" s="1"/>
      <x:c r="D1593" s="1"/>
      <x:c r="E1593" s="1"/>
      <x:c r="F1593" s="1"/>
      <x:c r="G1593" s="1"/>
      <x:c r="H1593" s="1"/>
      <x:c r="I1593" s="1"/>
      <x:c r="J1593" s="1"/>
      <x:c r="K1593" s="1"/>
      <x:c r="L1593" s="1"/>
      <x:c r="M1593" s="1"/>
      <x:c r="N1593" s="1"/>
      <x:c r="O1593" s="1"/>
      <x:c r="P1593" s="1"/>
      <x:c r="Q1593" s="1"/>
      <x:c r="R1593" s="1"/>
      <x:c r="S1593" s="1"/>
      <x:c r="T1593" s="1"/>
      <x:c r="U1593" s="1"/>
      <x:c r="V1593" s="1"/>
    </x:row>
    <x:row r="1594">
      <x:c r="A1594" s="1"/>
      <x:c r="B1594" s="1"/>
      <x:c r="C1594" s="1"/>
      <x:c r="D1594" s="1"/>
      <x:c r="E1594" s="1"/>
      <x:c r="F1594" s="1"/>
      <x:c r="G1594" s="1"/>
      <x:c r="H1594" s="1"/>
      <x:c r="I1594" s="1"/>
      <x:c r="J1594" s="1"/>
      <x:c r="K1594" s="1"/>
      <x:c r="L1594" s="1"/>
      <x:c r="M1594" s="1"/>
      <x:c r="N1594" s="1"/>
      <x:c r="O1594" s="1"/>
      <x:c r="P1594" s="1"/>
      <x:c r="Q1594" s="1"/>
      <x:c r="R1594" s="1"/>
      <x:c r="S1594" s="1"/>
      <x:c r="T1594" s="1"/>
      <x:c r="U1594" s="1"/>
      <x:c r="V1594" s="1"/>
    </x:row>
    <x:row r="1595">
      <x:c r="A1595" s="1"/>
      <x:c r="B1595" s="1"/>
      <x:c r="C1595" s="1"/>
      <x:c r="D1595" s="1"/>
      <x:c r="E1595" s="1"/>
      <x:c r="F1595" s="1"/>
      <x:c r="G1595" s="1"/>
      <x:c r="H1595" s="1"/>
      <x:c r="I1595" s="1"/>
      <x:c r="J1595" s="1"/>
      <x:c r="K1595" s="1"/>
      <x:c r="L1595" s="1"/>
      <x:c r="M1595" s="1"/>
      <x:c r="N1595" s="1"/>
      <x:c r="O1595" s="1"/>
      <x:c r="P1595" s="1"/>
      <x:c r="Q1595" s="1"/>
      <x:c r="R1595" s="1"/>
      <x:c r="S1595" s="1"/>
      <x:c r="T1595" s="1"/>
      <x:c r="U1595" s="1"/>
      <x:c r="V1595" s="1"/>
    </x:row>
    <x:row r="1596">
      <x:c r="A1596" s="1"/>
      <x:c r="B1596" s="1"/>
      <x:c r="C1596" s="1"/>
      <x:c r="D1596" s="1"/>
      <x:c r="E1596" s="1"/>
      <x:c r="F1596" s="1"/>
      <x:c r="G1596" s="1"/>
      <x:c r="H1596" s="1"/>
      <x:c r="I1596" s="1"/>
      <x:c r="J1596" s="1"/>
      <x:c r="K1596" s="1"/>
      <x:c r="L1596" s="1"/>
      <x:c r="M1596" s="1"/>
      <x:c r="N1596" s="1"/>
      <x:c r="O1596" s="1"/>
      <x:c r="P1596" s="1"/>
      <x:c r="Q1596" s="1"/>
      <x:c r="R1596" s="1"/>
      <x:c r="S1596" s="1"/>
      <x:c r="T1596" s="1"/>
      <x:c r="U1596" s="1"/>
      <x:c r="V1596" s="1"/>
    </x:row>
    <x:row r="1597">
      <x:c r="A1597" s="1"/>
      <x:c r="B1597" s="1"/>
      <x:c r="C1597" s="1"/>
      <x:c r="D1597" s="1"/>
      <x:c r="E1597" s="1"/>
      <x:c r="F1597" s="1"/>
      <x:c r="G1597" s="1"/>
      <x:c r="H1597" s="1"/>
      <x:c r="I1597" s="1"/>
      <x:c r="J1597" s="1"/>
      <x:c r="K1597" s="1"/>
      <x:c r="L1597" s="1"/>
      <x:c r="M1597" s="1"/>
      <x:c r="N1597" s="1"/>
      <x:c r="O1597" s="1"/>
      <x:c r="P1597" s="1"/>
      <x:c r="Q1597" s="1"/>
      <x:c r="R1597" s="1"/>
      <x:c r="S1597" s="1"/>
      <x:c r="T1597" s="1"/>
      <x:c r="U1597" s="1"/>
      <x:c r="V1597" s="1"/>
    </x:row>
    <x:row r="1598">
      <x:c r="A1598" s="1"/>
      <x:c r="B1598" s="1"/>
      <x:c r="C1598" s="1"/>
      <x:c r="D1598" s="1"/>
      <x:c r="E1598" s="1"/>
      <x:c r="F1598" s="1"/>
      <x:c r="G1598" s="1"/>
      <x:c r="H1598" s="1"/>
      <x:c r="I1598" s="1"/>
      <x:c r="J1598" s="1"/>
      <x:c r="K1598" s="1"/>
      <x:c r="L1598" s="1"/>
      <x:c r="M1598" s="1"/>
      <x:c r="N1598" s="1"/>
      <x:c r="O1598" s="1"/>
      <x:c r="P1598" s="1"/>
      <x:c r="Q1598" s="1"/>
      <x:c r="R1598" s="1"/>
      <x:c r="S1598" s="1"/>
      <x:c r="T1598" s="1"/>
      <x:c r="U1598" s="1"/>
      <x:c r="V1598" s="1"/>
    </x:row>
    <x:row r="1599">
      <x:c r="A1599" s="1"/>
      <x:c r="B1599" s="1"/>
      <x:c r="C1599" s="1"/>
      <x:c r="D1599" s="1"/>
      <x:c r="E1599" s="1"/>
      <x:c r="F1599" s="1"/>
      <x:c r="G1599" s="1"/>
      <x:c r="H1599" s="1"/>
      <x:c r="I1599" s="1"/>
      <x:c r="J1599" s="1"/>
      <x:c r="K1599" s="1"/>
      <x:c r="L1599" s="1"/>
      <x:c r="M1599" s="1"/>
      <x:c r="N1599" s="1"/>
      <x:c r="O1599" s="1"/>
      <x:c r="P1599" s="1"/>
      <x:c r="Q1599" s="1"/>
      <x:c r="R1599" s="1"/>
      <x:c r="S1599" s="1"/>
      <x:c r="T1599" s="1"/>
      <x:c r="U1599" s="1"/>
      <x:c r="V1599" s="1"/>
    </x:row>
    <x:row r="1600">
      <x:c r="A1600" s="1"/>
      <x:c r="B1600" s="1"/>
      <x:c r="C1600" s="1"/>
      <x:c r="D1600" s="1"/>
      <x:c r="E1600" s="1"/>
      <x:c r="F1600" s="1"/>
      <x:c r="G1600" s="1"/>
      <x:c r="H1600" s="1"/>
      <x:c r="I1600" s="1"/>
      <x:c r="J1600" s="1"/>
      <x:c r="K1600" s="1"/>
      <x:c r="L1600" s="1"/>
      <x:c r="M1600" s="1"/>
      <x:c r="N1600" s="1"/>
      <x:c r="O1600" s="1"/>
      <x:c r="P1600" s="1"/>
      <x:c r="Q1600" s="1"/>
      <x:c r="R1600" s="1"/>
      <x:c r="S1600" s="1"/>
      <x:c r="T1600" s="1"/>
      <x:c r="U1600" s="1"/>
      <x:c r="V1600" s="1"/>
    </x:row>
    <x:row r="1601">
      <x:c r="A1601" s="1"/>
      <x:c r="B1601" s="1"/>
      <x:c r="C1601" s="1"/>
      <x:c r="D1601" s="1"/>
      <x:c r="E1601" s="1"/>
      <x:c r="F1601" s="1"/>
      <x:c r="G1601" s="1"/>
      <x:c r="H1601" s="1"/>
      <x:c r="I1601" s="1"/>
      <x:c r="J1601" s="1"/>
      <x:c r="K1601" s="1"/>
      <x:c r="L1601" s="1"/>
      <x:c r="M1601" s="1"/>
      <x:c r="N1601" s="1"/>
      <x:c r="O1601" s="1"/>
      <x:c r="P1601" s="1"/>
      <x:c r="Q1601" s="1"/>
      <x:c r="R1601" s="1"/>
      <x:c r="S1601" s="1"/>
      <x:c r="T1601" s="1"/>
      <x:c r="U1601" s="1"/>
      <x:c r="V1601" s="1"/>
    </x:row>
    <x:row r="1602">
      <x:c r="A1602" s="1"/>
      <x:c r="B1602" s="1"/>
      <x:c r="C1602" s="1"/>
      <x:c r="D1602" s="1"/>
      <x:c r="E1602" s="1"/>
      <x:c r="F1602" s="1"/>
      <x:c r="G1602" s="1"/>
      <x:c r="H1602" s="1"/>
      <x:c r="I1602" s="1"/>
      <x:c r="J1602" s="1"/>
      <x:c r="K1602" s="1"/>
      <x:c r="L1602" s="1"/>
      <x:c r="M1602" s="1"/>
      <x:c r="N1602" s="1"/>
      <x:c r="O1602" s="1"/>
      <x:c r="P1602" s="1"/>
      <x:c r="Q1602" s="1"/>
      <x:c r="R1602" s="1"/>
      <x:c r="S1602" s="1"/>
      <x:c r="T1602" s="1"/>
      <x:c r="U1602" s="1"/>
      <x:c r="V1602" s="1"/>
    </x:row>
    <x:row r="1603">
      <x:c r="A1603" s="1"/>
      <x:c r="B1603" s="1"/>
      <x:c r="C1603" s="1"/>
      <x:c r="D1603" s="1"/>
      <x:c r="E1603" s="1"/>
      <x:c r="F1603" s="1"/>
      <x:c r="G1603" s="1"/>
      <x:c r="H1603" s="1"/>
      <x:c r="I1603" s="1"/>
      <x:c r="J1603" s="1"/>
      <x:c r="K1603" s="1"/>
      <x:c r="L1603" s="1"/>
      <x:c r="M1603" s="1"/>
      <x:c r="N1603" s="1"/>
      <x:c r="O1603" s="1"/>
      <x:c r="P1603" s="1"/>
      <x:c r="Q1603" s="1"/>
      <x:c r="R1603" s="1"/>
      <x:c r="S1603" s="1"/>
      <x:c r="T1603" s="1"/>
      <x:c r="U1603" s="1"/>
      <x:c r="V1603" s="1"/>
    </x:row>
    <x:row r="1604">
      <x:c r="A1604" s="1"/>
      <x:c r="B1604" s="1"/>
      <x:c r="C1604" s="1"/>
      <x:c r="D1604" s="1"/>
      <x:c r="E1604" s="1"/>
      <x:c r="F1604" s="1"/>
      <x:c r="G1604" s="1"/>
      <x:c r="H1604" s="1"/>
      <x:c r="I1604" s="1"/>
      <x:c r="J1604" s="1"/>
      <x:c r="K1604" s="1"/>
      <x:c r="L1604" s="1"/>
      <x:c r="M1604" s="1"/>
      <x:c r="N1604" s="1"/>
      <x:c r="O1604" s="1"/>
      <x:c r="P1604" s="1"/>
      <x:c r="Q1604" s="1"/>
      <x:c r="R1604" s="1"/>
      <x:c r="S1604" s="1"/>
      <x:c r="T1604" s="1"/>
      <x:c r="U1604" s="1"/>
      <x:c r="V1604" s="1"/>
    </x:row>
    <x:row r="1605">
      <x:c r="A1605" s="1"/>
      <x:c r="B1605" s="1"/>
      <x:c r="C1605" s="1"/>
      <x:c r="D1605" s="1"/>
      <x:c r="E1605" s="1"/>
      <x:c r="F1605" s="1"/>
      <x:c r="G1605" s="1"/>
      <x:c r="H1605" s="1"/>
      <x:c r="I1605" s="1"/>
      <x:c r="J1605" s="1"/>
      <x:c r="K1605" s="1"/>
      <x:c r="L1605" s="1"/>
      <x:c r="M1605" s="1"/>
      <x:c r="N1605" s="1"/>
      <x:c r="O1605" s="1"/>
      <x:c r="P1605" s="1"/>
      <x:c r="Q1605" s="1"/>
      <x:c r="R1605" s="1"/>
      <x:c r="S1605" s="1"/>
      <x:c r="T1605" s="1"/>
      <x:c r="U1605" s="1"/>
      <x:c r="V1605" s="1"/>
    </x:row>
    <x:row r="1606">
      <x:c r="A1606" s="1"/>
      <x:c r="B1606" s="1"/>
      <x:c r="C1606" s="1"/>
      <x:c r="D1606" s="1"/>
      <x:c r="E1606" s="1"/>
      <x:c r="F1606" s="1"/>
      <x:c r="G1606" s="1"/>
      <x:c r="H1606" s="1"/>
      <x:c r="I1606" s="1"/>
      <x:c r="J1606" s="1"/>
      <x:c r="K1606" s="1"/>
      <x:c r="L1606" s="1"/>
      <x:c r="M1606" s="1"/>
      <x:c r="N1606" s="1"/>
      <x:c r="O1606" s="1"/>
      <x:c r="P1606" s="1"/>
      <x:c r="Q1606" s="1"/>
      <x:c r="R1606" s="1"/>
      <x:c r="S1606" s="1"/>
      <x:c r="T1606" s="1"/>
      <x:c r="U1606" s="1"/>
      <x:c r="V1606" s="1"/>
    </x:row>
    <x:row r="1607">
      <x:c r="A1607" s="1"/>
      <x:c r="B1607" s="1"/>
      <x:c r="C1607" s="1"/>
      <x:c r="D1607" s="1"/>
      <x:c r="E1607" s="1"/>
      <x:c r="F1607" s="1"/>
      <x:c r="G1607" s="1"/>
      <x:c r="H1607" s="1"/>
      <x:c r="I1607" s="1"/>
      <x:c r="J1607" s="1"/>
      <x:c r="K1607" s="1"/>
      <x:c r="L1607" s="1"/>
      <x:c r="M1607" s="1"/>
      <x:c r="N1607" s="1"/>
      <x:c r="O1607" s="1"/>
      <x:c r="P1607" s="1"/>
      <x:c r="Q1607" s="1"/>
      <x:c r="R1607" s="1"/>
      <x:c r="S1607" s="1"/>
      <x:c r="T1607" s="1"/>
      <x:c r="U1607" s="1"/>
      <x:c r="V1607" s="1"/>
    </x:row>
    <x:row r="1608">
      <x:c r="A1608" s="1"/>
      <x:c r="B1608" s="1"/>
      <x:c r="C1608" s="1"/>
      <x:c r="D1608" s="1"/>
      <x:c r="E1608" s="1"/>
      <x:c r="F1608" s="1"/>
      <x:c r="G1608" s="1"/>
      <x:c r="H1608" s="1"/>
      <x:c r="I1608" s="1"/>
      <x:c r="J1608" s="1"/>
      <x:c r="K1608" s="1"/>
      <x:c r="L1608" s="1"/>
      <x:c r="M1608" s="1"/>
      <x:c r="N1608" s="1"/>
      <x:c r="O1608" s="1"/>
      <x:c r="P1608" s="1"/>
      <x:c r="Q1608" s="1"/>
      <x:c r="R1608" s="1"/>
      <x:c r="S1608" s="1"/>
      <x:c r="T1608" s="1"/>
      <x:c r="U1608" s="1"/>
      <x:c r="V1608" s="1"/>
    </x:row>
    <x:row r="1609">
      <x:c r="A1609" s="1"/>
      <x:c r="B1609" s="1"/>
      <x:c r="C1609" s="1"/>
      <x:c r="D1609" s="1"/>
      <x:c r="E1609" s="1"/>
      <x:c r="F1609" s="1"/>
      <x:c r="G1609" s="1"/>
      <x:c r="H1609" s="1"/>
      <x:c r="I1609" s="1"/>
      <x:c r="J1609" s="1"/>
      <x:c r="K1609" s="1"/>
      <x:c r="L1609" s="1"/>
      <x:c r="M1609" s="1"/>
      <x:c r="N1609" s="1"/>
      <x:c r="O1609" s="1"/>
      <x:c r="P1609" s="1"/>
      <x:c r="Q1609" s="1"/>
      <x:c r="R1609" s="1"/>
      <x:c r="S1609" s="1"/>
      <x:c r="T1609" s="1"/>
      <x:c r="U1609" s="1"/>
      <x:c r="V1609" s="1"/>
    </x:row>
    <x:row r="1610">
      <x:c r="A1610" s="1"/>
      <x:c r="B1610" s="1"/>
      <x:c r="C1610" s="1"/>
      <x:c r="D1610" s="1"/>
      <x:c r="E1610" s="1"/>
      <x:c r="F1610" s="1"/>
      <x:c r="G1610" s="1"/>
      <x:c r="H1610" s="1"/>
      <x:c r="I1610" s="1"/>
      <x:c r="J1610" s="1"/>
      <x:c r="K1610" s="1"/>
      <x:c r="L1610" s="1"/>
      <x:c r="M1610" s="1"/>
      <x:c r="N1610" s="1"/>
      <x:c r="O1610" s="1"/>
      <x:c r="P1610" s="1"/>
      <x:c r="Q1610" s="1"/>
      <x:c r="R1610" s="1"/>
      <x:c r="S1610" s="1"/>
      <x:c r="T1610" s="1"/>
      <x:c r="U1610" s="1"/>
      <x:c r="V1610" s="1"/>
    </x:row>
    <x:row r="1611">
      <x:c r="A1611" s="1"/>
      <x:c r="B1611" s="1"/>
      <x:c r="C1611" s="1"/>
      <x:c r="D1611" s="1"/>
      <x:c r="E1611" s="1"/>
      <x:c r="F1611" s="1"/>
      <x:c r="G1611" s="1"/>
      <x:c r="H1611" s="1"/>
      <x:c r="I1611" s="1"/>
      <x:c r="J1611" s="1"/>
      <x:c r="K1611" s="1"/>
      <x:c r="L1611" s="1"/>
      <x:c r="M1611" s="1"/>
      <x:c r="N1611" s="1"/>
      <x:c r="O1611" s="1"/>
      <x:c r="P1611" s="1"/>
      <x:c r="Q1611" s="1"/>
      <x:c r="R1611" s="1"/>
      <x:c r="S1611" s="1"/>
      <x:c r="T1611" s="1"/>
      <x:c r="U1611" s="1"/>
      <x:c r="V1611" s="1"/>
    </x:row>
    <x:row r="1612">
      <x:c r="A1612" s="1"/>
      <x:c r="B1612" s="1"/>
      <x:c r="C1612" s="1"/>
      <x:c r="D1612" s="1"/>
      <x:c r="E1612" s="1"/>
      <x:c r="F1612" s="1"/>
      <x:c r="G1612" s="1"/>
      <x:c r="H1612" s="1"/>
      <x:c r="I1612" s="1"/>
      <x:c r="J1612" s="1"/>
      <x:c r="K1612" s="1"/>
      <x:c r="L1612" s="1"/>
      <x:c r="M1612" s="1"/>
      <x:c r="N1612" s="1"/>
      <x:c r="O1612" s="1"/>
      <x:c r="P1612" s="1"/>
      <x:c r="Q1612" s="1"/>
      <x:c r="R1612" s="1"/>
      <x:c r="S1612" s="1"/>
      <x:c r="T1612" s="1"/>
      <x:c r="U1612" s="1"/>
      <x:c r="V1612" s="1"/>
    </x:row>
    <x:row r="1613">
      <x:c r="A1613" s="1"/>
      <x:c r="B1613" s="1"/>
      <x:c r="C1613" s="1"/>
      <x:c r="D1613" s="1"/>
      <x:c r="E1613" s="1"/>
      <x:c r="F1613" s="1"/>
      <x:c r="G1613" s="1"/>
      <x:c r="H1613" s="1"/>
      <x:c r="I1613" s="1"/>
      <x:c r="J1613" s="1"/>
      <x:c r="K1613" s="1"/>
      <x:c r="L1613" s="1"/>
      <x:c r="M1613" s="1"/>
      <x:c r="N1613" s="1"/>
      <x:c r="O1613" s="1"/>
      <x:c r="P1613" s="1"/>
      <x:c r="Q1613" s="1"/>
      <x:c r="R1613" s="1"/>
      <x:c r="S1613" s="1"/>
      <x:c r="T1613" s="1"/>
      <x:c r="U1613" s="1"/>
      <x:c r="V1613" s="1"/>
    </x:row>
    <x:row r="1614">
      <x:c r="A1614" s="1"/>
      <x:c r="B1614" s="1"/>
      <x:c r="C1614" s="1"/>
      <x:c r="D1614" s="1"/>
      <x:c r="E1614" s="1"/>
      <x:c r="F1614" s="1"/>
      <x:c r="G1614" s="1"/>
      <x:c r="H1614" s="1"/>
      <x:c r="I1614" s="1"/>
      <x:c r="J1614" s="1"/>
      <x:c r="K1614" s="1"/>
      <x:c r="L1614" s="1"/>
      <x:c r="M1614" s="1"/>
      <x:c r="N1614" s="1"/>
      <x:c r="O1614" s="1"/>
      <x:c r="P1614" s="1"/>
      <x:c r="Q1614" s="1"/>
      <x:c r="R1614" s="1"/>
      <x:c r="S1614" s="1"/>
      <x:c r="T1614" s="1"/>
      <x:c r="U1614" s="1"/>
      <x:c r="V1614" s="1"/>
    </x:row>
    <x:row r="1615">
      <x:c r="A1615" s="1"/>
      <x:c r="B1615" s="1"/>
      <x:c r="C1615" s="1"/>
      <x:c r="D1615" s="1"/>
      <x:c r="E1615" s="1"/>
      <x:c r="F1615" s="1"/>
      <x:c r="G1615" s="1"/>
      <x:c r="H1615" s="1"/>
      <x:c r="I1615" s="1"/>
      <x:c r="J1615" s="1"/>
      <x:c r="K1615" s="1"/>
      <x:c r="L1615" s="1"/>
      <x:c r="M1615" s="1"/>
      <x:c r="N1615" s="1"/>
      <x:c r="O1615" s="1"/>
      <x:c r="P1615" s="1"/>
      <x:c r="Q1615" s="1"/>
      <x:c r="R1615" s="1"/>
      <x:c r="S1615" s="1"/>
      <x:c r="T1615" s="1"/>
      <x:c r="U1615" s="1"/>
      <x:c r="V1615" s="1"/>
    </x:row>
    <x:row r="1616">
      <x:c r="A1616" s="1"/>
      <x:c r="B1616" s="1"/>
      <x:c r="C1616" s="1"/>
      <x:c r="D1616" s="1"/>
      <x:c r="E1616" s="1"/>
      <x:c r="F1616" s="1"/>
      <x:c r="G1616" s="1"/>
      <x:c r="H1616" s="1"/>
      <x:c r="I1616" s="1"/>
      <x:c r="J1616" s="1"/>
      <x:c r="K1616" s="1"/>
      <x:c r="L1616" s="1"/>
      <x:c r="M1616" s="1"/>
      <x:c r="N1616" s="1"/>
      <x:c r="O1616" s="1"/>
      <x:c r="P1616" s="1"/>
      <x:c r="Q1616" s="1"/>
      <x:c r="R1616" s="1"/>
      <x:c r="S1616" s="1"/>
      <x:c r="T1616" s="1"/>
      <x:c r="U1616" s="1"/>
      <x:c r="V1616" s="1"/>
    </x:row>
    <x:row r="1617">
      <x:c r="A1617" s="1"/>
      <x:c r="B1617" s="1"/>
      <x:c r="C1617" s="1"/>
      <x:c r="D1617" s="1"/>
      <x:c r="E1617" s="1"/>
      <x:c r="F1617" s="1"/>
      <x:c r="G1617" s="1"/>
      <x:c r="H1617" s="1"/>
      <x:c r="I1617" s="1"/>
      <x:c r="J1617" s="1"/>
      <x:c r="K1617" s="1"/>
      <x:c r="L1617" s="1"/>
      <x:c r="M1617" s="1"/>
      <x:c r="N1617" s="1"/>
      <x:c r="O1617" s="1"/>
      <x:c r="P1617" s="1"/>
      <x:c r="Q1617" s="1"/>
      <x:c r="R1617" s="1"/>
      <x:c r="S1617" s="1"/>
      <x:c r="T1617" s="1"/>
      <x:c r="U1617" s="1"/>
      <x:c r="V1617" s="1"/>
    </x:row>
    <x:row r="1618">
      <x:c r="A1618" s="1"/>
      <x:c r="B1618" s="1"/>
      <x:c r="C1618" s="1"/>
      <x:c r="D1618" s="1"/>
      <x:c r="E1618" s="1"/>
      <x:c r="F1618" s="1"/>
      <x:c r="G1618" s="1"/>
      <x:c r="H1618" s="1"/>
      <x:c r="I1618" s="1"/>
      <x:c r="J1618" s="1"/>
      <x:c r="K1618" s="1"/>
      <x:c r="L1618" s="1"/>
      <x:c r="M1618" s="1"/>
      <x:c r="N1618" s="1"/>
      <x:c r="O1618" s="1"/>
      <x:c r="P1618" s="1"/>
      <x:c r="Q1618" s="1"/>
      <x:c r="R1618" s="1"/>
      <x:c r="S1618" s="1"/>
      <x:c r="T1618" s="1"/>
      <x:c r="U1618" s="1"/>
      <x:c r="V1618" s="1"/>
    </x:row>
    <x:row r="1619">
      <x:c r="A1619" s="1"/>
      <x:c r="B1619" s="1"/>
      <x:c r="C1619" s="1"/>
      <x:c r="D1619" s="1"/>
      <x:c r="E1619" s="1"/>
      <x:c r="F1619" s="1"/>
      <x:c r="G1619" s="1"/>
      <x:c r="H1619" s="1"/>
      <x:c r="I1619" s="1"/>
      <x:c r="J1619" s="1"/>
      <x:c r="K1619" s="1"/>
      <x:c r="L1619" s="1"/>
      <x:c r="M1619" s="1"/>
      <x:c r="N1619" s="1"/>
      <x:c r="O1619" s="1"/>
      <x:c r="P1619" s="1"/>
      <x:c r="Q1619" s="1"/>
      <x:c r="R1619" s="1"/>
      <x:c r="S1619" s="1"/>
      <x:c r="T1619" s="1"/>
      <x:c r="U1619" s="1"/>
      <x:c r="V1619" s="1"/>
    </x:row>
    <x:row r="1620">
      <x:c r="A1620" s="1"/>
      <x:c r="B1620" s="1"/>
      <x:c r="C1620" s="1"/>
      <x:c r="D1620" s="1"/>
      <x:c r="E1620" s="1"/>
      <x:c r="F1620" s="1"/>
      <x:c r="G1620" s="1"/>
      <x:c r="H1620" s="1"/>
      <x:c r="I1620" s="1"/>
      <x:c r="J1620" s="1"/>
      <x:c r="K1620" s="1"/>
      <x:c r="L1620" s="1"/>
      <x:c r="M1620" s="1"/>
      <x:c r="N1620" s="1"/>
      <x:c r="O1620" s="1"/>
      <x:c r="P1620" s="1"/>
      <x:c r="Q1620" s="1"/>
      <x:c r="R1620" s="1"/>
      <x:c r="S1620" s="1"/>
      <x:c r="T1620" s="1"/>
      <x:c r="U1620" s="1"/>
      <x:c r="V1620" s="1"/>
    </x:row>
    <x:row r="1621">
      <x:c r="A1621" s="1"/>
      <x:c r="B1621" s="1"/>
      <x:c r="C1621" s="1"/>
      <x:c r="D1621" s="1"/>
      <x:c r="E1621" s="1"/>
      <x:c r="F1621" s="1"/>
      <x:c r="G1621" s="1"/>
      <x:c r="H1621" s="1"/>
      <x:c r="I1621" s="1"/>
      <x:c r="J1621" s="1"/>
      <x:c r="K1621" s="1"/>
      <x:c r="L1621" s="1"/>
      <x:c r="M1621" s="1"/>
      <x:c r="N1621" s="1"/>
      <x:c r="O1621" s="1"/>
      <x:c r="P1621" s="1"/>
      <x:c r="Q1621" s="1"/>
      <x:c r="R1621" s="1"/>
      <x:c r="S1621" s="1"/>
      <x:c r="T1621" s="1"/>
      <x:c r="U1621" s="1"/>
      <x:c r="V1621" s="1"/>
    </x:row>
    <x:row r="1622">
      <x:c r="A1622" s="1"/>
      <x:c r="B1622" s="1"/>
      <x:c r="C1622" s="1"/>
      <x:c r="D1622" s="1"/>
      <x:c r="E1622" s="1"/>
      <x:c r="F1622" s="1"/>
      <x:c r="G1622" s="1"/>
      <x:c r="H1622" s="1"/>
      <x:c r="I1622" s="1"/>
      <x:c r="J1622" s="1"/>
      <x:c r="K1622" s="1"/>
      <x:c r="L1622" s="1"/>
      <x:c r="M1622" s="1"/>
      <x:c r="N1622" s="1"/>
      <x:c r="O1622" s="1"/>
      <x:c r="P1622" s="1"/>
      <x:c r="Q1622" s="1"/>
      <x:c r="R1622" s="1"/>
      <x:c r="S1622" s="1"/>
      <x:c r="T1622" s="1"/>
      <x:c r="U1622" s="1"/>
      <x:c r="V1622" s="1"/>
    </x:row>
    <x:row r="1623">
      <x:c r="A1623" s="1"/>
      <x:c r="B1623" s="1"/>
      <x:c r="C1623" s="1"/>
      <x:c r="D1623" s="1"/>
      <x:c r="E1623" s="1"/>
      <x:c r="F1623" s="1"/>
      <x:c r="G1623" s="1"/>
      <x:c r="H1623" s="1"/>
      <x:c r="I1623" s="1"/>
      <x:c r="J1623" s="1"/>
      <x:c r="K1623" s="1"/>
      <x:c r="L1623" s="1"/>
      <x:c r="M1623" s="1"/>
      <x:c r="N1623" s="1"/>
      <x:c r="O1623" s="1"/>
      <x:c r="P1623" s="1"/>
      <x:c r="Q1623" s="1"/>
      <x:c r="R1623" s="1"/>
      <x:c r="S1623" s="1"/>
      <x:c r="T1623" s="1"/>
      <x:c r="U1623" s="1"/>
      <x:c r="V1623" s="1"/>
    </x:row>
    <x:row r="1624">
      <x:c r="A1624" s="1"/>
      <x:c r="B1624" s="1"/>
      <x:c r="C1624" s="1"/>
      <x:c r="D1624" s="1"/>
      <x:c r="E1624" s="1"/>
      <x:c r="F1624" s="1"/>
      <x:c r="G1624" s="1"/>
      <x:c r="H1624" s="1"/>
      <x:c r="I1624" s="1"/>
      <x:c r="J1624" s="1"/>
      <x:c r="K1624" s="1"/>
      <x:c r="L1624" s="1"/>
      <x:c r="M1624" s="1"/>
      <x:c r="N1624" s="1"/>
      <x:c r="O1624" s="1"/>
      <x:c r="P1624" s="1"/>
      <x:c r="Q1624" s="1"/>
      <x:c r="R1624" s="1"/>
      <x:c r="S1624" s="1"/>
      <x:c r="T1624" s="1"/>
      <x:c r="U1624" s="1"/>
      <x:c r="V1624" s="1"/>
    </x:row>
    <x:row r="1625">
      <x:c r="A1625" s="1"/>
      <x:c r="B1625" s="1"/>
      <x:c r="C1625" s="1"/>
      <x:c r="D1625" s="1"/>
      <x:c r="E1625" s="1"/>
      <x:c r="F1625" s="1"/>
      <x:c r="G1625" s="1"/>
      <x:c r="H1625" s="1"/>
      <x:c r="I1625" s="1"/>
      <x:c r="J1625" s="1"/>
      <x:c r="K1625" s="1"/>
      <x:c r="L1625" s="1"/>
      <x:c r="M1625" s="1"/>
      <x:c r="N1625" s="1"/>
      <x:c r="O1625" s="1"/>
      <x:c r="P1625" s="1"/>
      <x:c r="Q1625" s="1"/>
      <x:c r="R1625" s="1"/>
      <x:c r="S1625" s="1"/>
      <x:c r="T1625" s="1"/>
      <x:c r="U1625" s="1"/>
      <x:c r="V1625" s="1"/>
    </x:row>
    <x:row r="1626">
      <x:c r="A1626" s="1"/>
      <x:c r="B1626" s="1"/>
      <x:c r="C1626" s="1"/>
      <x:c r="D1626" s="1"/>
      <x:c r="E1626" s="1"/>
      <x:c r="F1626" s="1"/>
      <x:c r="G1626" s="1"/>
      <x:c r="H1626" s="1"/>
      <x:c r="I1626" s="1"/>
      <x:c r="J1626" s="1"/>
      <x:c r="K1626" s="1"/>
      <x:c r="L1626" s="1"/>
      <x:c r="M1626" s="1"/>
      <x:c r="N1626" s="1"/>
      <x:c r="O1626" s="1"/>
      <x:c r="P1626" s="1"/>
      <x:c r="Q1626" s="1"/>
      <x:c r="R1626" s="1"/>
      <x:c r="S1626" s="1"/>
      <x:c r="T1626" s="1"/>
      <x:c r="U1626" s="1"/>
      <x:c r="V1626" s="1"/>
    </x:row>
    <x:row r="1627">
      <x:c r="A1627" s="1"/>
      <x:c r="B1627" s="1"/>
      <x:c r="C1627" s="1"/>
      <x:c r="D1627" s="1"/>
      <x:c r="E1627" s="1"/>
      <x:c r="F1627" s="1"/>
      <x:c r="G1627" s="1"/>
      <x:c r="H1627" s="1"/>
      <x:c r="I1627" s="1"/>
      <x:c r="J1627" s="1"/>
      <x:c r="K1627" s="1"/>
      <x:c r="L1627" s="1"/>
      <x:c r="M1627" s="1"/>
      <x:c r="N1627" s="1"/>
      <x:c r="O1627" s="1"/>
      <x:c r="P1627" s="1"/>
      <x:c r="Q1627" s="1"/>
      <x:c r="R1627" s="1"/>
      <x:c r="S1627" s="1"/>
      <x:c r="T1627" s="1"/>
      <x:c r="U1627" s="1"/>
      <x:c r="V1627" s="1"/>
    </x:row>
    <x:row r="1628">
      <x:c r="A1628" s="1"/>
      <x:c r="B1628" s="1"/>
      <x:c r="C1628" s="1"/>
      <x:c r="D1628" s="1"/>
      <x:c r="E1628" s="1"/>
      <x:c r="F1628" s="1"/>
      <x:c r="G1628" s="1"/>
      <x:c r="H1628" s="1"/>
      <x:c r="I1628" s="1"/>
      <x:c r="J1628" s="1"/>
      <x:c r="K1628" s="1"/>
      <x:c r="L1628" s="1"/>
      <x:c r="M1628" s="1"/>
      <x:c r="N1628" s="1"/>
      <x:c r="O1628" s="1"/>
      <x:c r="P1628" s="1"/>
      <x:c r="Q1628" s="1"/>
      <x:c r="R1628" s="1"/>
      <x:c r="S1628" s="1"/>
      <x:c r="T1628" s="1"/>
      <x:c r="U1628" s="1"/>
      <x:c r="V1628" s="1"/>
    </x:row>
    <x:row r="1629">
      <x:c r="A1629" s="1"/>
      <x:c r="B1629" s="1"/>
      <x:c r="C1629" s="1"/>
      <x:c r="D1629" s="1"/>
      <x:c r="E1629" s="1"/>
      <x:c r="F1629" s="1"/>
      <x:c r="G1629" s="1"/>
      <x:c r="H1629" s="1"/>
      <x:c r="I1629" s="1"/>
      <x:c r="J1629" s="1"/>
      <x:c r="K1629" s="1"/>
      <x:c r="L1629" s="1"/>
      <x:c r="M1629" s="1"/>
      <x:c r="N1629" s="1"/>
      <x:c r="O1629" s="1"/>
      <x:c r="P1629" s="1"/>
      <x:c r="Q1629" s="1"/>
      <x:c r="R1629" s="1"/>
      <x:c r="S1629" s="1"/>
      <x:c r="T1629" s="1"/>
      <x:c r="U1629" s="1"/>
      <x:c r="V1629" s="1"/>
    </x:row>
    <x:row r="1630">
      <x:c r="A1630" s="1"/>
      <x:c r="B1630" s="1"/>
      <x:c r="C1630" s="1"/>
      <x:c r="D1630" s="1"/>
      <x:c r="E1630" s="1"/>
      <x:c r="F1630" s="1"/>
      <x:c r="G1630" s="1"/>
      <x:c r="H1630" s="1"/>
      <x:c r="I1630" s="1"/>
      <x:c r="J1630" s="1"/>
      <x:c r="K1630" s="1"/>
      <x:c r="L1630" s="1"/>
      <x:c r="M1630" s="1"/>
      <x:c r="N1630" s="1"/>
      <x:c r="O1630" s="1"/>
      <x:c r="P1630" s="1"/>
      <x:c r="Q1630" s="1"/>
      <x:c r="R1630" s="1"/>
      <x:c r="S1630" s="1"/>
      <x:c r="T1630" s="1"/>
      <x:c r="U1630" s="1"/>
      <x:c r="V1630" s="1"/>
    </x:row>
    <x:row r="1631">
      <x:c r="A1631" s="1"/>
      <x:c r="B1631" s="1"/>
      <x:c r="C1631" s="1"/>
      <x:c r="D1631" s="1"/>
      <x:c r="E1631" s="1"/>
      <x:c r="F1631" s="1"/>
      <x:c r="G1631" s="1"/>
      <x:c r="H1631" s="1"/>
      <x:c r="I1631" s="1"/>
      <x:c r="J1631" s="1"/>
      <x:c r="K1631" s="1"/>
      <x:c r="L1631" s="1"/>
      <x:c r="M1631" s="1"/>
      <x:c r="N1631" s="1"/>
      <x:c r="O1631" s="1"/>
      <x:c r="P1631" s="1"/>
      <x:c r="Q1631" s="1"/>
      <x:c r="R1631" s="1"/>
      <x:c r="S1631" s="1"/>
      <x:c r="T1631" s="1"/>
      <x:c r="U1631" s="1"/>
      <x:c r="V1631" s="1"/>
    </x:row>
    <x:row r="1632">
      <x:c r="A1632" s="1"/>
      <x:c r="B1632" s="1"/>
      <x:c r="C1632" s="1"/>
      <x:c r="D1632" s="1"/>
      <x:c r="E1632" s="1"/>
      <x:c r="F1632" s="1"/>
      <x:c r="G1632" s="1"/>
      <x:c r="H1632" s="1"/>
      <x:c r="I1632" s="1"/>
      <x:c r="J1632" s="1"/>
      <x:c r="K1632" s="1"/>
      <x:c r="L1632" s="1"/>
      <x:c r="M1632" s="1"/>
      <x:c r="N1632" s="1"/>
      <x:c r="O1632" s="1"/>
      <x:c r="P1632" s="1"/>
      <x:c r="Q1632" s="1"/>
      <x:c r="R1632" s="1"/>
      <x:c r="S1632" s="1"/>
      <x:c r="T1632" s="1"/>
      <x:c r="U1632" s="1"/>
      <x:c r="V1632" s="1"/>
    </x:row>
    <x:row r="1633">
      <x:c r="A1633" s="1"/>
      <x:c r="B1633" s="1"/>
      <x:c r="C1633" s="1"/>
      <x:c r="D1633" s="1"/>
      <x:c r="E1633" s="1"/>
      <x:c r="F1633" s="1"/>
      <x:c r="G1633" s="1"/>
      <x:c r="H1633" s="1"/>
      <x:c r="I1633" s="1"/>
      <x:c r="J1633" s="1"/>
      <x:c r="K1633" s="1"/>
      <x:c r="L1633" s="1"/>
      <x:c r="M1633" s="1"/>
      <x:c r="N1633" s="1"/>
      <x:c r="O1633" s="1"/>
      <x:c r="P1633" s="1"/>
      <x:c r="Q1633" s="1"/>
      <x:c r="R1633" s="1"/>
      <x:c r="S1633" s="1"/>
      <x:c r="T1633" s="1"/>
      <x:c r="U1633" s="1"/>
      <x:c r="V1633" s="1"/>
    </x:row>
    <x:row r="1634">
      <x:c r="A1634" s="1"/>
      <x:c r="B1634" s="1"/>
      <x:c r="C1634" s="1"/>
      <x:c r="D1634" s="1"/>
      <x:c r="E1634" s="1"/>
      <x:c r="F1634" s="1"/>
      <x:c r="G1634" s="1"/>
      <x:c r="H1634" s="1"/>
      <x:c r="I1634" s="1"/>
      <x:c r="J1634" s="1"/>
      <x:c r="K1634" s="1"/>
      <x:c r="L1634" s="1"/>
      <x:c r="M1634" s="1"/>
      <x:c r="N1634" s="1"/>
      <x:c r="O1634" s="1"/>
      <x:c r="P1634" s="1"/>
      <x:c r="Q1634" s="1"/>
      <x:c r="R1634" s="1"/>
      <x:c r="S1634" s="1"/>
      <x:c r="T1634" s="1"/>
      <x:c r="U1634" s="1"/>
      <x:c r="V1634" s="1"/>
    </x:row>
    <x:row r="1635">
      <x:c r="A1635" s="1"/>
      <x:c r="B1635" s="1"/>
      <x:c r="C1635" s="1"/>
      <x:c r="D1635" s="1"/>
      <x:c r="E1635" s="1"/>
      <x:c r="F1635" s="1"/>
      <x:c r="G1635" s="1"/>
      <x:c r="H1635" s="1"/>
      <x:c r="I1635" s="1"/>
      <x:c r="J1635" s="1"/>
      <x:c r="K1635" s="1"/>
      <x:c r="L1635" s="1"/>
      <x:c r="M1635" s="1"/>
      <x:c r="N1635" s="1"/>
      <x:c r="O1635" s="1"/>
      <x:c r="P1635" s="1"/>
      <x:c r="Q1635" s="1"/>
      <x:c r="R1635" s="1"/>
      <x:c r="S1635" s="1"/>
      <x:c r="T1635" s="1"/>
      <x:c r="U1635" s="1"/>
      <x:c r="V1635" s="1"/>
    </x:row>
    <x:row r="1636">
      <x:c r="A1636" s="1"/>
      <x:c r="B1636" s="1"/>
      <x:c r="C1636" s="1"/>
      <x:c r="D1636" s="1"/>
      <x:c r="E1636" s="1"/>
      <x:c r="F1636" s="1"/>
      <x:c r="G1636" s="1"/>
      <x:c r="H1636" s="1"/>
      <x:c r="I1636" s="1"/>
      <x:c r="J1636" s="1"/>
      <x:c r="K1636" s="1"/>
      <x:c r="L1636" s="1"/>
      <x:c r="M1636" s="1"/>
      <x:c r="N1636" s="1"/>
      <x:c r="O1636" s="1"/>
      <x:c r="P1636" s="1"/>
      <x:c r="Q1636" s="1"/>
      <x:c r="R1636" s="1"/>
      <x:c r="S1636" s="1"/>
      <x:c r="T1636" s="1"/>
      <x:c r="U1636" s="1"/>
      <x:c r="V1636" s="1"/>
    </x:row>
    <x:row r="1637">
      <x:c r="A1637" s="1"/>
      <x:c r="B1637" s="1"/>
      <x:c r="C1637" s="1"/>
      <x:c r="D1637" s="1"/>
      <x:c r="E1637" s="1"/>
      <x:c r="F1637" s="1"/>
      <x:c r="G1637" s="1"/>
      <x:c r="H1637" s="1"/>
      <x:c r="I1637" s="1"/>
      <x:c r="J1637" s="1"/>
      <x:c r="K1637" s="1"/>
      <x:c r="L1637" s="1"/>
      <x:c r="M1637" s="1"/>
      <x:c r="N1637" s="1"/>
      <x:c r="O1637" s="1"/>
      <x:c r="P1637" s="1"/>
      <x:c r="Q1637" s="1"/>
      <x:c r="R1637" s="1"/>
      <x:c r="S1637" s="1"/>
      <x:c r="T1637" s="1"/>
      <x:c r="U1637" s="1"/>
      <x:c r="V1637" s="1"/>
    </x:row>
    <x:row r="1638">
      <x:c r="A1638" s="1"/>
      <x:c r="B1638" s="1"/>
      <x:c r="C1638" s="1"/>
      <x:c r="D1638" s="1"/>
      <x:c r="E1638" s="1"/>
      <x:c r="F1638" s="1"/>
      <x:c r="G1638" s="1"/>
      <x:c r="H1638" s="1"/>
      <x:c r="I1638" s="1"/>
      <x:c r="J1638" s="1"/>
      <x:c r="K1638" s="1"/>
      <x:c r="L1638" s="1"/>
      <x:c r="M1638" s="1"/>
      <x:c r="N1638" s="1"/>
      <x:c r="O1638" s="1"/>
      <x:c r="P1638" s="1"/>
      <x:c r="Q1638" s="1"/>
      <x:c r="R1638" s="1"/>
      <x:c r="S1638" s="1"/>
      <x:c r="T1638" s="1"/>
      <x:c r="U1638" s="1"/>
      <x:c r="V1638" s="1"/>
    </x:row>
    <x:row r="1639">
      <x:c r="A1639" s="1"/>
      <x:c r="B1639" s="1"/>
      <x:c r="C1639" s="1"/>
      <x:c r="D1639" s="1"/>
      <x:c r="E1639" s="1"/>
      <x:c r="F1639" s="1"/>
      <x:c r="G1639" s="1"/>
      <x:c r="H1639" s="1"/>
      <x:c r="I1639" s="1"/>
      <x:c r="J1639" s="1"/>
      <x:c r="K1639" s="1"/>
      <x:c r="L1639" s="1"/>
      <x:c r="M1639" s="1"/>
      <x:c r="N1639" s="1"/>
      <x:c r="O1639" s="1"/>
      <x:c r="P1639" s="1"/>
      <x:c r="Q1639" s="1"/>
      <x:c r="R1639" s="1"/>
      <x:c r="S1639" s="1"/>
      <x:c r="T1639" s="1"/>
      <x:c r="U1639" s="1"/>
      <x:c r="V1639" s="1"/>
    </x:row>
    <x:row r="1640">
      <x:c r="A1640" s="1"/>
      <x:c r="B1640" s="1"/>
      <x:c r="C1640" s="1"/>
      <x:c r="D1640" s="1"/>
      <x:c r="E1640" s="1"/>
      <x:c r="F1640" s="1"/>
      <x:c r="G1640" s="1"/>
      <x:c r="H1640" s="1"/>
      <x:c r="I1640" s="1"/>
      <x:c r="J1640" s="1"/>
      <x:c r="K1640" s="1"/>
      <x:c r="L1640" s="1"/>
      <x:c r="M1640" s="1"/>
      <x:c r="N1640" s="1"/>
      <x:c r="O1640" s="1"/>
      <x:c r="P1640" s="1"/>
      <x:c r="Q1640" s="1"/>
      <x:c r="R1640" s="1"/>
      <x:c r="S1640" s="1"/>
      <x:c r="T1640" s="1"/>
      <x:c r="U1640" s="1"/>
      <x:c r="V1640" s="1"/>
    </x:row>
    <x:row r="1641">
      <x:c r="A1641" s="1"/>
      <x:c r="B1641" s="1"/>
      <x:c r="C1641" s="1"/>
      <x:c r="D1641" s="1"/>
      <x:c r="E1641" s="1"/>
      <x:c r="F1641" s="1"/>
      <x:c r="G1641" s="1"/>
      <x:c r="H1641" s="1"/>
      <x:c r="I1641" s="1"/>
      <x:c r="J1641" s="1"/>
      <x:c r="K1641" s="1"/>
      <x:c r="L1641" s="1"/>
      <x:c r="M1641" s="1"/>
      <x:c r="N1641" s="1"/>
      <x:c r="O1641" s="1"/>
      <x:c r="P1641" s="1"/>
      <x:c r="Q1641" s="1"/>
      <x:c r="R1641" s="1"/>
      <x:c r="S1641" s="1"/>
      <x:c r="T1641" s="1"/>
      <x:c r="U1641" s="1"/>
      <x:c r="V1641" s="1"/>
    </x:row>
    <x:row r="1642">
      <x:c r="A1642" s="1"/>
      <x:c r="B1642" s="1"/>
      <x:c r="C1642" s="1"/>
      <x:c r="D1642" s="1"/>
      <x:c r="E1642" s="1"/>
      <x:c r="F1642" s="1"/>
      <x:c r="G1642" s="1"/>
      <x:c r="H1642" s="1"/>
      <x:c r="I1642" s="1"/>
      <x:c r="J1642" s="1"/>
      <x:c r="K1642" s="1"/>
      <x:c r="L1642" s="1"/>
      <x:c r="M1642" s="1"/>
      <x:c r="N1642" s="1"/>
      <x:c r="O1642" s="1"/>
      <x:c r="P1642" s="1"/>
      <x:c r="Q1642" s="1"/>
      <x:c r="R1642" s="1"/>
      <x:c r="S1642" s="1"/>
      <x:c r="T1642" s="1"/>
      <x:c r="U1642" s="1"/>
      <x:c r="V1642" s="1"/>
    </x:row>
    <x:row r="1643">
      <x:c r="A1643" s="1"/>
      <x:c r="B1643" s="1"/>
      <x:c r="C1643" s="1"/>
      <x:c r="D1643" s="1"/>
      <x:c r="E1643" s="1"/>
      <x:c r="F1643" s="1"/>
      <x:c r="G1643" s="1"/>
      <x:c r="H1643" s="1"/>
      <x:c r="I1643" s="1"/>
      <x:c r="J1643" s="1"/>
      <x:c r="K1643" s="1"/>
      <x:c r="L1643" s="1"/>
      <x:c r="M1643" s="1"/>
      <x:c r="N1643" s="1"/>
      <x:c r="O1643" s="1"/>
      <x:c r="P1643" s="1"/>
      <x:c r="Q1643" s="1"/>
      <x:c r="R1643" s="1"/>
      <x:c r="S1643" s="1"/>
      <x:c r="T1643" s="1"/>
      <x:c r="U1643" s="1"/>
      <x:c r="V1643" s="1"/>
    </x:row>
    <x:row r="1644">
      <x:c r="A1644" s="1"/>
      <x:c r="B1644" s="1"/>
      <x:c r="C1644" s="1"/>
      <x:c r="D1644" s="1"/>
      <x:c r="E1644" s="1"/>
      <x:c r="F1644" s="1"/>
      <x:c r="G1644" s="1"/>
      <x:c r="H1644" s="1"/>
      <x:c r="I1644" s="1"/>
      <x:c r="J1644" s="1"/>
      <x:c r="K1644" s="1"/>
      <x:c r="L1644" s="1"/>
      <x:c r="M1644" s="1"/>
      <x:c r="N1644" s="1"/>
      <x:c r="O1644" s="1"/>
      <x:c r="P1644" s="1"/>
      <x:c r="Q1644" s="1"/>
      <x:c r="R1644" s="1"/>
      <x:c r="S1644" s="1"/>
      <x:c r="T1644" s="1"/>
      <x:c r="U1644" s="1"/>
      <x:c r="V1644" s="1"/>
    </x:row>
    <x:row r="1645">
      <x:c r="A1645" s="1"/>
      <x:c r="B1645" s="1"/>
      <x:c r="C1645" s="1"/>
      <x:c r="D1645" s="1"/>
      <x:c r="E1645" s="1"/>
      <x:c r="F1645" s="1"/>
      <x:c r="G1645" s="1"/>
      <x:c r="H1645" s="1"/>
      <x:c r="I1645" s="1"/>
      <x:c r="J1645" s="1"/>
      <x:c r="K1645" s="1"/>
      <x:c r="L1645" s="1"/>
      <x:c r="M1645" s="1"/>
      <x:c r="N1645" s="1"/>
      <x:c r="O1645" s="1"/>
      <x:c r="P1645" s="1"/>
      <x:c r="Q1645" s="1"/>
      <x:c r="R1645" s="1"/>
      <x:c r="S1645" s="1"/>
      <x:c r="T1645" s="1"/>
      <x:c r="U1645" s="1"/>
      <x:c r="V1645" s="1"/>
    </x:row>
    <x:row r="1646">
      <x:c r="A1646" s="1"/>
      <x:c r="B1646" s="1"/>
      <x:c r="C1646" s="1"/>
      <x:c r="D1646" s="1"/>
      <x:c r="E1646" s="1"/>
      <x:c r="F1646" s="1"/>
      <x:c r="G1646" s="1"/>
      <x:c r="H1646" s="1"/>
      <x:c r="I1646" s="1"/>
      <x:c r="J1646" s="1"/>
      <x:c r="K1646" s="1"/>
      <x:c r="L1646" s="1"/>
      <x:c r="M1646" s="1"/>
      <x:c r="N1646" s="1"/>
      <x:c r="O1646" s="1"/>
      <x:c r="P1646" s="1"/>
      <x:c r="Q1646" s="1"/>
      <x:c r="R1646" s="1"/>
      <x:c r="S1646" s="1"/>
      <x:c r="T1646" s="1"/>
      <x:c r="U1646" s="1"/>
      <x:c r="V1646" s="1"/>
    </x:row>
    <x:row r="1647">
      <x:c r="A1647" s="1"/>
      <x:c r="B1647" s="1"/>
      <x:c r="C1647" s="1"/>
      <x:c r="D1647" s="1"/>
      <x:c r="E1647" s="1"/>
      <x:c r="F1647" s="1"/>
      <x:c r="G1647" s="1"/>
      <x:c r="H1647" s="1"/>
      <x:c r="I1647" s="1"/>
      <x:c r="J1647" s="1"/>
      <x:c r="K1647" s="1"/>
      <x:c r="L1647" s="1"/>
      <x:c r="M1647" s="1"/>
      <x:c r="N1647" s="1"/>
      <x:c r="O1647" s="1"/>
      <x:c r="P1647" s="1"/>
      <x:c r="Q1647" s="1"/>
      <x:c r="R1647" s="1"/>
      <x:c r="S1647" s="1"/>
      <x:c r="T1647" s="1"/>
      <x:c r="U1647" s="1"/>
      <x:c r="V1647" s="1"/>
    </x:row>
    <x:row r="1648">
      <x:c r="A1648" s="1"/>
      <x:c r="B1648" s="1"/>
      <x:c r="C1648" s="1"/>
      <x:c r="D1648" s="1"/>
      <x:c r="E1648" s="1"/>
      <x:c r="F1648" s="1"/>
      <x:c r="G1648" s="1"/>
      <x:c r="H1648" s="1"/>
      <x:c r="I1648" s="1"/>
      <x:c r="J1648" s="1"/>
      <x:c r="K1648" s="1"/>
      <x:c r="L1648" s="1"/>
      <x:c r="M1648" s="1"/>
      <x:c r="N1648" s="1"/>
      <x:c r="O1648" s="1"/>
      <x:c r="P1648" s="1"/>
      <x:c r="Q1648" s="1"/>
      <x:c r="R1648" s="1"/>
      <x:c r="S1648" s="1"/>
      <x:c r="T1648" s="1"/>
      <x:c r="U1648" s="1"/>
      <x:c r="V1648" s="1"/>
    </x:row>
    <x:row r="1649">
      <x:c r="A1649" s="1"/>
      <x:c r="B1649" s="1"/>
      <x:c r="C1649" s="1"/>
      <x:c r="D1649" s="1"/>
      <x:c r="E1649" s="1"/>
      <x:c r="F1649" s="1"/>
      <x:c r="G1649" s="1"/>
      <x:c r="H1649" s="1"/>
      <x:c r="I1649" s="1"/>
      <x:c r="J1649" s="1"/>
      <x:c r="K1649" s="1"/>
      <x:c r="L1649" s="1"/>
      <x:c r="M1649" s="1"/>
      <x:c r="N1649" s="1"/>
      <x:c r="O1649" s="1"/>
      <x:c r="P1649" s="1"/>
      <x:c r="Q1649" s="1"/>
      <x:c r="R1649" s="1"/>
      <x:c r="S1649" s="1"/>
      <x:c r="T1649" s="1"/>
      <x:c r="U1649" s="1"/>
      <x:c r="V1649" s="1"/>
    </x:row>
    <x:row r="1650">
      <x:c r="A1650" s="1"/>
      <x:c r="B1650" s="1"/>
      <x:c r="C1650" s="1"/>
      <x:c r="D1650" s="1"/>
      <x:c r="E1650" s="1"/>
      <x:c r="F1650" s="1"/>
      <x:c r="G1650" s="1"/>
      <x:c r="H1650" s="1"/>
      <x:c r="I1650" s="1"/>
      <x:c r="J1650" s="1"/>
      <x:c r="K1650" s="1"/>
      <x:c r="L1650" s="1"/>
      <x:c r="M1650" s="1"/>
      <x:c r="N1650" s="1"/>
      <x:c r="O1650" s="1"/>
      <x:c r="P1650" s="1"/>
      <x:c r="Q1650" s="1"/>
      <x:c r="R1650" s="1"/>
      <x:c r="S1650" s="1"/>
      <x:c r="T1650" s="1"/>
      <x:c r="U1650" s="1"/>
      <x:c r="V1650" s="1"/>
    </x:row>
    <x:row r="1651">
      <x:c r="A1651" s="1"/>
      <x:c r="B1651" s="1"/>
      <x:c r="C1651" s="1"/>
      <x:c r="D1651" s="1"/>
      <x:c r="E1651" s="1"/>
      <x:c r="F1651" s="1"/>
      <x:c r="G1651" s="1"/>
      <x:c r="H1651" s="1"/>
      <x:c r="I1651" s="1"/>
      <x:c r="J1651" s="1"/>
      <x:c r="K1651" s="1"/>
      <x:c r="L1651" s="1"/>
      <x:c r="M1651" s="1"/>
      <x:c r="N1651" s="1"/>
      <x:c r="O1651" s="1"/>
      <x:c r="P1651" s="1"/>
      <x:c r="Q1651" s="1"/>
      <x:c r="R1651" s="1"/>
      <x:c r="S1651" s="1"/>
      <x:c r="T1651" s="1"/>
      <x:c r="U1651" s="1"/>
      <x:c r="V1651" s="1"/>
    </x:row>
    <x:row r="1652">
      <x:c r="A1652" s="1"/>
      <x:c r="B1652" s="1"/>
      <x:c r="C1652" s="1"/>
      <x:c r="D1652" s="1"/>
      <x:c r="E1652" s="1"/>
      <x:c r="F1652" s="1"/>
      <x:c r="G1652" s="1"/>
      <x:c r="H1652" s="1"/>
      <x:c r="I1652" s="1"/>
      <x:c r="J1652" s="1"/>
      <x:c r="K1652" s="1"/>
      <x:c r="L1652" s="1"/>
      <x:c r="M1652" s="1"/>
      <x:c r="N1652" s="1"/>
      <x:c r="O1652" s="1"/>
      <x:c r="P1652" s="1"/>
      <x:c r="Q1652" s="1"/>
      <x:c r="R1652" s="1"/>
      <x:c r="S1652" s="1"/>
      <x:c r="T1652" s="1"/>
      <x:c r="U1652" s="1"/>
      <x:c r="V1652" s="1"/>
    </x:row>
    <x:row r="1653">
      <x:c r="A1653" s="1"/>
      <x:c r="B1653" s="1"/>
      <x:c r="C1653" s="1"/>
      <x:c r="D1653" s="1"/>
      <x:c r="E1653" s="1"/>
      <x:c r="F1653" s="1"/>
      <x:c r="G1653" s="1"/>
      <x:c r="H1653" s="1"/>
      <x:c r="I1653" s="1"/>
      <x:c r="J1653" s="1"/>
      <x:c r="K1653" s="1"/>
      <x:c r="L1653" s="1"/>
      <x:c r="M1653" s="1"/>
      <x:c r="N1653" s="1"/>
      <x:c r="O1653" s="1"/>
      <x:c r="P1653" s="1"/>
      <x:c r="Q1653" s="1"/>
      <x:c r="R1653" s="1"/>
      <x:c r="S1653" s="1"/>
      <x:c r="T1653" s="1"/>
      <x:c r="U1653" s="1"/>
      <x:c r="V1653" s="1"/>
    </x:row>
    <x:row r="1654">
      <x:c r="A1654" s="1"/>
      <x:c r="B1654" s="1"/>
      <x:c r="C1654" s="1"/>
      <x:c r="D1654" s="1"/>
      <x:c r="E1654" s="1"/>
      <x:c r="F1654" s="1"/>
      <x:c r="G1654" s="1"/>
      <x:c r="H1654" s="1"/>
      <x:c r="I1654" s="1"/>
      <x:c r="J1654" s="1"/>
      <x:c r="K1654" s="1"/>
      <x:c r="L1654" s="1"/>
      <x:c r="M1654" s="1"/>
      <x:c r="N1654" s="1"/>
      <x:c r="O1654" s="1"/>
      <x:c r="P1654" s="1"/>
      <x:c r="Q1654" s="1"/>
      <x:c r="R1654" s="1"/>
      <x:c r="S1654" s="1"/>
      <x:c r="T1654" s="1"/>
      <x:c r="U1654" s="1"/>
      <x:c r="V1654" s="1"/>
    </x:row>
    <x:row r="1655">
      <x:c r="A1655" s="1"/>
      <x:c r="B1655" s="1"/>
      <x:c r="C1655" s="1"/>
      <x:c r="D1655" s="1"/>
      <x:c r="E1655" s="1"/>
      <x:c r="F1655" s="1"/>
      <x:c r="G1655" s="1"/>
      <x:c r="H1655" s="1"/>
      <x:c r="I1655" s="1"/>
      <x:c r="J1655" s="1"/>
      <x:c r="K1655" s="1"/>
      <x:c r="L1655" s="1"/>
      <x:c r="M1655" s="1"/>
      <x:c r="N1655" s="1"/>
      <x:c r="O1655" s="1"/>
      <x:c r="P1655" s="1"/>
      <x:c r="Q1655" s="1"/>
      <x:c r="R1655" s="1"/>
      <x:c r="S1655" s="1"/>
      <x:c r="T1655" s="1"/>
      <x:c r="U1655" s="1"/>
      <x:c r="V1655" s="1"/>
    </x:row>
    <x:row r="1656">
      <x:c r="A1656" s="1"/>
      <x:c r="B1656" s="1"/>
      <x:c r="C1656" s="1"/>
      <x:c r="D1656" s="1"/>
      <x:c r="E1656" s="1"/>
      <x:c r="F1656" s="1"/>
      <x:c r="G1656" s="1"/>
      <x:c r="H1656" s="1"/>
      <x:c r="I1656" s="1"/>
      <x:c r="J1656" s="1"/>
      <x:c r="K1656" s="1"/>
      <x:c r="L1656" s="1"/>
      <x:c r="M1656" s="1"/>
      <x:c r="N1656" s="1"/>
      <x:c r="O1656" s="1"/>
      <x:c r="P1656" s="1"/>
      <x:c r="Q1656" s="1"/>
      <x:c r="R1656" s="1"/>
      <x:c r="S1656" s="1"/>
      <x:c r="T1656" s="1"/>
      <x:c r="U1656" s="1"/>
      <x:c r="V1656" s="1"/>
    </x:row>
    <x:row r="1657">
      <x:c r="A1657" s="1"/>
      <x:c r="B1657" s="1"/>
      <x:c r="C1657" s="1"/>
      <x:c r="D1657" s="1"/>
      <x:c r="E1657" s="1"/>
      <x:c r="F1657" s="1"/>
      <x:c r="G1657" s="1"/>
      <x:c r="H1657" s="1"/>
      <x:c r="I1657" s="1"/>
      <x:c r="J1657" s="1"/>
      <x:c r="K1657" s="1"/>
      <x:c r="L1657" s="1"/>
      <x:c r="M1657" s="1"/>
      <x:c r="N1657" s="1"/>
      <x:c r="O1657" s="1"/>
      <x:c r="P1657" s="1"/>
      <x:c r="Q1657" s="1"/>
      <x:c r="R1657" s="1"/>
      <x:c r="S1657" s="1"/>
      <x:c r="T1657" s="1"/>
      <x:c r="U1657" s="1"/>
      <x:c r="V1657" s="1"/>
    </x:row>
    <x:row r="1658">
      <x:c r="A1658" s="1"/>
      <x:c r="B1658" s="1"/>
      <x:c r="C1658" s="1"/>
      <x:c r="D1658" s="1"/>
      <x:c r="E1658" s="1"/>
      <x:c r="F1658" s="1"/>
      <x:c r="G1658" s="1"/>
      <x:c r="H1658" s="1"/>
      <x:c r="I1658" s="1"/>
      <x:c r="J1658" s="1"/>
      <x:c r="K1658" s="1"/>
      <x:c r="L1658" s="1"/>
      <x:c r="M1658" s="1"/>
      <x:c r="N1658" s="1"/>
      <x:c r="O1658" s="1"/>
      <x:c r="P1658" s="1"/>
      <x:c r="Q1658" s="1"/>
      <x:c r="R1658" s="1"/>
      <x:c r="S1658" s="1"/>
      <x:c r="T1658" s="1"/>
      <x:c r="U1658" s="1"/>
      <x:c r="V1658" s="1"/>
    </x:row>
    <x:row r="1659">
      <x:c r="A1659" s="1"/>
      <x:c r="B1659" s="1"/>
      <x:c r="C1659" s="1"/>
      <x:c r="D1659" s="1"/>
      <x:c r="E1659" s="1"/>
      <x:c r="F1659" s="1"/>
      <x:c r="G1659" s="1"/>
      <x:c r="H1659" s="1"/>
      <x:c r="I1659" s="1"/>
      <x:c r="J1659" s="1"/>
      <x:c r="K1659" s="1"/>
      <x:c r="L1659" s="1"/>
      <x:c r="M1659" s="1"/>
      <x:c r="N1659" s="1"/>
      <x:c r="O1659" s="1"/>
      <x:c r="P1659" s="1"/>
      <x:c r="Q1659" s="1"/>
      <x:c r="R1659" s="1"/>
      <x:c r="S1659" s="1"/>
      <x:c r="T1659" s="1"/>
      <x:c r="U1659" s="1"/>
      <x:c r="V1659" s="1"/>
    </x:row>
    <x:row r="1660">
      <x:c r="A1660" s="1"/>
      <x:c r="B1660" s="1"/>
      <x:c r="C1660" s="1"/>
      <x:c r="D1660" s="1"/>
      <x:c r="E1660" s="1"/>
      <x:c r="F1660" s="1"/>
      <x:c r="G1660" s="1"/>
      <x:c r="H1660" s="1"/>
      <x:c r="I1660" s="1"/>
      <x:c r="J1660" s="1"/>
      <x:c r="K1660" s="1"/>
      <x:c r="L1660" s="1"/>
      <x:c r="M1660" s="1"/>
      <x:c r="N1660" s="1"/>
      <x:c r="O1660" s="1"/>
      <x:c r="P1660" s="1"/>
      <x:c r="Q1660" s="1"/>
      <x:c r="R1660" s="1"/>
      <x:c r="S1660" s="1"/>
      <x:c r="T1660" s="1"/>
      <x:c r="U1660" s="1"/>
      <x:c r="V1660" s="1"/>
    </x:row>
    <x:row r="1661">
      <x:c r="A1661" s="1"/>
      <x:c r="B1661" s="1"/>
      <x:c r="C1661" s="1"/>
      <x:c r="D1661" s="1"/>
      <x:c r="E1661" s="1"/>
      <x:c r="F1661" s="1"/>
      <x:c r="G1661" s="1"/>
      <x:c r="H1661" s="1"/>
      <x:c r="I1661" s="1"/>
      <x:c r="J1661" s="1"/>
      <x:c r="K1661" s="1"/>
      <x:c r="L1661" s="1"/>
      <x:c r="M1661" s="1"/>
      <x:c r="N1661" s="1"/>
      <x:c r="O1661" s="1"/>
      <x:c r="P1661" s="1"/>
      <x:c r="Q1661" s="1"/>
      <x:c r="R1661" s="1"/>
      <x:c r="S1661" s="1"/>
      <x:c r="T1661" s="1"/>
      <x:c r="U1661" s="1"/>
      <x:c r="V1661" s="1"/>
    </x:row>
    <x:row r="1662">
      <x:c r="A1662" s="1"/>
      <x:c r="B1662" s="1"/>
      <x:c r="C1662" s="1"/>
      <x:c r="D1662" s="1"/>
      <x:c r="E1662" s="1"/>
      <x:c r="F1662" s="1"/>
      <x:c r="G1662" s="1"/>
      <x:c r="H1662" s="1"/>
      <x:c r="I1662" s="1"/>
      <x:c r="J1662" s="1"/>
      <x:c r="K1662" s="1"/>
      <x:c r="L1662" s="1"/>
      <x:c r="M1662" s="1"/>
      <x:c r="N1662" s="1"/>
      <x:c r="O1662" s="1"/>
      <x:c r="P1662" s="1"/>
      <x:c r="Q1662" s="1"/>
      <x:c r="R1662" s="1"/>
      <x:c r="S1662" s="1"/>
      <x:c r="T1662" s="1"/>
      <x:c r="U1662" s="1"/>
      <x:c r="V1662" s="1"/>
    </x:row>
    <x:row r="1663">
      <x:c r="A1663" s="1"/>
      <x:c r="B1663" s="1"/>
      <x:c r="C1663" s="1"/>
      <x:c r="D1663" s="1"/>
      <x:c r="E1663" s="1"/>
      <x:c r="F1663" s="1"/>
      <x:c r="G1663" s="1"/>
      <x:c r="H1663" s="1"/>
      <x:c r="I1663" s="1"/>
      <x:c r="J1663" s="1"/>
      <x:c r="K1663" s="1"/>
      <x:c r="L1663" s="1"/>
      <x:c r="M1663" s="1"/>
      <x:c r="N1663" s="1"/>
      <x:c r="O1663" s="1"/>
      <x:c r="P1663" s="1"/>
      <x:c r="Q1663" s="1"/>
      <x:c r="R1663" s="1"/>
      <x:c r="S1663" s="1"/>
      <x:c r="T1663" s="1"/>
      <x:c r="U1663" s="1"/>
      <x:c r="V1663" s="1"/>
    </x:row>
    <x:row r="1664">
      <x:c r="A1664" s="1"/>
      <x:c r="B1664" s="1"/>
      <x:c r="C1664" s="1"/>
      <x:c r="D1664" s="1"/>
      <x:c r="E1664" s="1"/>
      <x:c r="F1664" s="1"/>
      <x:c r="G1664" s="1"/>
      <x:c r="H1664" s="1"/>
      <x:c r="I1664" s="1"/>
      <x:c r="J1664" s="1"/>
      <x:c r="K1664" s="1"/>
      <x:c r="L1664" s="1"/>
      <x:c r="M1664" s="1"/>
      <x:c r="N1664" s="1"/>
      <x:c r="O1664" s="1"/>
      <x:c r="P1664" s="1"/>
      <x:c r="Q1664" s="1"/>
      <x:c r="R1664" s="1"/>
      <x:c r="S1664" s="1"/>
      <x:c r="T1664" s="1"/>
      <x:c r="U1664" s="1"/>
      <x:c r="V1664" s="1"/>
    </x:row>
    <x:row r="1665">
      <x:c r="A1665" s="1"/>
      <x:c r="B1665" s="1"/>
      <x:c r="C1665" s="1"/>
      <x:c r="D1665" s="1"/>
      <x:c r="E1665" s="1"/>
      <x:c r="F1665" s="1"/>
      <x:c r="G1665" s="1"/>
      <x:c r="H1665" s="1"/>
      <x:c r="I1665" s="1"/>
      <x:c r="J1665" s="1"/>
      <x:c r="K1665" s="1"/>
      <x:c r="L1665" s="1"/>
      <x:c r="M1665" s="1"/>
      <x:c r="N1665" s="1"/>
      <x:c r="O1665" s="1"/>
      <x:c r="P1665" s="1"/>
      <x:c r="Q1665" s="1"/>
      <x:c r="R1665" s="1"/>
      <x:c r="S1665" s="1"/>
      <x:c r="T1665" s="1"/>
      <x:c r="U1665" s="1"/>
      <x:c r="V1665" s="1"/>
    </x:row>
    <x:row r="1666">
      <x:c r="A1666" s="1"/>
      <x:c r="B1666" s="1"/>
      <x:c r="C1666" s="1"/>
      <x:c r="D1666" s="1"/>
      <x:c r="E1666" s="1"/>
      <x:c r="F1666" s="1"/>
      <x:c r="G1666" s="1"/>
      <x:c r="H1666" s="1"/>
      <x:c r="I1666" s="1"/>
      <x:c r="J1666" s="1"/>
      <x:c r="K1666" s="1"/>
      <x:c r="L1666" s="1"/>
      <x:c r="M1666" s="1"/>
      <x:c r="N1666" s="1"/>
      <x:c r="O1666" s="1"/>
      <x:c r="P1666" s="1"/>
      <x:c r="Q1666" s="1"/>
      <x:c r="R1666" s="1"/>
      <x:c r="S1666" s="1"/>
      <x:c r="T1666" s="1"/>
      <x:c r="U1666" s="1"/>
      <x:c r="V1666" s="1"/>
    </x:row>
    <x:row r="1667">
      <x:c r="A1667" s="1"/>
      <x:c r="B1667" s="1"/>
      <x:c r="C1667" s="1"/>
      <x:c r="D1667" s="1"/>
      <x:c r="E1667" s="1"/>
      <x:c r="F1667" s="1"/>
      <x:c r="G1667" s="1"/>
      <x:c r="H1667" s="1"/>
      <x:c r="I1667" s="1"/>
      <x:c r="J1667" s="1"/>
      <x:c r="K1667" s="1"/>
      <x:c r="L1667" s="1"/>
      <x:c r="M1667" s="1"/>
      <x:c r="N1667" s="1"/>
      <x:c r="O1667" s="1"/>
      <x:c r="P1667" s="1"/>
      <x:c r="Q1667" s="1"/>
      <x:c r="R1667" s="1"/>
      <x:c r="S1667" s="1"/>
      <x:c r="T1667" s="1"/>
      <x:c r="U1667" s="1"/>
      <x:c r="V1667" s="1"/>
    </x:row>
    <x:row r="1668">
      <x:c r="A1668" s="1"/>
      <x:c r="B1668" s="1"/>
      <x:c r="C1668" s="1"/>
      <x:c r="D1668" s="1"/>
      <x:c r="E1668" s="1"/>
      <x:c r="F1668" s="1"/>
      <x:c r="G1668" s="1"/>
      <x:c r="H1668" s="1"/>
      <x:c r="I1668" s="1"/>
      <x:c r="J1668" s="1"/>
      <x:c r="K1668" s="1"/>
      <x:c r="L1668" s="1"/>
      <x:c r="M1668" s="1"/>
      <x:c r="N1668" s="1"/>
      <x:c r="O1668" s="1"/>
      <x:c r="P1668" s="1"/>
      <x:c r="Q1668" s="1"/>
      <x:c r="R1668" s="1"/>
      <x:c r="S1668" s="1"/>
      <x:c r="T1668" s="1"/>
      <x:c r="U1668" s="1"/>
      <x:c r="V1668" s="1"/>
    </x:row>
    <x:row r="1669">
      <x:c r="A1669" s="1"/>
      <x:c r="B1669" s="1"/>
      <x:c r="C1669" s="1"/>
      <x:c r="D1669" s="1"/>
      <x:c r="E1669" s="1"/>
      <x:c r="F1669" s="1"/>
      <x:c r="G1669" s="1"/>
      <x:c r="H1669" s="1"/>
      <x:c r="I1669" s="1"/>
      <x:c r="J1669" s="1"/>
      <x:c r="K1669" s="1"/>
      <x:c r="L1669" s="1"/>
      <x:c r="M1669" s="1"/>
      <x:c r="N1669" s="1"/>
      <x:c r="O1669" s="1"/>
      <x:c r="P1669" s="1"/>
      <x:c r="Q1669" s="1"/>
      <x:c r="R1669" s="1"/>
      <x:c r="S1669" s="1"/>
      <x:c r="T1669" s="1"/>
      <x:c r="U1669" s="1"/>
      <x:c r="V1669" s="1"/>
    </x:row>
    <x:row r="1670">
      <x:c r="A1670" s="1"/>
      <x:c r="B1670" s="1"/>
      <x:c r="C1670" s="1"/>
      <x:c r="D1670" s="1"/>
      <x:c r="E1670" s="1"/>
      <x:c r="F1670" s="1"/>
      <x:c r="G1670" s="1"/>
      <x:c r="H1670" s="1"/>
      <x:c r="I1670" s="1"/>
      <x:c r="J1670" s="1"/>
      <x:c r="K1670" s="1"/>
      <x:c r="L1670" s="1"/>
      <x:c r="M1670" s="1"/>
      <x:c r="N1670" s="1"/>
      <x:c r="O1670" s="1"/>
      <x:c r="P1670" s="1"/>
      <x:c r="Q1670" s="1"/>
      <x:c r="R1670" s="1"/>
      <x:c r="S1670" s="1"/>
      <x:c r="T1670" s="1"/>
      <x:c r="U1670" s="1"/>
      <x:c r="V1670" s="1"/>
    </x:row>
    <x:row r="1671">
      <x:c r="A1671" s="1"/>
      <x:c r="B1671" s="1"/>
      <x:c r="C1671" s="1"/>
      <x:c r="D1671" s="1"/>
      <x:c r="E1671" s="1"/>
      <x:c r="F1671" s="1"/>
      <x:c r="G1671" s="1"/>
      <x:c r="H1671" s="1"/>
      <x:c r="I1671" s="1"/>
      <x:c r="J1671" s="1"/>
      <x:c r="K1671" s="1"/>
      <x:c r="L1671" s="1"/>
      <x:c r="M1671" s="1"/>
      <x:c r="N1671" s="1"/>
      <x:c r="O1671" s="1"/>
      <x:c r="P1671" s="1"/>
      <x:c r="Q1671" s="1"/>
      <x:c r="R1671" s="1"/>
      <x:c r="S1671" s="1"/>
      <x:c r="T1671" s="1"/>
      <x:c r="U1671" s="1"/>
      <x:c r="V1671" s="1"/>
    </x:row>
    <x:row r="1672">
      <x:c r="A1672" s="1"/>
      <x:c r="B1672" s="1"/>
      <x:c r="C1672" s="1"/>
      <x:c r="D1672" s="1"/>
      <x:c r="E1672" s="1"/>
      <x:c r="F1672" s="1"/>
      <x:c r="G1672" s="1"/>
      <x:c r="H1672" s="1"/>
      <x:c r="I1672" s="1"/>
      <x:c r="J1672" s="1"/>
      <x:c r="K1672" s="1"/>
      <x:c r="L1672" s="1"/>
      <x:c r="M1672" s="1"/>
      <x:c r="N1672" s="1"/>
      <x:c r="O1672" s="1"/>
      <x:c r="P1672" s="1"/>
      <x:c r="Q1672" s="1"/>
      <x:c r="R1672" s="1"/>
      <x:c r="S1672" s="1"/>
      <x:c r="T1672" s="1"/>
      <x:c r="U1672" s="1"/>
      <x:c r="V1672" s="1"/>
    </x:row>
    <x:row r="1673">
      <x:c r="A1673" s="1"/>
      <x:c r="B1673" s="1"/>
      <x:c r="C1673" s="1"/>
      <x:c r="D1673" s="1"/>
      <x:c r="E1673" s="1"/>
      <x:c r="F1673" s="1"/>
      <x:c r="G1673" s="1"/>
      <x:c r="H1673" s="1"/>
      <x:c r="I1673" s="1"/>
      <x:c r="J1673" s="1"/>
      <x:c r="K1673" s="1"/>
      <x:c r="L1673" s="1"/>
      <x:c r="M1673" s="1"/>
      <x:c r="N1673" s="1"/>
      <x:c r="O1673" s="1"/>
      <x:c r="P1673" s="1"/>
      <x:c r="Q1673" s="1"/>
      <x:c r="R1673" s="1"/>
      <x:c r="S1673" s="1"/>
      <x:c r="T1673" s="1"/>
      <x:c r="U1673" s="1"/>
      <x:c r="V1673" s="1"/>
    </x:row>
    <x:row r="1674">
      <x:c r="A1674" s="1"/>
      <x:c r="B1674" s="1"/>
      <x:c r="C1674" s="1"/>
      <x:c r="D1674" s="1"/>
      <x:c r="E1674" s="1"/>
      <x:c r="F1674" s="1"/>
      <x:c r="G1674" s="1"/>
      <x:c r="H1674" s="1"/>
      <x:c r="I1674" s="1"/>
      <x:c r="J1674" s="1"/>
      <x:c r="K1674" s="1"/>
      <x:c r="L1674" s="1"/>
      <x:c r="M1674" s="1"/>
      <x:c r="N1674" s="1"/>
      <x:c r="O1674" s="1"/>
      <x:c r="P1674" s="1"/>
      <x:c r="Q1674" s="1"/>
      <x:c r="R1674" s="1"/>
      <x:c r="S1674" s="1"/>
      <x:c r="T1674" s="1"/>
      <x:c r="U1674" s="1"/>
      <x:c r="V1674" s="1"/>
    </x:row>
    <x:row r="1675">
      <x:c r="A1675" s="1"/>
      <x:c r="B1675" s="1"/>
      <x:c r="C1675" s="1"/>
      <x:c r="D1675" s="1"/>
      <x:c r="E1675" s="1"/>
      <x:c r="F1675" s="1"/>
      <x:c r="G1675" s="1"/>
      <x:c r="H1675" s="1"/>
      <x:c r="I1675" s="1"/>
      <x:c r="J1675" s="1"/>
      <x:c r="K1675" s="1"/>
      <x:c r="L1675" s="1"/>
      <x:c r="M1675" s="1"/>
      <x:c r="N1675" s="1"/>
      <x:c r="O1675" s="1"/>
      <x:c r="P1675" s="1"/>
      <x:c r="Q1675" s="1"/>
      <x:c r="R1675" s="1"/>
      <x:c r="S1675" s="1"/>
      <x:c r="T1675" s="1"/>
      <x:c r="U1675" s="1"/>
      <x:c r="V1675" s="1"/>
    </x:row>
    <x:row r="1676">
      <x:c r="A1676" s="1"/>
      <x:c r="B1676" s="1"/>
      <x:c r="C1676" s="1"/>
      <x:c r="D1676" s="1"/>
      <x:c r="E1676" s="1"/>
      <x:c r="F1676" s="1"/>
      <x:c r="G1676" s="1"/>
      <x:c r="H1676" s="1"/>
      <x:c r="I1676" s="1"/>
      <x:c r="J1676" s="1"/>
      <x:c r="K1676" s="1"/>
      <x:c r="L1676" s="1"/>
      <x:c r="M1676" s="1"/>
      <x:c r="N1676" s="1"/>
      <x:c r="O1676" s="1"/>
      <x:c r="P1676" s="1"/>
      <x:c r="Q1676" s="1"/>
      <x:c r="R1676" s="1"/>
      <x:c r="S1676" s="1"/>
      <x:c r="T1676" s="1"/>
      <x:c r="U1676" s="1"/>
      <x:c r="V1676" s="1"/>
    </x:row>
    <x:row r="1677">
      <x:c r="A1677" s="1"/>
      <x:c r="B1677" s="1"/>
      <x:c r="C1677" s="1"/>
      <x:c r="D1677" s="1"/>
      <x:c r="E1677" s="1"/>
      <x:c r="F1677" s="1"/>
      <x:c r="G1677" s="1"/>
      <x:c r="H1677" s="1"/>
      <x:c r="I1677" s="1"/>
      <x:c r="J1677" s="1"/>
      <x:c r="K1677" s="1"/>
      <x:c r="L1677" s="1"/>
      <x:c r="M1677" s="1"/>
      <x:c r="N1677" s="1"/>
      <x:c r="O1677" s="1"/>
      <x:c r="P1677" s="1"/>
      <x:c r="Q1677" s="1"/>
      <x:c r="R1677" s="1"/>
      <x:c r="S1677" s="1"/>
      <x:c r="T1677" s="1"/>
      <x:c r="U1677" s="1"/>
      <x:c r="V1677" s="1"/>
    </x:row>
    <x:row r="1678">
      <x:c r="A1678" s="1"/>
      <x:c r="B1678" s="1"/>
      <x:c r="C1678" s="1"/>
      <x:c r="D1678" s="1"/>
      <x:c r="E1678" s="1"/>
      <x:c r="F1678" s="1"/>
      <x:c r="G1678" s="1"/>
      <x:c r="H1678" s="1"/>
      <x:c r="I1678" s="1"/>
      <x:c r="J1678" s="1"/>
      <x:c r="K1678" s="1"/>
      <x:c r="L1678" s="1"/>
      <x:c r="M1678" s="1"/>
      <x:c r="N1678" s="1"/>
      <x:c r="O1678" s="1"/>
      <x:c r="P1678" s="1"/>
      <x:c r="Q1678" s="1"/>
      <x:c r="R1678" s="1"/>
      <x:c r="S1678" s="1"/>
      <x:c r="T1678" s="1"/>
      <x:c r="U1678" s="1"/>
      <x:c r="V1678" s="1"/>
    </x:row>
    <x:row r="1679">
      <x:c r="A1679" s="1"/>
      <x:c r="B1679" s="1"/>
      <x:c r="C1679" s="1"/>
      <x:c r="D1679" s="1"/>
      <x:c r="E1679" s="1"/>
      <x:c r="F1679" s="1"/>
      <x:c r="G1679" s="1"/>
      <x:c r="H1679" s="1"/>
      <x:c r="I1679" s="1"/>
      <x:c r="J1679" s="1"/>
      <x:c r="K1679" s="1"/>
      <x:c r="L1679" s="1"/>
      <x:c r="M1679" s="1"/>
      <x:c r="N1679" s="1"/>
      <x:c r="O1679" s="1"/>
      <x:c r="P1679" s="1"/>
      <x:c r="Q1679" s="1"/>
      <x:c r="R1679" s="1"/>
      <x:c r="S1679" s="1"/>
      <x:c r="T1679" s="1"/>
      <x:c r="U1679" s="1"/>
      <x:c r="V1679" s="1"/>
    </x:row>
    <x:row r="1680">
      <x:c r="A1680" s="1"/>
      <x:c r="B1680" s="1"/>
      <x:c r="C1680" s="1"/>
      <x:c r="D1680" s="1"/>
      <x:c r="E1680" s="1"/>
      <x:c r="F1680" s="1"/>
      <x:c r="G1680" s="1"/>
      <x:c r="H1680" s="1"/>
      <x:c r="I1680" s="1"/>
      <x:c r="J1680" s="1"/>
      <x:c r="K1680" s="1"/>
      <x:c r="L1680" s="1"/>
      <x:c r="M1680" s="1"/>
      <x:c r="N1680" s="1"/>
      <x:c r="O1680" s="1"/>
      <x:c r="P1680" s="1"/>
      <x:c r="Q1680" s="1"/>
      <x:c r="R1680" s="1"/>
      <x:c r="S1680" s="1"/>
      <x:c r="T1680" s="1"/>
      <x:c r="U1680" s="1"/>
      <x:c r="V1680" s="1"/>
    </x:row>
    <x:row r="1681">
      <x:c r="A1681" s="1"/>
      <x:c r="B1681" s="1"/>
      <x:c r="C1681" s="1"/>
      <x:c r="D1681" s="1"/>
      <x:c r="E1681" s="1"/>
      <x:c r="F1681" s="1"/>
      <x:c r="G1681" s="1"/>
      <x:c r="H1681" s="1"/>
      <x:c r="I1681" s="1"/>
      <x:c r="J1681" s="1"/>
      <x:c r="K1681" s="1"/>
      <x:c r="L1681" s="1"/>
      <x:c r="M1681" s="1"/>
      <x:c r="N1681" s="1"/>
      <x:c r="O1681" s="1"/>
      <x:c r="P1681" s="1"/>
      <x:c r="Q1681" s="1"/>
      <x:c r="R1681" s="1"/>
      <x:c r="S1681" s="1"/>
      <x:c r="T1681" s="1"/>
      <x:c r="U1681" s="1"/>
      <x:c r="V1681" s="1"/>
    </x:row>
    <x:row r="1682">
      <x:c r="A1682" s="1"/>
      <x:c r="B1682" s="1"/>
      <x:c r="C1682" s="1"/>
      <x:c r="D1682" s="1"/>
      <x:c r="E1682" s="1"/>
      <x:c r="F1682" s="1"/>
      <x:c r="G1682" s="1"/>
      <x:c r="H1682" s="1"/>
      <x:c r="I1682" s="1"/>
      <x:c r="J1682" s="1"/>
      <x:c r="K1682" s="1"/>
      <x:c r="L1682" s="1"/>
      <x:c r="M1682" s="1"/>
      <x:c r="N1682" s="1"/>
      <x:c r="O1682" s="1"/>
      <x:c r="P1682" s="1"/>
      <x:c r="Q1682" s="1"/>
      <x:c r="R1682" s="1"/>
      <x:c r="S1682" s="1"/>
      <x:c r="T1682" s="1"/>
      <x:c r="U1682" s="1"/>
      <x:c r="V1682" s="1"/>
    </x:row>
    <x:row r="1683">
      <x:c r="A1683" s="1"/>
      <x:c r="B1683" s="1"/>
      <x:c r="C1683" s="1"/>
      <x:c r="D1683" s="1"/>
      <x:c r="E1683" s="1"/>
      <x:c r="F1683" s="1"/>
      <x:c r="G1683" s="1"/>
      <x:c r="H1683" s="1"/>
      <x:c r="I1683" s="1"/>
      <x:c r="J1683" s="1"/>
      <x:c r="K1683" s="1"/>
      <x:c r="L1683" s="1"/>
      <x:c r="M1683" s="1"/>
      <x:c r="N1683" s="1"/>
      <x:c r="O1683" s="1"/>
      <x:c r="P1683" s="1"/>
      <x:c r="Q1683" s="1"/>
      <x:c r="R1683" s="1"/>
      <x:c r="S1683" s="1"/>
      <x:c r="T1683" s="1"/>
      <x:c r="U1683" s="1"/>
      <x:c r="V1683" s="1"/>
    </x:row>
    <x:row r="1684">
      <x:c r="A1684" s="1"/>
      <x:c r="B1684" s="1"/>
      <x:c r="C1684" s="1"/>
      <x:c r="D1684" s="1"/>
      <x:c r="E1684" s="1"/>
      <x:c r="F1684" s="1"/>
      <x:c r="G1684" s="1"/>
      <x:c r="H1684" s="1"/>
      <x:c r="I1684" s="1"/>
      <x:c r="J1684" s="1"/>
      <x:c r="K1684" s="1"/>
      <x:c r="L1684" s="1"/>
      <x:c r="M1684" s="1"/>
      <x:c r="N1684" s="1"/>
      <x:c r="O1684" s="1"/>
      <x:c r="P1684" s="1"/>
      <x:c r="Q1684" s="1"/>
      <x:c r="R1684" s="1"/>
      <x:c r="S1684" s="1"/>
      <x:c r="T1684" s="1"/>
      <x:c r="U1684" s="1"/>
      <x:c r="V1684" s="1"/>
    </x:row>
    <x:row r="1685">
      <x:c r="A1685" s="1"/>
      <x:c r="B1685" s="1"/>
      <x:c r="C1685" s="1"/>
      <x:c r="D1685" s="1"/>
      <x:c r="E1685" s="1"/>
      <x:c r="F1685" s="1"/>
      <x:c r="G1685" s="1"/>
      <x:c r="H1685" s="1"/>
      <x:c r="I1685" s="1"/>
      <x:c r="J1685" s="1"/>
      <x:c r="K1685" s="1"/>
      <x:c r="L1685" s="1"/>
      <x:c r="M1685" s="1"/>
      <x:c r="N1685" s="1"/>
      <x:c r="O1685" s="1"/>
      <x:c r="P1685" s="1"/>
      <x:c r="Q1685" s="1"/>
      <x:c r="R1685" s="1"/>
      <x:c r="S1685" s="1"/>
      <x:c r="T1685" s="1"/>
      <x:c r="U1685" s="1"/>
      <x:c r="V1685" s="1"/>
    </x:row>
    <x:row r="1686">
      <x:c r="A1686" s="1"/>
      <x:c r="B1686" s="1"/>
      <x:c r="C1686" s="1"/>
      <x:c r="D1686" s="1"/>
      <x:c r="E1686" s="1"/>
      <x:c r="F1686" s="1"/>
      <x:c r="G1686" s="1"/>
      <x:c r="H1686" s="1"/>
      <x:c r="I1686" s="1"/>
      <x:c r="J1686" s="1"/>
      <x:c r="K1686" s="1"/>
      <x:c r="L1686" s="1"/>
      <x:c r="M1686" s="1"/>
      <x:c r="N1686" s="1"/>
      <x:c r="O1686" s="1"/>
      <x:c r="P1686" s="1"/>
      <x:c r="Q1686" s="1"/>
      <x:c r="R1686" s="1"/>
      <x:c r="S1686" s="1"/>
      <x:c r="T1686" s="1"/>
      <x:c r="U1686" s="1"/>
      <x:c r="V1686" s="1"/>
    </x:row>
    <x:row r="1687">
      <x:c r="A1687" s="1"/>
      <x:c r="B1687" s="1"/>
      <x:c r="C1687" s="1"/>
      <x:c r="D1687" s="1"/>
      <x:c r="E1687" s="1"/>
      <x:c r="F1687" s="1"/>
      <x:c r="G1687" s="1"/>
      <x:c r="H1687" s="1"/>
      <x:c r="I1687" s="1"/>
      <x:c r="J1687" s="1"/>
      <x:c r="K1687" s="1"/>
      <x:c r="L1687" s="1"/>
      <x:c r="M1687" s="1"/>
      <x:c r="N1687" s="1"/>
      <x:c r="O1687" s="1"/>
      <x:c r="P1687" s="1"/>
      <x:c r="Q1687" s="1"/>
      <x:c r="R1687" s="1"/>
      <x:c r="S1687" s="1"/>
      <x:c r="T1687" s="1"/>
      <x:c r="U1687" s="1"/>
      <x:c r="V1687" s="1"/>
    </x:row>
    <x:row r="1688">
      <x:c r="A1688" s="1"/>
      <x:c r="B1688" s="1"/>
      <x:c r="C1688" s="1"/>
      <x:c r="D1688" s="1"/>
      <x:c r="E1688" s="1"/>
      <x:c r="F1688" s="1"/>
      <x:c r="G1688" s="1"/>
      <x:c r="H1688" s="1"/>
      <x:c r="I1688" s="1"/>
      <x:c r="J1688" s="1"/>
      <x:c r="K1688" s="1"/>
      <x:c r="L1688" s="1"/>
      <x:c r="M1688" s="1"/>
      <x:c r="N1688" s="1"/>
      <x:c r="O1688" s="1"/>
      <x:c r="P1688" s="1"/>
      <x:c r="Q1688" s="1"/>
      <x:c r="R1688" s="1"/>
      <x:c r="S1688" s="1"/>
      <x:c r="T1688" s="1"/>
      <x:c r="U1688" s="1"/>
      <x:c r="V1688" s="1"/>
    </x:row>
    <x:row r="1689">
      <x:c r="A1689" s="1"/>
      <x:c r="B1689" s="1"/>
      <x:c r="C1689" s="1"/>
      <x:c r="D1689" s="1"/>
      <x:c r="E1689" s="1"/>
      <x:c r="F1689" s="1"/>
      <x:c r="G1689" s="1"/>
      <x:c r="H1689" s="1"/>
      <x:c r="I1689" s="1"/>
      <x:c r="J1689" s="1"/>
      <x:c r="K1689" s="1"/>
      <x:c r="L1689" s="1"/>
      <x:c r="M1689" s="1"/>
      <x:c r="N1689" s="1"/>
      <x:c r="O1689" s="1"/>
      <x:c r="P1689" s="1"/>
      <x:c r="Q1689" s="1"/>
      <x:c r="R1689" s="1"/>
      <x:c r="S1689" s="1"/>
      <x:c r="T1689" s="1"/>
      <x:c r="U1689" s="1"/>
      <x:c r="V1689" s="1"/>
    </x:row>
    <x:row r="1690">
      <x:c r="A1690" s="1"/>
      <x:c r="B1690" s="1"/>
      <x:c r="C1690" s="1"/>
      <x:c r="D1690" s="1"/>
      <x:c r="E1690" s="1"/>
      <x:c r="F1690" s="1"/>
      <x:c r="G1690" s="1"/>
      <x:c r="H1690" s="1"/>
      <x:c r="I1690" s="1"/>
      <x:c r="J1690" s="1"/>
      <x:c r="K1690" s="1"/>
      <x:c r="L1690" s="1"/>
      <x:c r="M1690" s="1"/>
      <x:c r="N1690" s="1"/>
      <x:c r="O1690" s="1"/>
      <x:c r="P1690" s="1"/>
      <x:c r="Q1690" s="1"/>
      <x:c r="R1690" s="1"/>
      <x:c r="S1690" s="1"/>
      <x:c r="T1690" s="1"/>
      <x:c r="U1690" s="1"/>
      <x:c r="V1690" s="1"/>
    </x:row>
    <x:row r="1691">
      <x:c r="A1691" s="1"/>
      <x:c r="B1691" s="1"/>
      <x:c r="C1691" s="1"/>
      <x:c r="D1691" s="1"/>
      <x:c r="E1691" s="1"/>
      <x:c r="F1691" s="1"/>
      <x:c r="G1691" s="1"/>
      <x:c r="H1691" s="1"/>
      <x:c r="I1691" s="1"/>
      <x:c r="J1691" s="1"/>
      <x:c r="K1691" s="1"/>
      <x:c r="L1691" s="1"/>
      <x:c r="M1691" s="1"/>
      <x:c r="N1691" s="1"/>
      <x:c r="O1691" s="1"/>
      <x:c r="P1691" s="1"/>
      <x:c r="Q1691" s="1"/>
      <x:c r="R1691" s="1"/>
      <x:c r="S1691" s="1"/>
      <x:c r="T1691" s="1"/>
      <x:c r="U1691" s="1"/>
      <x:c r="V1691" s="1"/>
    </x:row>
    <x:row r="1692">
      <x:c r="A1692" s="1"/>
      <x:c r="B1692" s="1"/>
      <x:c r="C1692" s="1"/>
      <x:c r="D1692" s="1"/>
      <x:c r="E1692" s="1"/>
      <x:c r="F1692" s="1"/>
      <x:c r="G1692" s="1"/>
      <x:c r="H1692" s="1"/>
      <x:c r="I1692" s="1"/>
      <x:c r="J1692" s="1"/>
      <x:c r="K1692" s="1"/>
      <x:c r="L1692" s="1"/>
      <x:c r="M1692" s="1"/>
      <x:c r="N1692" s="1"/>
      <x:c r="O1692" s="1"/>
      <x:c r="P1692" s="1"/>
      <x:c r="Q1692" s="1"/>
      <x:c r="R1692" s="1"/>
      <x:c r="S1692" s="1"/>
      <x:c r="T1692" s="1"/>
      <x:c r="U1692" s="1"/>
      <x:c r="V1692" s="1"/>
    </x:row>
    <x:row r="1693">
      <x:c r="A1693" s="1"/>
      <x:c r="B1693" s="1"/>
      <x:c r="C1693" s="1"/>
      <x:c r="D1693" s="1"/>
      <x:c r="E1693" s="1"/>
      <x:c r="F1693" s="1"/>
      <x:c r="G1693" s="1"/>
      <x:c r="H1693" s="1"/>
      <x:c r="I1693" s="1"/>
      <x:c r="J1693" s="1"/>
      <x:c r="K1693" s="1"/>
      <x:c r="L1693" s="1"/>
      <x:c r="M1693" s="1"/>
      <x:c r="N1693" s="1"/>
      <x:c r="O1693" s="1"/>
      <x:c r="P1693" s="1"/>
      <x:c r="Q1693" s="1"/>
      <x:c r="R1693" s="1"/>
      <x:c r="S1693" s="1"/>
      <x:c r="T1693" s="1"/>
      <x:c r="U1693" s="1"/>
      <x:c r="V1693" s="1"/>
    </x:row>
    <x:row r="1694">
      <x:c r="A1694" s="1"/>
      <x:c r="B1694" s="1"/>
      <x:c r="C1694" s="1"/>
      <x:c r="D1694" s="1"/>
      <x:c r="E1694" s="1"/>
      <x:c r="F1694" s="1"/>
      <x:c r="G1694" s="1"/>
      <x:c r="H1694" s="1"/>
      <x:c r="I1694" s="1"/>
      <x:c r="J1694" s="1"/>
      <x:c r="K1694" s="1"/>
      <x:c r="L1694" s="1"/>
      <x:c r="M1694" s="1"/>
      <x:c r="N1694" s="1"/>
      <x:c r="O1694" s="1"/>
      <x:c r="P1694" s="1"/>
      <x:c r="Q1694" s="1"/>
      <x:c r="R1694" s="1"/>
      <x:c r="S1694" s="1"/>
      <x:c r="T1694" s="1"/>
      <x:c r="U1694" s="1"/>
      <x:c r="V1694" s="1"/>
    </x:row>
    <x:row r="1695">
      <x:c r="A1695" s="1"/>
      <x:c r="B1695" s="1"/>
      <x:c r="C1695" s="1"/>
      <x:c r="D1695" s="1"/>
      <x:c r="E1695" s="1"/>
      <x:c r="F1695" s="1"/>
      <x:c r="G1695" s="1"/>
      <x:c r="H1695" s="1"/>
      <x:c r="I1695" s="1"/>
      <x:c r="J1695" s="1"/>
      <x:c r="K1695" s="1"/>
      <x:c r="L1695" s="1"/>
      <x:c r="M1695" s="1"/>
      <x:c r="N1695" s="1"/>
      <x:c r="O1695" s="1"/>
      <x:c r="P1695" s="1"/>
      <x:c r="Q1695" s="1"/>
      <x:c r="R1695" s="1"/>
      <x:c r="S1695" s="1"/>
      <x:c r="T1695" s="1"/>
      <x:c r="U1695" s="1"/>
      <x:c r="V1695" s="1"/>
    </x:row>
    <x:row r="1696">
      <x:c r="A1696" s="1"/>
      <x:c r="B1696" s="1"/>
      <x:c r="C1696" s="1"/>
      <x:c r="D1696" s="1"/>
      <x:c r="E1696" s="1"/>
      <x:c r="F1696" s="1"/>
      <x:c r="G1696" s="1"/>
      <x:c r="H1696" s="1"/>
      <x:c r="I1696" s="1"/>
      <x:c r="J1696" s="1"/>
      <x:c r="K1696" s="1"/>
      <x:c r="L1696" s="1"/>
      <x:c r="M1696" s="1"/>
      <x:c r="N1696" s="1"/>
      <x:c r="O1696" s="1"/>
      <x:c r="P1696" s="1"/>
      <x:c r="Q1696" s="1"/>
      <x:c r="R1696" s="1"/>
      <x:c r="S1696" s="1"/>
      <x:c r="T1696" s="1"/>
      <x:c r="U1696" s="1"/>
      <x:c r="V1696" s="1"/>
    </x:row>
    <x:row r="1697">
      <x:c r="A1697" s="1"/>
      <x:c r="B1697" s="1"/>
      <x:c r="C1697" s="1"/>
      <x:c r="D1697" s="1"/>
      <x:c r="E1697" s="1"/>
      <x:c r="F1697" s="1"/>
      <x:c r="G1697" s="1"/>
      <x:c r="H1697" s="1"/>
      <x:c r="I1697" s="1"/>
      <x:c r="J1697" s="1"/>
      <x:c r="K1697" s="1"/>
      <x:c r="L1697" s="1"/>
      <x:c r="M1697" s="1"/>
      <x:c r="N1697" s="1"/>
      <x:c r="O1697" s="1"/>
      <x:c r="P1697" s="1"/>
      <x:c r="Q1697" s="1"/>
      <x:c r="R1697" s="1"/>
      <x:c r="S1697" s="1"/>
      <x:c r="T1697" s="1"/>
      <x:c r="U1697" s="1"/>
      <x:c r="V1697" s="1"/>
    </x:row>
    <x:row r="1698">
      <x:c r="A1698" s="1"/>
      <x:c r="B1698" s="1"/>
      <x:c r="C1698" s="1"/>
      <x:c r="D1698" s="1"/>
      <x:c r="E1698" s="1"/>
      <x:c r="F1698" s="1"/>
      <x:c r="G1698" s="1"/>
      <x:c r="H1698" s="1"/>
      <x:c r="I1698" s="1"/>
      <x:c r="J1698" s="1"/>
      <x:c r="K1698" s="1"/>
      <x:c r="L1698" s="1"/>
      <x:c r="M1698" s="1"/>
      <x:c r="N1698" s="1"/>
      <x:c r="O1698" s="1"/>
      <x:c r="P1698" s="1"/>
      <x:c r="Q1698" s="1"/>
      <x:c r="R1698" s="1"/>
      <x:c r="S1698" s="1"/>
      <x:c r="T1698" s="1"/>
      <x:c r="U1698" s="1"/>
      <x:c r="V1698" s="1"/>
    </x:row>
    <x:row r="1699">
      <x:c r="A1699" s="1"/>
      <x:c r="B1699" s="1"/>
      <x:c r="C1699" s="1"/>
      <x:c r="D1699" s="1"/>
      <x:c r="E1699" s="1"/>
      <x:c r="F1699" s="1"/>
      <x:c r="G1699" s="1"/>
      <x:c r="H1699" s="1"/>
      <x:c r="I1699" s="1"/>
      <x:c r="J1699" s="1"/>
      <x:c r="K1699" s="1"/>
      <x:c r="L1699" s="1"/>
      <x:c r="M1699" s="1"/>
      <x:c r="N1699" s="1"/>
      <x:c r="O1699" s="1"/>
      <x:c r="P1699" s="1"/>
      <x:c r="Q1699" s="1"/>
      <x:c r="R1699" s="1"/>
      <x:c r="S1699" s="1"/>
      <x:c r="T1699" s="1"/>
      <x:c r="U1699" s="1"/>
      <x:c r="V1699" s="1"/>
    </x:row>
    <x:row r="1700">
      <x:c r="A1700" s="1"/>
      <x:c r="B1700" s="1"/>
      <x:c r="C1700" s="1"/>
      <x:c r="D1700" s="1"/>
      <x:c r="E1700" s="1"/>
      <x:c r="F1700" s="1"/>
      <x:c r="G1700" s="1"/>
      <x:c r="H1700" s="1"/>
      <x:c r="I1700" s="1"/>
      <x:c r="J1700" s="1"/>
      <x:c r="K1700" s="1"/>
      <x:c r="L1700" s="1"/>
      <x:c r="M1700" s="1"/>
      <x:c r="N1700" s="1"/>
      <x:c r="O1700" s="1"/>
      <x:c r="P1700" s="1"/>
      <x:c r="Q1700" s="1"/>
      <x:c r="R1700" s="1"/>
      <x:c r="S1700" s="1"/>
      <x:c r="T1700" s="1"/>
      <x:c r="U1700" s="1"/>
      <x:c r="V1700" s="1"/>
    </x:row>
    <x:row r="1701">
      <x:c r="A1701" s="1"/>
      <x:c r="B1701" s="1"/>
      <x:c r="C1701" s="1"/>
      <x:c r="D1701" s="1"/>
      <x:c r="E1701" s="1"/>
      <x:c r="F1701" s="1"/>
      <x:c r="G1701" s="1"/>
      <x:c r="H1701" s="1"/>
      <x:c r="I1701" s="1"/>
      <x:c r="J1701" s="1"/>
      <x:c r="K1701" s="1"/>
      <x:c r="L1701" s="1"/>
      <x:c r="M1701" s="1"/>
      <x:c r="N1701" s="1"/>
      <x:c r="O1701" s="1"/>
      <x:c r="P1701" s="1"/>
      <x:c r="Q1701" s="1"/>
      <x:c r="R1701" s="1"/>
      <x:c r="S1701" s="1"/>
      <x:c r="T1701" s="1"/>
      <x:c r="U1701" s="1"/>
      <x:c r="V1701" s="1"/>
    </x:row>
    <x:row r="1702">
      <x:c r="A1702" s="1"/>
      <x:c r="B1702" s="1"/>
      <x:c r="C1702" s="1"/>
      <x:c r="D1702" s="1"/>
      <x:c r="E1702" s="1"/>
      <x:c r="F1702" s="1"/>
      <x:c r="G1702" s="1"/>
      <x:c r="H1702" s="1"/>
      <x:c r="I1702" s="1"/>
      <x:c r="J1702" s="1"/>
      <x:c r="K1702" s="1"/>
      <x:c r="L1702" s="1"/>
      <x:c r="M1702" s="1"/>
      <x:c r="N1702" s="1"/>
      <x:c r="O1702" s="1"/>
      <x:c r="P1702" s="1"/>
      <x:c r="Q1702" s="1"/>
      <x:c r="R1702" s="1"/>
      <x:c r="S1702" s="1"/>
      <x:c r="T1702" s="1"/>
      <x:c r="U1702" s="1"/>
      <x:c r="V1702" s="1"/>
    </x:row>
    <x:row r="1703">
      <x:c r="A1703" s="1"/>
      <x:c r="B1703" s="1"/>
      <x:c r="C1703" s="1"/>
      <x:c r="D1703" s="1"/>
      <x:c r="E1703" s="1"/>
      <x:c r="F1703" s="1"/>
      <x:c r="G1703" s="1"/>
      <x:c r="H1703" s="1"/>
      <x:c r="I1703" s="1"/>
      <x:c r="J1703" s="1"/>
      <x:c r="K1703" s="1"/>
      <x:c r="L1703" s="1"/>
      <x:c r="M1703" s="1"/>
      <x:c r="N1703" s="1"/>
      <x:c r="O1703" s="1"/>
      <x:c r="P1703" s="1"/>
      <x:c r="Q1703" s="1"/>
      <x:c r="R1703" s="1"/>
      <x:c r="S1703" s="1"/>
      <x:c r="T1703" s="1"/>
      <x:c r="U1703" s="1"/>
      <x:c r="V1703" s="1"/>
    </x:row>
    <x:row r="1704">
      <x:c r="A1704" s="1"/>
      <x:c r="B1704" s="1"/>
      <x:c r="C1704" s="1"/>
      <x:c r="D1704" s="1"/>
      <x:c r="E1704" s="1"/>
      <x:c r="F1704" s="1"/>
      <x:c r="G1704" s="1"/>
      <x:c r="H1704" s="1"/>
      <x:c r="I1704" s="1"/>
      <x:c r="J1704" s="1"/>
      <x:c r="K1704" s="1"/>
      <x:c r="L1704" s="1"/>
      <x:c r="M1704" s="1"/>
      <x:c r="N1704" s="1"/>
      <x:c r="O1704" s="1"/>
      <x:c r="P1704" s="1"/>
      <x:c r="Q1704" s="1"/>
      <x:c r="R1704" s="1"/>
      <x:c r="S1704" s="1"/>
      <x:c r="T1704" s="1"/>
      <x:c r="U1704" s="1"/>
      <x:c r="V1704" s="1"/>
    </x:row>
    <x:row r="1705">
      <x:c r="A1705" s="1"/>
      <x:c r="B1705" s="1"/>
      <x:c r="C1705" s="1"/>
      <x:c r="D1705" s="1"/>
      <x:c r="E1705" s="1"/>
      <x:c r="F1705" s="1"/>
      <x:c r="G1705" s="1"/>
      <x:c r="H1705" s="1"/>
      <x:c r="I1705" s="1"/>
      <x:c r="J1705" s="1"/>
      <x:c r="K1705" s="1"/>
      <x:c r="L1705" s="1"/>
      <x:c r="M1705" s="1"/>
      <x:c r="N1705" s="1"/>
      <x:c r="O1705" s="1"/>
      <x:c r="P1705" s="1"/>
      <x:c r="Q1705" s="1"/>
      <x:c r="R1705" s="1"/>
      <x:c r="S1705" s="1"/>
      <x:c r="T1705" s="1"/>
      <x:c r="U1705" s="1"/>
      <x:c r="V1705" s="1"/>
    </x:row>
    <x:row r="1706">
      <x:c r="A1706" s="1"/>
      <x:c r="B1706" s="1"/>
      <x:c r="C1706" s="1"/>
      <x:c r="D1706" s="1"/>
      <x:c r="E1706" s="1"/>
      <x:c r="F1706" s="1"/>
      <x:c r="G1706" s="1"/>
      <x:c r="H1706" s="1"/>
      <x:c r="I1706" s="1"/>
      <x:c r="J1706" s="1"/>
      <x:c r="K1706" s="1"/>
      <x:c r="L1706" s="1"/>
      <x:c r="M1706" s="1"/>
      <x:c r="N1706" s="1"/>
      <x:c r="O1706" s="1"/>
      <x:c r="P1706" s="1"/>
      <x:c r="Q1706" s="1"/>
      <x:c r="R1706" s="1"/>
      <x:c r="S1706" s="1"/>
      <x:c r="T1706" s="1"/>
      <x:c r="U1706" s="1"/>
      <x:c r="V1706" s="1"/>
    </x:row>
    <x:row r="1707">
      <x:c r="A1707" s="1"/>
      <x:c r="B1707" s="1"/>
      <x:c r="C1707" s="1"/>
      <x:c r="D1707" s="1"/>
      <x:c r="E1707" s="1"/>
      <x:c r="F1707" s="1"/>
      <x:c r="G1707" s="1"/>
      <x:c r="H1707" s="1"/>
      <x:c r="I1707" s="1"/>
      <x:c r="J1707" s="1"/>
      <x:c r="K1707" s="1"/>
      <x:c r="L1707" s="1"/>
      <x:c r="M1707" s="1"/>
      <x:c r="N1707" s="1"/>
      <x:c r="O1707" s="1"/>
      <x:c r="P1707" s="1"/>
      <x:c r="Q1707" s="1"/>
      <x:c r="R1707" s="1"/>
      <x:c r="S1707" s="1"/>
      <x:c r="T1707" s="1"/>
      <x:c r="U1707" s="1"/>
      <x:c r="V1707" s="1"/>
    </x:row>
    <x:row r="1708">
      <x:c r="A1708" s="1"/>
      <x:c r="B1708" s="1"/>
      <x:c r="C1708" s="1"/>
      <x:c r="D1708" s="1"/>
      <x:c r="E1708" s="1"/>
      <x:c r="F1708" s="1"/>
      <x:c r="G1708" s="1"/>
      <x:c r="H1708" s="1"/>
      <x:c r="I1708" s="1"/>
      <x:c r="J1708" s="1"/>
      <x:c r="K1708" s="1"/>
      <x:c r="L1708" s="1"/>
      <x:c r="M1708" s="1"/>
      <x:c r="N1708" s="1"/>
      <x:c r="O1708" s="1"/>
      <x:c r="P1708" s="1"/>
      <x:c r="Q1708" s="1"/>
      <x:c r="R1708" s="1"/>
      <x:c r="S1708" s="1"/>
      <x:c r="T1708" s="1"/>
      <x:c r="U1708" s="1"/>
      <x:c r="V1708" s="1"/>
    </x:row>
    <x:row r="1709">
      <x:c r="A1709" s="1"/>
      <x:c r="B1709" s="1"/>
      <x:c r="C1709" s="1"/>
      <x:c r="D1709" s="1"/>
      <x:c r="E1709" s="1"/>
      <x:c r="F1709" s="1"/>
      <x:c r="G1709" s="1"/>
      <x:c r="H1709" s="1"/>
      <x:c r="I1709" s="1"/>
      <x:c r="J1709" s="1"/>
      <x:c r="K1709" s="1"/>
      <x:c r="L1709" s="1"/>
      <x:c r="M1709" s="1"/>
      <x:c r="N1709" s="1"/>
      <x:c r="O1709" s="1"/>
      <x:c r="P1709" s="1"/>
      <x:c r="Q1709" s="1"/>
      <x:c r="R1709" s="1"/>
      <x:c r="S1709" s="1"/>
      <x:c r="T1709" s="1"/>
      <x:c r="U1709" s="1"/>
      <x:c r="V1709" s="1"/>
    </x:row>
    <x:row r="1710">
      <x:c r="A1710" s="1"/>
      <x:c r="B1710" s="1"/>
      <x:c r="C1710" s="1"/>
      <x:c r="D1710" s="1"/>
      <x:c r="E1710" s="1"/>
      <x:c r="F1710" s="1"/>
      <x:c r="G1710" s="1"/>
      <x:c r="H1710" s="1"/>
      <x:c r="I1710" s="1"/>
      <x:c r="J1710" s="1"/>
      <x:c r="K1710" s="1"/>
      <x:c r="L1710" s="1"/>
      <x:c r="M1710" s="1"/>
      <x:c r="N1710" s="1"/>
      <x:c r="O1710" s="1"/>
      <x:c r="P1710" s="1"/>
      <x:c r="Q1710" s="1"/>
      <x:c r="R1710" s="1"/>
      <x:c r="S1710" s="1"/>
      <x:c r="T1710" s="1"/>
      <x:c r="U1710" s="1"/>
      <x:c r="V1710" s="1"/>
    </x:row>
    <x:row r="1711">
      <x:c r="A1711" s="1"/>
      <x:c r="B1711" s="1"/>
      <x:c r="C1711" s="1"/>
      <x:c r="D1711" s="1"/>
      <x:c r="E1711" s="1"/>
      <x:c r="F1711" s="1"/>
      <x:c r="G1711" s="1"/>
      <x:c r="H1711" s="1"/>
      <x:c r="I1711" s="1"/>
      <x:c r="J1711" s="1"/>
      <x:c r="K1711" s="1"/>
      <x:c r="L1711" s="1"/>
      <x:c r="M1711" s="1"/>
      <x:c r="N1711" s="1"/>
      <x:c r="O1711" s="1"/>
      <x:c r="P1711" s="1"/>
      <x:c r="Q1711" s="1"/>
      <x:c r="R1711" s="1"/>
      <x:c r="S1711" s="1"/>
      <x:c r="T1711" s="1"/>
      <x:c r="U1711" s="1"/>
      <x:c r="V1711" s="1"/>
    </x:row>
    <x:row r="1712">
      <x:c r="A1712" s="1"/>
      <x:c r="B1712" s="1"/>
      <x:c r="C1712" s="1"/>
      <x:c r="D1712" s="1"/>
      <x:c r="E1712" s="1"/>
      <x:c r="F1712" s="1"/>
      <x:c r="G1712" s="1"/>
      <x:c r="H1712" s="1"/>
      <x:c r="I1712" s="1"/>
      <x:c r="J1712" s="1"/>
      <x:c r="K1712" s="1"/>
      <x:c r="L1712" s="1"/>
      <x:c r="M1712" s="1"/>
      <x:c r="N1712" s="1"/>
      <x:c r="O1712" s="1"/>
      <x:c r="P1712" s="1"/>
      <x:c r="Q1712" s="1"/>
      <x:c r="R1712" s="1"/>
      <x:c r="S1712" s="1"/>
      <x:c r="T1712" s="1"/>
      <x:c r="U1712" s="1"/>
      <x:c r="V1712" s="1"/>
    </x:row>
    <x:row r="1713">
      <x:c r="A1713" s="1"/>
      <x:c r="B1713" s="1"/>
      <x:c r="C1713" s="1"/>
      <x:c r="D1713" s="1"/>
      <x:c r="E1713" s="1"/>
      <x:c r="F1713" s="1"/>
      <x:c r="G1713" s="1"/>
      <x:c r="H1713" s="1"/>
      <x:c r="I1713" s="1"/>
      <x:c r="J1713" s="1"/>
      <x:c r="K1713" s="1"/>
      <x:c r="L1713" s="1"/>
      <x:c r="M1713" s="1"/>
      <x:c r="N1713" s="1"/>
      <x:c r="O1713" s="1"/>
      <x:c r="P1713" s="1"/>
      <x:c r="Q1713" s="1"/>
      <x:c r="R1713" s="1"/>
      <x:c r="S1713" s="1"/>
      <x:c r="T1713" s="1"/>
      <x:c r="U1713" s="1"/>
      <x:c r="V1713" s="1"/>
    </x:row>
    <x:row r="1714">
      <x:c r="A1714" s="1"/>
      <x:c r="B1714" s="1"/>
      <x:c r="C1714" s="1"/>
      <x:c r="D1714" s="1"/>
      <x:c r="E1714" s="1"/>
      <x:c r="F1714" s="1"/>
      <x:c r="G1714" s="1"/>
      <x:c r="H1714" s="1"/>
      <x:c r="I1714" s="1"/>
      <x:c r="J1714" s="1"/>
      <x:c r="K1714" s="1"/>
      <x:c r="L1714" s="1"/>
      <x:c r="M1714" s="1"/>
      <x:c r="N1714" s="1"/>
      <x:c r="O1714" s="1"/>
      <x:c r="P1714" s="1"/>
      <x:c r="Q1714" s="1"/>
      <x:c r="R1714" s="1"/>
      <x:c r="S1714" s="1"/>
      <x:c r="T1714" s="1"/>
      <x:c r="U1714" s="1"/>
      <x:c r="V1714" s="1"/>
    </x:row>
    <x:row r="1715">
      <x:c r="A1715" s="1"/>
      <x:c r="B1715" s="1"/>
      <x:c r="C1715" s="1"/>
      <x:c r="D1715" s="1"/>
      <x:c r="E1715" s="1"/>
      <x:c r="F1715" s="1"/>
      <x:c r="G1715" s="1"/>
      <x:c r="H1715" s="1"/>
      <x:c r="I1715" s="1"/>
      <x:c r="J1715" s="1"/>
      <x:c r="K1715" s="1"/>
      <x:c r="L1715" s="1"/>
      <x:c r="M1715" s="1"/>
      <x:c r="N1715" s="1"/>
      <x:c r="O1715" s="1"/>
      <x:c r="P1715" s="1"/>
      <x:c r="Q1715" s="1"/>
      <x:c r="R1715" s="1"/>
      <x:c r="S1715" s="1"/>
      <x:c r="T1715" s="1"/>
      <x:c r="U1715" s="1"/>
      <x:c r="V1715" s="1"/>
    </x:row>
    <x:row r="1716">
      <x:c r="A1716" s="1"/>
      <x:c r="B1716" s="1"/>
      <x:c r="C1716" s="1"/>
      <x:c r="D1716" s="1"/>
      <x:c r="E1716" s="1"/>
      <x:c r="F1716" s="1"/>
      <x:c r="G1716" s="1"/>
      <x:c r="H1716" s="1"/>
      <x:c r="I1716" s="1"/>
      <x:c r="J1716" s="1"/>
      <x:c r="K1716" s="1"/>
      <x:c r="L1716" s="1"/>
      <x:c r="M1716" s="1"/>
      <x:c r="N1716" s="1"/>
      <x:c r="O1716" s="1"/>
      <x:c r="P1716" s="1"/>
      <x:c r="Q1716" s="1"/>
      <x:c r="R1716" s="1"/>
      <x:c r="S1716" s="1"/>
      <x:c r="T1716" s="1"/>
      <x:c r="U1716" s="1"/>
      <x:c r="V1716" s="1"/>
    </x:row>
    <x:row r="1717">
      <x:c r="A1717" s="1"/>
      <x:c r="B1717" s="1"/>
      <x:c r="C1717" s="1"/>
      <x:c r="D1717" s="1"/>
      <x:c r="E1717" s="1"/>
      <x:c r="F1717" s="1"/>
      <x:c r="G1717" s="1"/>
      <x:c r="H1717" s="1"/>
      <x:c r="I1717" s="1"/>
      <x:c r="J1717" s="1"/>
      <x:c r="K1717" s="1"/>
      <x:c r="L1717" s="1"/>
      <x:c r="M1717" s="1"/>
      <x:c r="N1717" s="1"/>
      <x:c r="O1717" s="1"/>
      <x:c r="P1717" s="1"/>
      <x:c r="Q1717" s="1"/>
      <x:c r="R1717" s="1"/>
      <x:c r="S1717" s="1"/>
      <x:c r="T1717" s="1"/>
      <x:c r="U1717" s="1"/>
      <x:c r="V1717" s="1"/>
    </x:row>
    <x:row r="1718">
      <x:c r="A1718" s="1"/>
      <x:c r="B1718" s="1"/>
      <x:c r="C1718" s="1"/>
      <x:c r="D1718" s="1"/>
      <x:c r="E1718" s="1"/>
      <x:c r="F1718" s="1"/>
      <x:c r="G1718" s="1"/>
      <x:c r="H1718" s="1"/>
      <x:c r="I1718" s="1"/>
      <x:c r="J1718" s="1"/>
      <x:c r="K1718" s="1"/>
      <x:c r="L1718" s="1"/>
      <x:c r="M1718" s="1"/>
      <x:c r="N1718" s="1"/>
      <x:c r="O1718" s="1"/>
      <x:c r="P1718" s="1"/>
      <x:c r="Q1718" s="1"/>
      <x:c r="R1718" s="1"/>
      <x:c r="S1718" s="1"/>
      <x:c r="T1718" s="1"/>
      <x:c r="U1718" s="1"/>
      <x:c r="V1718" s="1"/>
    </x:row>
    <x:row r="1719">
      <x:c r="A1719" s="1"/>
      <x:c r="B1719" s="1"/>
      <x:c r="C1719" s="1"/>
      <x:c r="D1719" s="1"/>
      <x:c r="E1719" s="1"/>
      <x:c r="F1719" s="1"/>
      <x:c r="G1719" s="1"/>
      <x:c r="H1719" s="1"/>
      <x:c r="I1719" s="1"/>
      <x:c r="J1719" s="1"/>
      <x:c r="K1719" s="1"/>
      <x:c r="L1719" s="1"/>
      <x:c r="M1719" s="1"/>
      <x:c r="N1719" s="1"/>
      <x:c r="O1719" s="1"/>
      <x:c r="P1719" s="1"/>
      <x:c r="Q1719" s="1"/>
      <x:c r="R1719" s="1"/>
      <x:c r="S1719" s="1"/>
      <x:c r="T1719" s="1"/>
      <x:c r="U1719" s="1"/>
      <x:c r="V1719" s="1"/>
    </x:row>
    <x:row r="1720">
      <x:c r="A1720" s="1"/>
      <x:c r="B1720" s="1"/>
      <x:c r="C1720" s="1"/>
      <x:c r="D1720" s="1"/>
      <x:c r="E1720" s="1"/>
      <x:c r="F1720" s="1"/>
      <x:c r="G1720" s="1"/>
      <x:c r="H1720" s="1"/>
      <x:c r="I1720" s="1"/>
      <x:c r="J1720" s="1"/>
      <x:c r="K1720" s="1"/>
      <x:c r="L1720" s="1"/>
      <x:c r="M1720" s="1"/>
      <x:c r="N1720" s="1"/>
      <x:c r="O1720" s="1"/>
      <x:c r="P1720" s="1"/>
      <x:c r="Q1720" s="1"/>
      <x:c r="R1720" s="1"/>
      <x:c r="S1720" s="1"/>
      <x:c r="T1720" s="1"/>
      <x:c r="U1720" s="1"/>
      <x:c r="V1720" s="1"/>
    </x:row>
    <x:row r="1721">
      <x:c r="A1721" s="1"/>
      <x:c r="B1721" s="1"/>
      <x:c r="C1721" s="1"/>
      <x:c r="D1721" s="1"/>
      <x:c r="E1721" s="1"/>
      <x:c r="F1721" s="1"/>
      <x:c r="G1721" s="1"/>
      <x:c r="H1721" s="1"/>
      <x:c r="I1721" s="1"/>
      <x:c r="J1721" s="1"/>
      <x:c r="K1721" s="1"/>
      <x:c r="L1721" s="1"/>
      <x:c r="M1721" s="1"/>
      <x:c r="N1721" s="1"/>
      <x:c r="O1721" s="1"/>
      <x:c r="P1721" s="1"/>
      <x:c r="Q1721" s="1"/>
      <x:c r="R1721" s="1"/>
      <x:c r="S1721" s="1"/>
      <x:c r="T1721" s="1"/>
      <x:c r="U1721" s="1"/>
      <x:c r="V1721" s="1"/>
    </x:row>
    <x:row r="1722">
      <x:c r="A1722" s="1"/>
      <x:c r="B1722" s="1"/>
      <x:c r="C1722" s="1"/>
      <x:c r="D1722" s="1"/>
      <x:c r="E1722" s="1"/>
      <x:c r="F1722" s="1"/>
      <x:c r="G1722" s="1"/>
      <x:c r="H1722" s="1"/>
      <x:c r="I1722" s="1"/>
      <x:c r="J1722" s="1"/>
      <x:c r="K1722" s="1"/>
      <x:c r="L1722" s="1"/>
      <x:c r="M1722" s="1"/>
      <x:c r="N1722" s="1"/>
      <x:c r="O1722" s="1"/>
      <x:c r="P1722" s="1"/>
      <x:c r="Q1722" s="1"/>
      <x:c r="R1722" s="1"/>
      <x:c r="S1722" s="1"/>
      <x:c r="T1722" s="1"/>
      <x:c r="U1722" s="1"/>
      <x:c r="V1722" s="1"/>
    </x:row>
    <x:row r="1723">
      <x:c r="A1723" s="1"/>
      <x:c r="B1723" s="1"/>
      <x:c r="C1723" s="1"/>
      <x:c r="D1723" s="1"/>
      <x:c r="E1723" s="1"/>
      <x:c r="F1723" s="1"/>
      <x:c r="G1723" s="1"/>
      <x:c r="H1723" s="1"/>
      <x:c r="I1723" s="1"/>
      <x:c r="J1723" s="1"/>
      <x:c r="K1723" s="1"/>
      <x:c r="L1723" s="1"/>
      <x:c r="M1723" s="1"/>
      <x:c r="N1723" s="1"/>
      <x:c r="O1723" s="1"/>
      <x:c r="P1723" s="1"/>
      <x:c r="Q1723" s="1"/>
      <x:c r="R1723" s="1"/>
      <x:c r="S1723" s="1"/>
      <x:c r="T1723" s="1"/>
      <x:c r="U1723" s="1"/>
      <x:c r="V1723" s="1"/>
    </x:row>
    <x:row r="1724">
      <x:c r="A1724" s="1"/>
      <x:c r="B1724" s="1"/>
      <x:c r="C1724" s="1"/>
      <x:c r="D1724" s="1"/>
      <x:c r="E1724" s="1"/>
      <x:c r="F1724" s="1"/>
      <x:c r="G1724" s="1"/>
      <x:c r="H1724" s="1"/>
      <x:c r="I1724" s="1"/>
      <x:c r="J1724" s="1"/>
      <x:c r="K1724" s="1"/>
      <x:c r="L1724" s="1"/>
      <x:c r="M1724" s="1"/>
      <x:c r="N1724" s="1"/>
      <x:c r="O1724" s="1"/>
      <x:c r="P1724" s="1"/>
      <x:c r="Q1724" s="1"/>
      <x:c r="R1724" s="1"/>
      <x:c r="S1724" s="1"/>
      <x:c r="T1724" s="1"/>
      <x:c r="U1724" s="1"/>
      <x:c r="V1724" s="1"/>
    </x:row>
    <x:row r="1725">
      <x:c r="A1725" s="1"/>
      <x:c r="B1725" s="1"/>
      <x:c r="C1725" s="1"/>
      <x:c r="D1725" s="1"/>
      <x:c r="E1725" s="1"/>
      <x:c r="F1725" s="1"/>
      <x:c r="G1725" s="1"/>
      <x:c r="H1725" s="1"/>
      <x:c r="I1725" s="1"/>
      <x:c r="J1725" s="1"/>
      <x:c r="K1725" s="1"/>
      <x:c r="L1725" s="1"/>
      <x:c r="M1725" s="1"/>
      <x:c r="N1725" s="1"/>
      <x:c r="O1725" s="1"/>
      <x:c r="P1725" s="1"/>
      <x:c r="Q1725" s="1"/>
      <x:c r="R1725" s="1"/>
      <x:c r="S1725" s="1"/>
      <x:c r="T1725" s="1"/>
      <x:c r="U1725" s="1"/>
      <x:c r="V1725" s="1"/>
    </x:row>
    <x:row r="1726">
      <x:c r="A1726" s="1"/>
      <x:c r="B1726" s="1"/>
      <x:c r="C1726" s="1"/>
      <x:c r="D1726" s="1"/>
      <x:c r="E1726" s="1"/>
      <x:c r="F1726" s="1"/>
      <x:c r="G1726" s="1"/>
      <x:c r="H1726" s="1"/>
      <x:c r="I1726" s="1"/>
      <x:c r="J1726" s="1"/>
      <x:c r="K1726" s="1"/>
      <x:c r="L1726" s="1"/>
      <x:c r="M1726" s="1"/>
      <x:c r="N1726" s="1"/>
      <x:c r="O1726" s="1"/>
      <x:c r="P1726" s="1"/>
      <x:c r="Q1726" s="1"/>
      <x:c r="R1726" s="1"/>
      <x:c r="S1726" s="1"/>
      <x:c r="T1726" s="1"/>
      <x:c r="U1726" s="1"/>
      <x:c r="V1726" s="1"/>
    </x:row>
    <x:row r="1727">
      <x:c r="A1727" s="1"/>
      <x:c r="B1727" s="1"/>
      <x:c r="C1727" s="1"/>
      <x:c r="D1727" s="1"/>
      <x:c r="E1727" s="1"/>
      <x:c r="F1727" s="1"/>
      <x:c r="G1727" s="1"/>
      <x:c r="H1727" s="1"/>
      <x:c r="I1727" s="1"/>
      <x:c r="J1727" s="1"/>
      <x:c r="K1727" s="1"/>
      <x:c r="L1727" s="1"/>
      <x:c r="M1727" s="1"/>
      <x:c r="N1727" s="1"/>
      <x:c r="O1727" s="1"/>
      <x:c r="P1727" s="1"/>
      <x:c r="Q1727" s="1"/>
      <x:c r="R1727" s="1"/>
      <x:c r="S1727" s="1"/>
      <x:c r="T1727" s="1"/>
      <x:c r="U1727" s="1"/>
      <x:c r="V1727" s="1"/>
    </x:row>
    <x:row r="1728">
      <x:c r="A1728" s="1"/>
      <x:c r="B1728" s="1"/>
      <x:c r="C1728" s="1"/>
      <x:c r="D1728" s="1"/>
      <x:c r="E1728" s="1"/>
      <x:c r="F1728" s="1"/>
      <x:c r="G1728" s="1"/>
      <x:c r="H1728" s="1"/>
      <x:c r="I1728" s="1"/>
      <x:c r="J1728" s="1"/>
      <x:c r="K1728" s="1"/>
      <x:c r="L1728" s="1"/>
      <x:c r="M1728" s="1"/>
      <x:c r="N1728" s="1"/>
      <x:c r="O1728" s="1"/>
      <x:c r="P1728" s="1"/>
      <x:c r="Q1728" s="1"/>
      <x:c r="R1728" s="1"/>
      <x:c r="S1728" s="1"/>
      <x:c r="T1728" s="1"/>
      <x:c r="U1728" s="1"/>
      <x:c r="V1728" s="1"/>
    </x:row>
    <x:row r="1729">
      <x:c r="A1729" s="1"/>
      <x:c r="B1729" s="1"/>
      <x:c r="C1729" s="1"/>
      <x:c r="D1729" s="1"/>
      <x:c r="E1729" s="1"/>
      <x:c r="F1729" s="1"/>
      <x:c r="G1729" s="1"/>
      <x:c r="H1729" s="1"/>
      <x:c r="I1729" s="1"/>
      <x:c r="J1729" s="1"/>
      <x:c r="K1729" s="1"/>
      <x:c r="L1729" s="1"/>
      <x:c r="M1729" s="1"/>
      <x:c r="N1729" s="1"/>
      <x:c r="O1729" s="1"/>
      <x:c r="P1729" s="1"/>
      <x:c r="Q1729" s="1"/>
      <x:c r="R1729" s="1"/>
      <x:c r="S1729" s="1"/>
      <x:c r="T1729" s="1"/>
      <x:c r="U1729" s="1"/>
      <x:c r="V1729" s="1"/>
    </x:row>
    <x:row r="1730">
      <x:c r="A1730" s="1"/>
      <x:c r="B1730" s="1"/>
      <x:c r="C1730" s="1"/>
      <x:c r="D1730" s="1"/>
      <x:c r="E1730" s="1"/>
      <x:c r="F1730" s="1"/>
      <x:c r="G1730" s="1"/>
      <x:c r="H1730" s="1"/>
      <x:c r="I1730" s="1"/>
      <x:c r="J1730" s="1"/>
      <x:c r="K1730" s="1"/>
      <x:c r="L1730" s="1"/>
      <x:c r="M1730" s="1"/>
      <x:c r="N1730" s="1"/>
      <x:c r="O1730" s="1"/>
      <x:c r="P1730" s="1"/>
      <x:c r="Q1730" s="1"/>
      <x:c r="R1730" s="1"/>
      <x:c r="S1730" s="1"/>
      <x:c r="T1730" s="1"/>
      <x:c r="U1730" s="1"/>
      <x:c r="V1730" s="1"/>
    </x:row>
    <x:row r="1731">
      <x:c r="A1731" s="1"/>
      <x:c r="B1731" s="1"/>
      <x:c r="C1731" s="1"/>
      <x:c r="D1731" s="1"/>
      <x:c r="E1731" s="1"/>
      <x:c r="F1731" s="1"/>
      <x:c r="G1731" s="1"/>
      <x:c r="H1731" s="1"/>
      <x:c r="I1731" s="1"/>
      <x:c r="J1731" s="1"/>
      <x:c r="K1731" s="1"/>
      <x:c r="L1731" s="1"/>
      <x:c r="M1731" s="1"/>
      <x:c r="N1731" s="1"/>
      <x:c r="O1731" s="1"/>
      <x:c r="P1731" s="1"/>
      <x:c r="Q1731" s="1"/>
      <x:c r="R1731" s="1"/>
      <x:c r="S1731" s="1"/>
      <x:c r="T1731" s="1"/>
      <x:c r="U1731" s="1"/>
      <x:c r="V1731" s="1"/>
    </x:row>
    <x:row r="1732">
      <x:c r="A1732" s="1"/>
      <x:c r="B1732" s="1"/>
      <x:c r="C1732" s="1"/>
      <x:c r="D1732" s="1"/>
      <x:c r="E1732" s="1"/>
      <x:c r="F1732" s="1"/>
      <x:c r="G1732" s="1"/>
      <x:c r="H1732" s="1"/>
      <x:c r="I1732" s="1"/>
      <x:c r="J1732" s="1"/>
      <x:c r="K1732" s="1"/>
      <x:c r="L1732" s="1"/>
      <x:c r="M1732" s="1"/>
      <x:c r="N1732" s="1"/>
      <x:c r="O1732" s="1"/>
      <x:c r="P1732" s="1"/>
      <x:c r="Q1732" s="1"/>
      <x:c r="R1732" s="1"/>
      <x:c r="S1732" s="1"/>
      <x:c r="T1732" s="1"/>
      <x:c r="U1732" s="1"/>
      <x:c r="V1732" s="1"/>
    </x:row>
    <x:row r="1733">
      <x:c r="A1733" s="1"/>
      <x:c r="B1733" s="1"/>
      <x:c r="C1733" s="1"/>
      <x:c r="D1733" s="1"/>
      <x:c r="E1733" s="1"/>
      <x:c r="F1733" s="1"/>
      <x:c r="G1733" s="1"/>
      <x:c r="H1733" s="1"/>
      <x:c r="I1733" s="1"/>
      <x:c r="J1733" s="1"/>
      <x:c r="K1733" s="1"/>
      <x:c r="L1733" s="1"/>
      <x:c r="M1733" s="1"/>
      <x:c r="N1733" s="1"/>
      <x:c r="O1733" s="1"/>
      <x:c r="P1733" s="1"/>
      <x:c r="Q1733" s="1"/>
      <x:c r="R1733" s="1"/>
      <x:c r="S1733" s="1"/>
      <x:c r="T1733" s="1"/>
      <x:c r="U1733" s="1"/>
      <x:c r="V1733" s="1"/>
    </x:row>
    <x:row r="1734">
      <x:c r="A1734" s="1"/>
      <x:c r="B1734" s="1"/>
      <x:c r="C1734" s="1"/>
      <x:c r="D1734" s="1"/>
      <x:c r="E1734" s="1"/>
      <x:c r="F1734" s="1"/>
      <x:c r="G1734" s="1"/>
      <x:c r="H1734" s="1"/>
      <x:c r="I1734" s="1"/>
      <x:c r="J1734" s="1"/>
      <x:c r="K1734" s="1"/>
      <x:c r="L1734" s="1"/>
      <x:c r="M1734" s="1"/>
      <x:c r="N1734" s="1"/>
      <x:c r="O1734" s="1"/>
      <x:c r="P1734" s="1"/>
      <x:c r="Q1734" s="1"/>
      <x:c r="R1734" s="1"/>
      <x:c r="S1734" s="1"/>
      <x:c r="T1734" s="1"/>
      <x:c r="U1734" s="1"/>
      <x:c r="V1734" s="1"/>
    </x:row>
    <x:row r="1735">
      <x:c r="A1735" s="1"/>
      <x:c r="B1735" s="1"/>
      <x:c r="C1735" s="1"/>
      <x:c r="D1735" s="1"/>
      <x:c r="E1735" s="1"/>
      <x:c r="F1735" s="1"/>
      <x:c r="G1735" s="1"/>
      <x:c r="H1735" s="1"/>
      <x:c r="I1735" s="1"/>
      <x:c r="J1735" s="1"/>
      <x:c r="K1735" s="1"/>
      <x:c r="L1735" s="1"/>
      <x:c r="M1735" s="1"/>
      <x:c r="N1735" s="1"/>
      <x:c r="O1735" s="1"/>
      <x:c r="P1735" s="1"/>
      <x:c r="Q1735" s="1"/>
      <x:c r="R1735" s="1"/>
      <x:c r="S1735" s="1"/>
      <x:c r="T1735" s="1"/>
      <x:c r="U1735" s="1"/>
      <x:c r="V1735" s="1"/>
    </x:row>
    <x:row r="1736">
      <x:c r="A1736" s="1"/>
      <x:c r="B1736" s="1"/>
      <x:c r="C1736" s="1"/>
      <x:c r="D1736" s="1"/>
      <x:c r="E1736" s="1"/>
      <x:c r="F1736" s="1"/>
      <x:c r="G1736" s="1"/>
      <x:c r="H1736" s="1"/>
      <x:c r="I1736" s="1"/>
      <x:c r="J1736" s="1"/>
      <x:c r="K1736" s="1"/>
      <x:c r="L1736" s="1"/>
      <x:c r="M1736" s="1"/>
      <x:c r="N1736" s="1"/>
      <x:c r="O1736" s="1"/>
      <x:c r="P1736" s="1"/>
      <x:c r="Q1736" s="1"/>
      <x:c r="R1736" s="1"/>
      <x:c r="S1736" s="1"/>
      <x:c r="T1736" s="1"/>
      <x:c r="U1736" s="1"/>
      <x:c r="V1736" s="1"/>
    </x:row>
    <x:row r="1737">
      <x:c r="A1737" s="1"/>
      <x:c r="B1737" s="1"/>
      <x:c r="C1737" s="1"/>
      <x:c r="D1737" s="1"/>
      <x:c r="E1737" s="1"/>
      <x:c r="F1737" s="1"/>
      <x:c r="G1737" s="1"/>
      <x:c r="H1737" s="1"/>
      <x:c r="I1737" s="1"/>
      <x:c r="J1737" s="1"/>
      <x:c r="K1737" s="1"/>
      <x:c r="L1737" s="1"/>
      <x:c r="M1737" s="1"/>
      <x:c r="N1737" s="1"/>
      <x:c r="O1737" s="1"/>
      <x:c r="P1737" s="1"/>
      <x:c r="Q1737" s="1"/>
      <x:c r="R1737" s="1"/>
      <x:c r="S1737" s="1"/>
      <x:c r="T1737" s="1"/>
      <x:c r="U1737" s="1"/>
      <x:c r="V1737" s="1"/>
    </x:row>
    <x:row r="1738">
      <x:c r="A1738" s="1"/>
      <x:c r="B1738" s="1"/>
      <x:c r="C1738" s="1"/>
      <x:c r="D1738" s="1"/>
      <x:c r="E1738" s="1"/>
      <x:c r="F1738" s="1"/>
      <x:c r="G1738" s="1"/>
      <x:c r="H1738" s="1"/>
      <x:c r="I1738" s="1"/>
      <x:c r="J1738" s="1"/>
      <x:c r="K1738" s="1"/>
      <x:c r="L1738" s="1"/>
      <x:c r="M1738" s="1"/>
      <x:c r="N1738" s="1"/>
      <x:c r="O1738" s="1"/>
      <x:c r="P1738" s="1"/>
      <x:c r="Q1738" s="1"/>
      <x:c r="R1738" s="1"/>
      <x:c r="S1738" s="1"/>
      <x:c r="T1738" s="1"/>
      <x:c r="U1738" s="1"/>
      <x:c r="V1738" s="1"/>
    </x:row>
    <x:row r="1739">
      <x:c r="A1739" s="1"/>
      <x:c r="B1739" s="1"/>
      <x:c r="C1739" s="1"/>
      <x:c r="D1739" s="1"/>
      <x:c r="E1739" s="1"/>
      <x:c r="F1739" s="1"/>
      <x:c r="G1739" s="1"/>
      <x:c r="H1739" s="1"/>
      <x:c r="I1739" s="1"/>
      <x:c r="J1739" s="1"/>
      <x:c r="K1739" s="1"/>
      <x:c r="L1739" s="1"/>
      <x:c r="M1739" s="1"/>
      <x:c r="N1739" s="1"/>
      <x:c r="O1739" s="1"/>
      <x:c r="P1739" s="1"/>
      <x:c r="Q1739" s="1"/>
      <x:c r="R1739" s="1"/>
      <x:c r="S1739" s="1"/>
      <x:c r="T1739" s="1"/>
      <x:c r="U1739" s="1"/>
      <x:c r="V1739" s="1"/>
    </x:row>
    <x:row r="1740">
      <x:c r="A1740" s="1"/>
      <x:c r="B1740" s="1"/>
      <x:c r="C1740" s="1"/>
      <x:c r="D1740" s="1"/>
      <x:c r="E1740" s="1"/>
      <x:c r="F1740" s="1"/>
      <x:c r="G1740" s="1"/>
      <x:c r="H1740" s="1"/>
      <x:c r="I1740" s="1"/>
      <x:c r="J1740" s="1"/>
      <x:c r="K1740" s="1"/>
      <x:c r="L1740" s="1"/>
      <x:c r="M1740" s="1"/>
      <x:c r="N1740" s="1"/>
      <x:c r="O1740" s="1"/>
      <x:c r="P1740" s="1"/>
      <x:c r="Q1740" s="1"/>
      <x:c r="R1740" s="1"/>
      <x:c r="S1740" s="1"/>
      <x:c r="T1740" s="1"/>
      <x:c r="U1740" s="1"/>
      <x:c r="V1740" s="1"/>
    </x:row>
    <x:row r="1741">
      <x:c r="A1741" s="1"/>
      <x:c r="B1741" s="1"/>
      <x:c r="C1741" s="1"/>
      <x:c r="D1741" s="1"/>
      <x:c r="E1741" s="1"/>
      <x:c r="F1741" s="1"/>
      <x:c r="G1741" s="1"/>
      <x:c r="H1741" s="1"/>
      <x:c r="I1741" s="1"/>
      <x:c r="J1741" s="1"/>
      <x:c r="K1741" s="1"/>
      <x:c r="L1741" s="1"/>
      <x:c r="M1741" s="1"/>
      <x:c r="N1741" s="1"/>
      <x:c r="O1741" s="1"/>
      <x:c r="P1741" s="1"/>
      <x:c r="Q1741" s="1"/>
      <x:c r="R1741" s="1"/>
      <x:c r="S1741" s="1"/>
      <x:c r="T1741" s="1"/>
      <x:c r="U1741" s="1"/>
      <x:c r="V1741" s="1"/>
    </x:row>
    <x:row r="1742">
      <x:c r="A1742" s="1"/>
      <x:c r="B1742" s="1"/>
      <x:c r="C1742" s="1"/>
      <x:c r="D1742" s="1"/>
      <x:c r="E1742" s="1"/>
      <x:c r="F1742" s="1"/>
      <x:c r="G1742" s="1"/>
      <x:c r="H1742" s="1"/>
      <x:c r="I1742" s="1"/>
      <x:c r="J1742" s="1"/>
      <x:c r="K1742" s="1"/>
      <x:c r="L1742" s="1"/>
      <x:c r="M1742" s="1"/>
      <x:c r="N1742" s="1"/>
      <x:c r="O1742" s="1"/>
      <x:c r="P1742" s="1"/>
      <x:c r="Q1742" s="1"/>
      <x:c r="R1742" s="1"/>
      <x:c r="S1742" s="1"/>
      <x:c r="T1742" s="1"/>
      <x:c r="U1742" s="1"/>
      <x:c r="V1742" s="1"/>
    </x:row>
    <x:row r="1743">
      <x:c r="A1743" s="1"/>
      <x:c r="B1743" s="1"/>
      <x:c r="C1743" s="1"/>
      <x:c r="D1743" s="1"/>
      <x:c r="E1743" s="1"/>
      <x:c r="F1743" s="1"/>
      <x:c r="G1743" s="1"/>
      <x:c r="H1743" s="1"/>
      <x:c r="I1743" s="1"/>
      <x:c r="J1743" s="1"/>
      <x:c r="K1743" s="1"/>
      <x:c r="L1743" s="1"/>
      <x:c r="M1743" s="1"/>
      <x:c r="N1743" s="1"/>
      <x:c r="O1743" s="1"/>
      <x:c r="P1743" s="1"/>
      <x:c r="Q1743" s="1"/>
      <x:c r="R1743" s="1"/>
      <x:c r="S1743" s="1"/>
      <x:c r="T1743" s="1"/>
      <x:c r="U1743" s="1"/>
      <x:c r="V1743" s="1"/>
    </x:row>
    <x:row r="1744">
      <x:c r="A1744" s="1"/>
      <x:c r="B1744" s="1"/>
      <x:c r="C1744" s="1"/>
      <x:c r="D1744" s="1"/>
      <x:c r="E1744" s="1"/>
      <x:c r="F1744" s="1"/>
      <x:c r="G1744" s="1"/>
      <x:c r="H1744" s="1"/>
      <x:c r="I1744" s="1"/>
      <x:c r="J1744" s="1"/>
      <x:c r="K1744" s="1"/>
      <x:c r="L1744" s="1"/>
      <x:c r="M1744" s="1"/>
      <x:c r="N1744" s="1"/>
      <x:c r="O1744" s="1"/>
      <x:c r="P1744" s="1"/>
      <x:c r="Q1744" s="1"/>
      <x:c r="R1744" s="1"/>
      <x:c r="S1744" s="1"/>
      <x:c r="T1744" s="1"/>
      <x:c r="U1744" s="1"/>
      <x:c r="V1744" s="1"/>
    </x:row>
    <x:row r="1745">
      <x:c r="A1745" s="1"/>
      <x:c r="B1745" s="1"/>
      <x:c r="C1745" s="1"/>
      <x:c r="D1745" s="1"/>
      <x:c r="E1745" s="1"/>
      <x:c r="F1745" s="1"/>
      <x:c r="G1745" s="1"/>
      <x:c r="H1745" s="1"/>
      <x:c r="I1745" s="1"/>
      <x:c r="J1745" s="1"/>
      <x:c r="K1745" s="1"/>
      <x:c r="L1745" s="1"/>
      <x:c r="M1745" s="1"/>
      <x:c r="N1745" s="1"/>
      <x:c r="O1745" s="1"/>
      <x:c r="P1745" s="1"/>
      <x:c r="Q1745" s="1"/>
      <x:c r="R1745" s="1"/>
      <x:c r="S1745" s="1"/>
      <x:c r="T1745" s="1"/>
      <x:c r="U1745" s="1"/>
      <x:c r="V1745" s="1"/>
    </x:row>
    <x:row r="1746">
      <x:c r="A1746" s="1"/>
      <x:c r="B1746" s="1"/>
      <x:c r="C1746" s="1"/>
      <x:c r="D1746" s="1"/>
      <x:c r="E1746" s="1"/>
      <x:c r="F1746" s="1"/>
      <x:c r="G1746" s="1"/>
      <x:c r="H1746" s="1"/>
      <x:c r="I1746" s="1"/>
      <x:c r="J1746" s="1"/>
      <x:c r="K1746" s="1"/>
      <x:c r="L1746" s="1"/>
      <x:c r="M1746" s="1"/>
      <x:c r="N1746" s="1"/>
      <x:c r="O1746" s="1"/>
      <x:c r="P1746" s="1"/>
      <x:c r="Q1746" s="1"/>
      <x:c r="R1746" s="1"/>
      <x:c r="S1746" s="1"/>
      <x:c r="T1746" s="1"/>
      <x:c r="U1746" s="1"/>
      <x:c r="V1746" s="1"/>
    </x:row>
    <x:row r="1747">
      <x:c r="A1747" s="1"/>
      <x:c r="B1747" s="1"/>
      <x:c r="C1747" s="1"/>
      <x:c r="D1747" s="1"/>
      <x:c r="E1747" s="1"/>
      <x:c r="F1747" s="1"/>
      <x:c r="G1747" s="1"/>
      <x:c r="H1747" s="1"/>
      <x:c r="I1747" s="1"/>
      <x:c r="J1747" s="1"/>
      <x:c r="K1747" s="1"/>
      <x:c r="L1747" s="1"/>
      <x:c r="M1747" s="1"/>
      <x:c r="N1747" s="1"/>
      <x:c r="O1747" s="1"/>
      <x:c r="P1747" s="1"/>
      <x:c r="Q1747" s="1"/>
      <x:c r="R1747" s="1"/>
      <x:c r="S1747" s="1"/>
      <x:c r="T1747" s="1"/>
      <x:c r="U1747" s="1"/>
      <x:c r="V1747" s="1"/>
    </x:row>
    <x:row r="1748">
      <x:c r="A1748" s="1"/>
      <x:c r="B1748" s="1"/>
      <x:c r="C1748" s="1"/>
      <x:c r="D1748" s="1"/>
      <x:c r="E1748" s="1"/>
      <x:c r="F1748" s="1"/>
      <x:c r="G1748" s="1"/>
      <x:c r="H1748" s="1"/>
      <x:c r="I1748" s="1"/>
      <x:c r="J1748" s="1"/>
      <x:c r="K1748" s="1"/>
      <x:c r="L1748" s="1"/>
      <x:c r="M1748" s="1"/>
      <x:c r="N1748" s="1"/>
      <x:c r="O1748" s="1"/>
      <x:c r="P1748" s="1"/>
      <x:c r="Q1748" s="1"/>
      <x:c r="R1748" s="1"/>
      <x:c r="S1748" s="1"/>
      <x:c r="T1748" s="1"/>
      <x:c r="U1748" s="1"/>
      <x:c r="V1748" s="1"/>
    </x:row>
    <x:row r="1749">
      <x:c r="A1749" s="1"/>
      <x:c r="B1749" s="1"/>
      <x:c r="C1749" s="1"/>
      <x:c r="D1749" s="1"/>
      <x:c r="E1749" s="1"/>
      <x:c r="F1749" s="1"/>
      <x:c r="G1749" s="1"/>
      <x:c r="H1749" s="1"/>
      <x:c r="I1749" s="1"/>
      <x:c r="J1749" s="1"/>
      <x:c r="K1749" s="1"/>
      <x:c r="L1749" s="1"/>
      <x:c r="M1749" s="1"/>
      <x:c r="N1749" s="1"/>
      <x:c r="O1749" s="1"/>
      <x:c r="P1749" s="1"/>
      <x:c r="Q1749" s="1"/>
      <x:c r="R1749" s="1"/>
      <x:c r="S1749" s="1"/>
      <x:c r="T1749" s="1"/>
      <x:c r="U1749" s="1"/>
      <x:c r="V1749" s="1"/>
    </x:row>
    <x:row r="1750">
      <x:c r="A1750" s="1"/>
      <x:c r="B1750" s="1"/>
      <x:c r="C1750" s="1"/>
      <x:c r="D1750" s="1"/>
      <x:c r="E1750" s="1"/>
      <x:c r="F1750" s="1"/>
      <x:c r="G1750" s="1"/>
      <x:c r="H1750" s="1"/>
      <x:c r="I1750" s="1"/>
      <x:c r="J1750" s="1"/>
      <x:c r="K1750" s="1"/>
      <x:c r="L1750" s="1"/>
      <x:c r="M1750" s="1"/>
      <x:c r="N1750" s="1"/>
      <x:c r="O1750" s="1"/>
      <x:c r="P1750" s="1"/>
      <x:c r="Q1750" s="1"/>
      <x:c r="R1750" s="1"/>
      <x:c r="S1750" s="1"/>
      <x:c r="T1750" s="1"/>
      <x:c r="U1750" s="1"/>
      <x:c r="V1750" s="1"/>
    </x:row>
    <x:row r="1751">
      <x:c r="A1751" s="1"/>
      <x:c r="B1751" s="1"/>
      <x:c r="C1751" s="1"/>
      <x:c r="D1751" s="1"/>
      <x:c r="E1751" s="1"/>
      <x:c r="F1751" s="1"/>
      <x:c r="G1751" s="1"/>
      <x:c r="H1751" s="1"/>
      <x:c r="I1751" s="1"/>
      <x:c r="J1751" s="1"/>
      <x:c r="K1751" s="1"/>
      <x:c r="L1751" s="1"/>
      <x:c r="M1751" s="1"/>
      <x:c r="N1751" s="1"/>
      <x:c r="O1751" s="1"/>
      <x:c r="P1751" s="1"/>
      <x:c r="Q1751" s="1"/>
      <x:c r="R1751" s="1"/>
      <x:c r="S1751" s="1"/>
      <x:c r="T1751" s="1"/>
      <x:c r="U1751" s="1"/>
      <x:c r="V1751" s="1"/>
    </x:row>
    <x:row r="1752">
      <x:c r="A1752" s="1"/>
      <x:c r="B1752" s="1"/>
      <x:c r="C1752" s="1"/>
      <x:c r="D1752" s="1"/>
      <x:c r="E1752" s="1"/>
      <x:c r="F1752" s="1"/>
      <x:c r="G1752" s="1"/>
      <x:c r="H1752" s="1"/>
      <x:c r="I1752" s="1"/>
      <x:c r="J1752" s="1"/>
      <x:c r="K1752" s="1"/>
      <x:c r="L1752" s="1"/>
      <x:c r="M1752" s="1"/>
      <x:c r="N1752" s="1"/>
      <x:c r="O1752" s="1"/>
      <x:c r="P1752" s="1"/>
      <x:c r="Q1752" s="1"/>
      <x:c r="R1752" s="1"/>
      <x:c r="S1752" s="1"/>
      <x:c r="T1752" s="1"/>
      <x:c r="U1752" s="1"/>
      <x:c r="V1752" s="1"/>
    </x:row>
    <x:row r="1753">
      <x:c r="A1753" s="1"/>
      <x:c r="B1753" s="1"/>
      <x:c r="C1753" s="1"/>
      <x:c r="D1753" s="1"/>
      <x:c r="E1753" s="1"/>
      <x:c r="F1753" s="1"/>
      <x:c r="G1753" s="1"/>
      <x:c r="H1753" s="1"/>
      <x:c r="I1753" s="1"/>
      <x:c r="J1753" s="1"/>
      <x:c r="K1753" s="1"/>
      <x:c r="L1753" s="1"/>
      <x:c r="M1753" s="1"/>
      <x:c r="N1753" s="1"/>
      <x:c r="O1753" s="1"/>
      <x:c r="P1753" s="1"/>
      <x:c r="Q1753" s="1"/>
      <x:c r="R1753" s="1"/>
      <x:c r="S1753" s="1"/>
      <x:c r="T1753" s="1"/>
      <x:c r="U1753" s="1"/>
      <x:c r="V1753" s="1"/>
    </x:row>
    <x:row r="1754">
      <x:c r="A1754" s="1"/>
      <x:c r="B1754" s="1"/>
      <x:c r="C1754" s="1"/>
      <x:c r="D1754" s="1"/>
      <x:c r="E1754" s="1"/>
      <x:c r="F1754" s="1"/>
      <x:c r="G1754" s="1"/>
      <x:c r="H1754" s="1"/>
      <x:c r="I1754" s="1"/>
      <x:c r="J1754" s="1"/>
      <x:c r="K1754" s="1"/>
      <x:c r="L1754" s="1"/>
      <x:c r="M1754" s="1"/>
      <x:c r="N1754" s="1"/>
      <x:c r="O1754" s="1"/>
      <x:c r="P1754" s="1"/>
      <x:c r="Q1754" s="1"/>
      <x:c r="R1754" s="1"/>
      <x:c r="S1754" s="1"/>
      <x:c r="T1754" s="1"/>
      <x:c r="U1754" s="1"/>
      <x:c r="V1754" s="1"/>
    </x:row>
    <x:row r="1755">
      <x:c r="A1755" s="1"/>
      <x:c r="B1755" s="1"/>
      <x:c r="C1755" s="1"/>
      <x:c r="D1755" s="1"/>
      <x:c r="E1755" s="1"/>
      <x:c r="F1755" s="1"/>
      <x:c r="G1755" s="1"/>
      <x:c r="H1755" s="1"/>
      <x:c r="I1755" s="1"/>
      <x:c r="J1755" s="1"/>
      <x:c r="K1755" s="1"/>
      <x:c r="L1755" s="1"/>
      <x:c r="M1755" s="1"/>
      <x:c r="N1755" s="1"/>
      <x:c r="O1755" s="1"/>
      <x:c r="P1755" s="1"/>
      <x:c r="Q1755" s="1"/>
      <x:c r="R1755" s="1"/>
      <x:c r="S1755" s="1"/>
      <x:c r="T1755" s="1"/>
      <x:c r="U1755" s="1"/>
      <x:c r="V1755" s="1"/>
    </x:row>
    <x:row r="1756">
      <x:c r="A1756" s="1"/>
      <x:c r="B1756" s="1"/>
      <x:c r="C1756" s="1"/>
      <x:c r="D1756" s="1"/>
      <x:c r="E1756" s="1"/>
      <x:c r="F1756" s="1"/>
      <x:c r="G1756" s="1"/>
      <x:c r="H1756" s="1"/>
      <x:c r="I1756" s="1"/>
      <x:c r="J1756" s="1"/>
      <x:c r="K1756" s="1"/>
      <x:c r="L1756" s="1"/>
      <x:c r="M1756" s="1"/>
      <x:c r="N1756" s="1"/>
      <x:c r="O1756" s="1"/>
      <x:c r="P1756" s="1"/>
      <x:c r="Q1756" s="1"/>
      <x:c r="R1756" s="1"/>
      <x:c r="S1756" s="1"/>
      <x:c r="T1756" s="1"/>
      <x:c r="U1756" s="1"/>
      <x:c r="V1756" s="1"/>
    </x:row>
    <x:row r="1757">
      <x:c r="A1757" s="1"/>
      <x:c r="B1757" s="1"/>
      <x:c r="C1757" s="1"/>
      <x:c r="D1757" s="1"/>
      <x:c r="E1757" s="1"/>
      <x:c r="F1757" s="1"/>
      <x:c r="G1757" s="1"/>
      <x:c r="H1757" s="1"/>
      <x:c r="I1757" s="1"/>
      <x:c r="J1757" s="1"/>
      <x:c r="K1757" s="1"/>
      <x:c r="L1757" s="1"/>
      <x:c r="M1757" s="1"/>
      <x:c r="N1757" s="1"/>
      <x:c r="O1757" s="1"/>
      <x:c r="P1757" s="1"/>
      <x:c r="Q1757" s="1"/>
      <x:c r="R1757" s="1"/>
      <x:c r="S1757" s="1"/>
      <x:c r="T1757" s="1"/>
      <x:c r="U1757" s="1"/>
      <x:c r="V1757" s="1"/>
    </x:row>
    <x:row r="1758">
      <x:c r="A1758" s="1"/>
      <x:c r="B1758" s="1"/>
      <x:c r="C1758" s="1"/>
      <x:c r="D1758" s="1"/>
      <x:c r="E1758" s="1"/>
      <x:c r="F1758" s="1"/>
      <x:c r="G1758" s="1"/>
      <x:c r="H1758" s="1"/>
      <x:c r="I1758" s="1"/>
      <x:c r="J1758" s="1"/>
      <x:c r="K1758" s="1"/>
      <x:c r="L1758" s="1"/>
      <x:c r="M1758" s="1"/>
      <x:c r="N1758" s="1"/>
      <x:c r="O1758" s="1"/>
      <x:c r="P1758" s="1"/>
      <x:c r="Q1758" s="1"/>
      <x:c r="R1758" s="1"/>
      <x:c r="S1758" s="1"/>
      <x:c r="T1758" s="1"/>
      <x:c r="U1758" s="1"/>
      <x:c r="V1758" s="1"/>
    </x:row>
    <x:row r="1759">
      <x:c r="A1759" s="1"/>
      <x:c r="B1759" s="1"/>
      <x:c r="C1759" s="1"/>
      <x:c r="D1759" s="1"/>
      <x:c r="E1759" s="1"/>
      <x:c r="F1759" s="1"/>
      <x:c r="G1759" s="1"/>
      <x:c r="H1759" s="1"/>
      <x:c r="I1759" s="1"/>
      <x:c r="J1759" s="1"/>
      <x:c r="K1759" s="1"/>
      <x:c r="L1759" s="1"/>
      <x:c r="M1759" s="1"/>
      <x:c r="N1759" s="1"/>
      <x:c r="O1759" s="1"/>
      <x:c r="P1759" s="1"/>
      <x:c r="Q1759" s="1"/>
      <x:c r="R1759" s="1"/>
      <x:c r="S1759" s="1"/>
      <x:c r="T1759" s="1"/>
      <x:c r="U1759" s="1"/>
      <x:c r="V1759" s="1"/>
    </x:row>
    <x:row r="1760">
      <x:c r="A1760" s="1"/>
      <x:c r="B1760" s="1"/>
      <x:c r="C1760" s="1"/>
      <x:c r="D1760" s="1"/>
      <x:c r="E1760" s="1"/>
      <x:c r="F1760" s="1"/>
      <x:c r="G1760" s="1"/>
      <x:c r="H1760" s="1"/>
      <x:c r="I1760" s="1"/>
      <x:c r="J1760" s="1"/>
      <x:c r="K1760" s="1"/>
      <x:c r="L1760" s="1"/>
      <x:c r="M1760" s="1"/>
      <x:c r="N1760" s="1"/>
      <x:c r="O1760" s="1"/>
      <x:c r="P1760" s="1"/>
      <x:c r="Q1760" s="1"/>
      <x:c r="R1760" s="1"/>
      <x:c r="S1760" s="1"/>
      <x:c r="T1760" s="1"/>
      <x:c r="U1760" s="1"/>
      <x:c r="V1760" s="1"/>
    </x:row>
    <x:row r="1761">
      <x:c r="A1761" s="1"/>
      <x:c r="B1761" s="1"/>
      <x:c r="C1761" s="1"/>
      <x:c r="D1761" s="1"/>
      <x:c r="E1761" s="1"/>
      <x:c r="F1761" s="1"/>
      <x:c r="G1761" s="1"/>
      <x:c r="H1761" s="1"/>
      <x:c r="I1761" s="1"/>
      <x:c r="J1761" s="1"/>
      <x:c r="K1761" s="1"/>
      <x:c r="L1761" s="1"/>
      <x:c r="M1761" s="1"/>
      <x:c r="N1761" s="1"/>
      <x:c r="O1761" s="1"/>
      <x:c r="P1761" s="1"/>
      <x:c r="Q1761" s="1"/>
      <x:c r="R1761" s="1"/>
      <x:c r="S1761" s="1"/>
      <x:c r="T1761" s="1"/>
      <x:c r="U1761" s="1"/>
      <x:c r="V1761" s="1"/>
    </x:row>
    <x:row r="1762">
      <x:c r="A1762" s="1"/>
      <x:c r="B1762" s="1"/>
      <x:c r="C1762" s="1"/>
      <x:c r="D1762" s="1"/>
      <x:c r="E1762" s="1"/>
      <x:c r="F1762" s="1"/>
      <x:c r="G1762" s="1"/>
      <x:c r="H1762" s="1"/>
      <x:c r="I1762" s="1"/>
      <x:c r="J1762" s="1"/>
      <x:c r="K1762" s="1"/>
      <x:c r="L1762" s="1"/>
      <x:c r="M1762" s="1"/>
      <x:c r="N1762" s="1"/>
      <x:c r="O1762" s="1"/>
      <x:c r="P1762" s="1"/>
      <x:c r="Q1762" s="1"/>
      <x:c r="R1762" s="1"/>
      <x:c r="S1762" s="1"/>
      <x:c r="T1762" s="1"/>
      <x:c r="U1762" s="1"/>
      <x:c r="V1762" s="1"/>
    </x:row>
    <x:row r="1763">
      <x:c r="A1763" s="1"/>
      <x:c r="B1763" s="1"/>
      <x:c r="C1763" s="1"/>
      <x:c r="D1763" s="1"/>
      <x:c r="E1763" s="1"/>
      <x:c r="F1763" s="1"/>
      <x:c r="G1763" s="1"/>
      <x:c r="H1763" s="1"/>
      <x:c r="I1763" s="1"/>
      <x:c r="J1763" s="1"/>
      <x:c r="K1763" s="1"/>
      <x:c r="L1763" s="1"/>
      <x:c r="M1763" s="1"/>
      <x:c r="N1763" s="1"/>
      <x:c r="O1763" s="1"/>
      <x:c r="P1763" s="1"/>
      <x:c r="Q1763" s="1"/>
      <x:c r="R1763" s="1"/>
      <x:c r="S1763" s="1"/>
      <x:c r="T1763" s="1"/>
      <x:c r="U1763" s="1"/>
      <x:c r="V1763" s="1"/>
    </x:row>
    <x:row r="1764">
      <x:c r="A1764" s="1"/>
      <x:c r="B1764" s="1"/>
      <x:c r="C1764" s="1"/>
      <x:c r="D1764" s="1"/>
      <x:c r="E1764" s="1"/>
      <x:c r="F1764" s="1"/>
      <x:c r="G1764" s="1"/>
      <x:c r="H1764" s="1"/>
      <x:c r="I1764" s="1"/>
      <x:c r="J1764" s="1"/>
      <x:c r="K1764" s="1"/>
      <x:c r="L1764" s="1"/>
      <x:c r="M1764" s="1"/>
      <x:c r="N1764" s="1"/>
      <x:c r="O1764" s="1"/>
      <x:c r="P1764" s="1"/>
      <x:c r="Q1764" s="1"/>
      <x:c r="R1764" s="1"/>
      <x:c r="S1764" s="1"/>
      <x:c r="T1764" s="1"/>
      <x:c r="U1764" s="1"/>
      <x:c r="V1764" s="1"/>
    </x:row>
    <x:row r="1765">
      <x:c r="A1765" s="1"/>
      <x:c r="B1765" s="1"/>
      <x:c r="C1765" s="1"/>
      <x:c r="D1765" s="1"/>
      <x:c r="E1765" s="1"/>
      <x:c r="F1765" s="1"/>
      <x:c r="G1765" s="1"/>
      <x:c r="H1765" s="1"/>
      <x:c r="I1765" s="1"/>
      <x:c r="J1765" s="1"/>
      <x:c r="K1765" s="1"/>
      <x:c r="L1765" s="1"/>
      <x:c r="M1765" s="1"/>
      <x:c r="N1765" s="1"/>
      <x:c r="O1765" s="1"/>
      <x:c r="P1765" s="1"/>
      <x:c r="Q1765" s="1"/>
      <x:c r="R1765" s="1"/>
      <x:c r="S1765" s="1"/>
      <x:c r="T1765" s="1"/>
      <x:c r="U1765" s="1"/>
      <x:c r="V1765" s="1"/>
    </x:row>
    <x:row r="1766">
      <x:c r="A1766" s="1"/>
      <x:c r="B1766" s="1"/>
      <x:c r="C1766" s="1"/>
      <x:c r="D1766" s="1"/>
      <x:c r="E1766" s="1"/>
      <x:c r="F1766" s="1"/>
      <x:c r="G1766" s="1"/>
      <x:c r="H1766" s="1"/>
      <x:c r="I1766" s="1"/>
      <x:c r="J1766" s="1"/>
      <x:c r="K1766" s="1"/>
      <x:c r="L1766" s="1"/>
      <x:c r="M1766" s="1"/>
      <x:c r="N1766" s="1"/>
      <x:c r="O1766" s="1"/>
      <x:c r="P1766" s="1"/>
      <x:c r="Q1766" s="1"/>
      <x:c r="R1766" s="1"/>
      <x:c r="S1766" s="1"/>
      <x:c r="T1766" s="1"/>
      <x:c r="U1766" s="1"/>
      <x:c r="V1766" s="1"/>
    </x:row>
    <x:row r="1767">
      <x:c r="A1767" s="1"/>
      <x:c r="B1767" s="1"/>
      <x:c r="C1767" s="1"/>
      <x:c r="D1767" s="1"/>
      <x:c r="E1767" s="1"/>
      <x:c r="F1767" s="1"/>
      <x:c r="G1767" s="1"/>
      <x:c r="H1767" s="1"/>
      <x:c r="I1767" s="1"/>
      <x:c r="J1767" s="1"/>
      <x:c r="K1767" s="1"/>
      <x:c r="L1767" s="1"/>
      <x:c r="M1767" s="1"/>
      <x:c r="N1767" s="1"/>
      <x:c r="O1767" s="1"/>
      <x:c r="P1767" s="1"/>
      <x:c r="Q1767" s="1"/>
      <x:c r="R1767" s="1"/>
      <x:c r="S1767" s="1"/>
      <x:c r="T1767" s="1"/>
      <x:c r="U1767" s="1"/>
      <x:c r="V1767" s="1"/>
    </x:row>
    <x:row r="1768">
      <x:c r="A1768" s="1"/>
      <x:c r="B1768" s="1"/>
      <x:c r="C1768" s="1"/>
      <x:c r="D1768" s="1"/>
      <x:c r="E1768" s="1"/>
      <x:c r="F1768" s="1"/>
      <x:c r="G1768" s="1"/>
      <x:c r="H1768" s="1"/>
      <x:c r="I1768" s="1"/>
      <x:c r="J1768" s="1"/>
      <x:c r="K1768" s="1"/>
      <x:c r="L1768" s="1"/>
      <x:c r="M1768" s="1"/>
      <x:c r="N1768" s="1"/>
      <x:c r="O1768" s="1"/>
      <x:c r="P1768" s="1"/>
      <x:c r="Q1768" s="1"/>
      <x:c r="R1768" s="1"/>
      <x:c r="S1768" s="1"/>
      <x:c r="T1768" s="1"/>
      <x:c r="U1768" s="1"/>
      <x:c r="V1768" s="1"/>
    </x:row>
    <x:row r="1769">
      <x:c r="A1769" s="1"/>
      <x:c r="B1769" s="1"/>
      <x:c r="C1769" s="1"/>
      <x:c r="D1769" s="1"/>
      <x:c r="E1769" s="1"/>
      <x:c r="F1769" s="1"/>
      <x:c r="G1769" s="1"/>
      <x:c r="H1769" s="1"/>
      <x:c r="I1769" s="1"/>
      <x:c r="J1769" s="1"/>
      <x:c r="K1769" s="1"/>
      <x:c r="L1769" s="1"/>
      <x:c r="M1769" s="1"/>
      <x:c r="N1769" s="1"/>
      <x:c r="O1769" s="1"/>
      <x:c r="P1769" s="1"/>
      <x:c r="Q1769" s="1"/>
      <x:c r="R1769" s="1"/>
      <x:c r="S1769" s="1"/>
      <x:c r="T1769" s="1"/>
      <x:c r="U1769" s="1"/>
      <x:c r="V1769" s="1"/>
    </x:row>
    <x:row r="1770">
      <x:c r="A1770" s="1"/>
      <x:c r="B1770" s="1"/>
      <x:c r="C1770" s="1"/>
      <x:c r="D1770" s="1"/>
      <x:c r="E1770" s="1"/>
      <x:c r="F1770" s="1"/>
      <x:c r="G1770" s="1"/>
      <x:c r="H1770" s="1"/>
      <x:c r="I1770" s="1"/>
      <x:c r="J1770" s="1"/>
      <x:c r="K1770" s="1"/>
      <x:c r="L1770" s="1"/>
      <x:c r="M1770" s="1"/>
      <x:c r="N1770" s="1"/>
      <x:c r="O1770" s="1"/>
      <x:c r="P1770" s="1"/>
      <x:c r="Q1770" s="1"/>
      <x:c r="R1770" s="1"/>
      <x:c r="S1770" s="1"/>
      <x:c r="T1770" s="1"/>
      <x:c r="U1770" s="1"/>
      <x:c r="V1770" s="1"/>
    </x:row>
    <x:row r="1771">
      <x:c r="A1771" s="1"/>
      <x:c r="B1771" s="1"/>
      <x:c r="C1771" s="1"/>
      <x:c r="D1771" s="1"/>
      <x:c r="E1771" s="1"/>
      <x:c r="F1771" s="1"/>
      <x:c r="G1771" s="1"/>
      <x:c r="H1771" s="1"/>
      <x:c r="I1771" s="1"/>
      <x:c r="J1771" s="1"/>
      <x:c r="K1771" s="1"/>
      <x:c r="L1771" s="1"/>
      <x:c r="M1771" s="1"/>
      <x:c r="N1771" s="1"/>
      <x:c r="O1771" s="1"/>
      <x:c r="P1771" s="1"/>
      <x:c r="Q1771" s="1"/>
      <x:c r="R1771" s="1"/>
      <x:c r="S1771" s="1"/>
      <x:c r="T1771" s="1"/>
      <x:c r="U1771" s="1"/>
      <x:c r="V1771" s="1"/>
    </x:row>
    <x:row r="1772">
      <x:c r="A1772" s="1"/>
      <x:c r="B1772" s="1"/>
      <x:c r="C1772" s="1"/>
      <x:c r="D1772" s="1"/>
      <x:c r="E1772" s="1"/>
      <x:c r="F1772" s="1"/>
      <x:c r="G1772" s="1"/>
      <x:c r="H1772" s="1"/>
      <x:c r="I1772" s="1"/>
      <x:c r="J1772" s="1"/>
      <x:c r="K1772" s="1"/>
      <x:c r="L1772" s="1"/>
      <x:c r="M1772" s="1"/>
      <x:c r="N1772" s="1"/>
      <x:c r="O1772" s="1"/>
      <x:c r="P1772" s="1"/>
      <x:c r="Q1772" s="1"/>
      <x:c r="R1772" s="1"/>
      <x:c r="S1772" s="1"/>
      <x:c r="T1772" s="1"/>
      <x:c r="U1772" s="1"/>
      <x:c r="V1772" s="1"/>
    </x:row>
    <x:row r="1773">
      <x:c r="A1773" s="1"/>
      <x:c r="B1773" s="1"/>
      <x:c r="C1773" s="1"/>
      <x:c r="D1773" s="1"/>
      <x:c r="E1773" s="1"/>
      <x:c r="F1773" s="1"/>
      <x:c r="G1773" s="1"/>
      <x:c r="H1773" s="1"/>
      <x:c r="I1773" s="1"/>
      <x:c r="J1773" s="1"/>
      <x:c r="K1773" s="1"/>
      <x:c r="L1773" s="1"/>
      <x:c r="M1773" s="1"/>
      <x:c r="N1773" s="1"/>
      <x:c r="O1773" s="1"/>
      <x:c r="P1773" s="1"/>
      <x:c r="Q1773" s="1"/>
      <x:c r="R1773" s="1"/>
      <x:c r="S1773" s="1"/>
      <x:c r="T1773" s="1"/>
      <x:c r="U1773" s="1"/>
      <x:c r="V1773" s="1"/>
    </x:row>
    <x:row r="1774">
      <x:c r="A1774" s="1"/>
      <x:c r="B1774" s="1"/>
      <x:c r="C1774" s="1"/>
      <x:c r="D1774" s="1"/>
      <x:c r="E1774" s="1"/>
      <x:c r="F1774" s="1"/>
      <x:c r="G1774" s="1"/>
      <x:c r="H1774" s="1"/>
      <x:c r="I1774" s="1"/>
      <x:c r="J1774" s="1"/>
      <x:c r="K1774" s="1"/>
      <x:c r="L1774" s="1"/>
      <x:c r="M1774" s="1"/>
      <x:c r="N1774" s="1"/>
      <x:c r="O1774" s="1"/>
      <x:c r="P1774" s="1"/>
      <x:c r="Q1774" s="1"/>
      <x:c r="R1774" s="1"/>
      <x:c r="S1774" s="1"/>
      <x:c r="T1774" s="1"/>
      <x:c r="U1774" s="1"/>
      <x:c r="V1774" s="1"/>
    </x:row>
    <x:row r="1775">
      <x:c r="A1775" s="1"/>
      <x:c r="B1775" s="1"/>
      <x:c r="C1775" s="1"/>
      <x:c r="D1775" s="1"/>
      <x:c r="E1775" s="1"/>
      <x:c r="F1775" s="1"/>
      <x:c r="G1775" s="1"/>
      <x:c r="H1775" s="1"/>
      <x:c r="I1775" s="1"/>
      <x:c r="J1775" s="1"/>
      <x:c r="K1775" s="1"/>
      <x:c r="L1775" s="1"/>
      <x:c r="M1775" s="1"/>
      <x:c r="N1775" s="1"/>
      <x:c r="O1775" s="1"/>
      <x:c r="P1775" s="1"/>
      <x:c r="Q1775" s="1"/>
      <x:c r="R1775" s="1"/>
      <x:c r="S1775" s="1"/>
      <x:c r="T1775" s="1"/>
      <x:c r="U1775" s="1"/>
      <x:c r="V1775" s="1"/>
    </x:row>
    <x:row r="1776">
      <x:c r="A1776" s="1"/>
      <x:c r="B1776" s="1"/>
      <x:c r="C1776" s="1"/>
      <x:c r="D1776" s="1"/>
      <x:c r="E1776" s="1"/>
      <x:c r="F1776" s="1"/>
      <x:c r="G1776" s="1"/>
      <x:c r="H1776" s="1"/>
      <x:c r="I1776" s="1"/>
      <x:c r="J1776" s="1"/>
      <x:c r="K1776" s="1"/>
      <x:c r="L1776" s="1"/>
      <x:c r="M1776" s="1"/>
      <x:c r="N1776" s="1"/>
      <x:c r="O1776" s="1"/>
      <x:c r="P1776" s="1"/>
      <x:c r="Q1776" s="1"/>
      <x:c r="R1776" s="1"/>
      <x:c r="S1776" s="1"/>
      <x:c r="T1776" s="1"/>
      <x:c r="U1776" s="1"/>
      <x:c r="V1776" s="1"/>
    </x:row>
    <x:row r="1777">
      <x:c r="A1777" s="1"/>
      <x:c r="B1777" s="1"/>
      <x:c r="C1777" s="1"/>
      <x:c r="D1777" s="1"/>
      <x:c r="E1777" s="1"/>
      <x:c r="F1777" s="1"/>
      <x:c r="G1777" s="1"/>
      <x:c r="H1777" s="1"/>
      <x:c r="I1777" s="1"/>
      <x:c r="J1777" s="1"/>
      <x:c r="K1777" s="1"/>
      <x:c r="L1777" s="1"/>
      <x:c r="M1777" s="1"/>
      <x:c r="N1777" s="1"/>
      <x:c r="O1777" s="1"/>
      <x:c r="P1777" s="1"/>
      <x:c r="Q1777" s="1"/>
      <x:c r="R1777" s="1"/>
      <x:c r="S1777" s="1"/>
      <x:c r="T1777" s="1"/>
      <x:c r="U1777" s="1"/>
      <x:c r="V1777" s="1"/>
    </x:row>
    <x:row r="1778">
      <x:c r="A1778" s="1"/>
      <x:c r="B1778" s="1"/>
      <x:c r="C1778" s="1"/>
      <x:c r="D1778" s="1"/>
      <x:c r="E1778" s="1"/>
      <x:c r="F1778" s="1"/>
      <x:c r="G1778" s="1"/>
      <x:c r="H1778" s="1"/>
      <x:c r="I1778" s="1"/>
      <x:c r="J1778" s="1"/>
      <x:c r="K1778" s="1"/>
      <x:c r="L1778" s="1"/>
      <x:c r="M1778" s="1"/>
      <x:c r="N1778" s="1"/>
      <x:c r="O1778" s="1"/>
      <x:c r="P1778" s="1"/>
      <x:c r="Q1778" s="1"/>
      <x:c r="R1778" s="1"/>
      <x:c r="S1778" s="1"/>
      <x:c r="T1778" s="1"/>
      <x:c r="U1778" s="1"/>
      <x:c r="V1778" s="1"/>
    </x:row>
    <x:row r="1779">
      <x:c r="A1779" s="1"/>
      <x:c r="B1779" s="1"/>
      <x:c r="C1779" s="1"/>
      <x:c r="D1779" s="1"/>
      <x:c r="E1779" s="1"/>
      <x:c r="F1779" s="1"/>
      <x:c r="G1779" s="1"/>
      <x:c r="H1779" s="1"/>
      <x:c r="I1779" s="1"/>
      <x:c r="J1779" s="1"/>
      <x:c r="K1779" s="1"/>
      <x:c r="L1779" s="1"/>
      <x:c r="M1779" s="1"/>
      <x:c r="N1779" s="1"/>
      <x:c r="O1779" s="1"/>
      <x:c r="P1779" s="1"/>
      <x:c r="Q1779" s="1"/>
      <x:c r="R1779" s="1"/>
      <x:c r="S1779" s="1"/>
      <x:c r="T1779" s="1"/>
      <x:c r="U1779" s="1"/>
      <x:c r="V1779" s="1"/>
    </x:row>
    <x:row r="1780">
      <x:c r="A1780" s="1"/>
      <x:c r="B1780" s="1"/>
      <x:c r="C1780" s="1"/>
      <x:c r="D1780" s="1"/>
      <x:c r="E1780" s="1"/>
      <x:c r="F1780" s="1"/>
      <x:c r="G1780" s="1"/>
      <x:c r="H1780" s="1"/>
      <x:c r="I1780" s="1"/>
      <x:c r="J1780" s="1"/>
      <x:c r="K1780" s="1"/>
      <x:c r="L1780" s="1"/>
      <x:c r="M1780" s="1"/>
      <x:c r="N1780" s="1"/>
      <x:c r="O1780" s="1"/>
      <x:c r="P1780" s="1"/>
      <x:c r="Q1780" s="1"/>
      <x:c r="R1780" s="1"/>
      <x:c r="S1780" s="1"/>
      <x:c r="T1780" s="1"/>
      <x:c r="U1780" s="1"/>
      <x:c r="V1780" s="1"/>
    </x:row>
    <x:row r="1781">
      <x:c r="A1781" s="1"/>
      <x:c r="B1781" s="1"/>
      <x:c r="C1781" s="1"/>
      <x:c r="D1781" s="1"/>
      <x:c r="E1781" s="1"/>
      <x:c r="F1781" s="1"/>
      <x:c r="G1781" s="1"/>
      <x:c r="H1781" s="1"/>
      <x:c r="I1781" s="1"/>
      <x:c r="J1781" s="1"/>
      <x:c r="K1781" s="1"/>
      <x:c r="L1781" s="1"/>
      <x:c r="M1781" s="1"/>
      <x:c r="N1781" s="1"/>
      <x:c r="O1781" s="1"/>
      <x:c r="P1781" s="1"/>
      <x:c r="Q1781" s="1"/>
      <x:c r="R1781" s="1"/>
      <x:c r="S1781" s="1"/>
      <x:c r="T1781" s="1"/>
      <x:c r="U1781" s="1"/>
      <x:c r="V1781" s="1"/>
    </x:row>
    <x:row r="1782">
      <x:c r="A1782" s="1"/>
      <x:c r="B1782" s="1"/>
      <x:c r="C1782" s="1"/>
      <x:c r="D1782" s="1"/>
      <x:c r="E1782" s="1"/>
      <x:c r="F1782" s="1"/>
      <x:c r="G1782" s="1"/>
      <x:c r="H1782" s="1"/>
      <x:c r="I1782" s="1"/>
      <x:c r="J1782" s="1"/>
      <x:c r="K1782" s="1"/>
      <x:c r="L1782" s="1"/>
      <x:c r="M1782" s="1"/>
      <x:c r="N1782" s="1"/>
      <x:c r="O1782" s="1"/>
      <x:c r="P1782" s="1"/>
      <x:c r="Q1782" s="1"/>
      <x:c r="R1782" s="1"/>
      <x:c r="S1782" s="1"/>
      <x:c r="T1782" s="1"/>
      <x:c r="U1782" s="1"/>
      <x:c r="V1782" s="1"/>
    </x:row>
    <x:row r="1783">
      <x:c r="A1783" s="1"/>
      <x:c r="B1783" s="1"/>
      <x:c r="C1783" s="1"/>
      <x:c r="D1783" s="1"/>
      <x:c r="E1783" s="1"/>
      <x:c r="F1783" s="1"/>
      <x:c r="G1783" s="1"/>
      <x:c r="H1783" s="1"/>
      <x:c r="I1783" s="1"/>
      <x:c r="J1783" s="1"/>
      <x:c r="K1783" s="1"/>
      <x:c r="L1783" s="1"/>
      <x:c r="M1783" s="1"/>
      <x:c r="N1783" s="1"/>
      <x:c r="O1783" s="1"/>
      <x:c r="P1783" s="1"/>
      <x:c r="Q1783" s="1"/>
      <x:c r="R1783" s="1"/>
      <x:c r="S1783" s="1"/>
      <x:c r="T1783" s="1"/>
      <x:c r="U1783" s="1"/>
      <x:c r="V1783" s="1"/>
    </x:row>
    <x:row r="1784">
      <x:c r="A1784" s="1"/>
      <x:c r="B1784" s="1"/>
      <x:c r="C1784" s="1"/>
      <x:c r="D1784" s="1"/>
      <x:c r="E1784" s="1"/>
      <x:c r="F1784" s="1"/>
      <x:c r="G1784" s="1"/>
      <x:c r="H1784" s="1"/>
      <x:c r="I1784" s="1"/>
      <x:c r="J1784" s="1"/>
      <x:c r="K1784" s="1"/>
      <x:c r="L1784" s="1"/>
      <x:c r="M1784" s="1"/>
      <x:c r="N1784" s="1"/>
      <x:c r="O1784" s="1"/>
      <x:c r="P1784" s="1"/>
      <x:c r="Q1784" s="1"/>
      <x:c r="R1784" s="1"/>
      <x:c r="S1784" s="1"/>
      <x:c r="T1784" s="1"/>
      <x:c r="U1784" s="1"/>
      <x:c r="V1784" s="1"/>
    </x:row>
    <x:row r="1785">
      <x:c r="A1785" s="1"/>
      <x:c r="B1785" s="1"/>
      <x:c r="C1785" s="1"/>
      <x:c r="D1785" s="1"/>
      <x:c r="E1785" s="1"/>
      <x:c r="F1785" s="1"/>
      <x:c r="G1785" s="1"/>
      <x:c r="H1785" s="1"/>
      <x:c r="I1785" s="1"/>
      <x:c r="J1785" s="1"/>
      <x:c r="K1785" s="1"/>
      <x:c r="L1785" s="1"/>
      <x:c r="M1785" s="1"/>
      <x:c r="N1785" s="1"/>
      <x:c r="O1785" s="1"/>
      <x:c r="P1785" s="1"/>
      <x:c r="Q1785" s="1"/>
      <x:c r="R1785" s="1"/>
      <x:c r="S1785" s="1"/>
      <x:c r="T1785" s="1"/>
      <x:c r="U1785" s="1"/>
      <x:c r="V1785" s="1"/>
    </x:row>
    <x:row r="1786">
      <x:c r="A1786" s="1"/>
      <x:c r="B1786" s="1"/>
      <x:c r="C1786" s="1"/>
      <x:c r="D1786" s="1"/>
      <x:c r="E1786" s="1"/>
      <x:c r="F1786" s="1"/>
      <x:c r="G1786" s="1"/>
      <x:c r="H1786" s="1"/>
      <x:c r="I1786" s="1"/>
      <x:c r="J1786" s="1"/>
      <x:c r="K1786" s="1"/>
      <x:c r="L1786" s="1"/>
      <x:c r="M1786" s="1"/>
      <x:c r="N1786" s="1"/>
      <x:c r="O1786" s="1"/>
      <x:c r="P1786" s="1"/>
      <x:c r="Q1786" s="1"/>
      <x:c r="R1786" s="1"/>
      <x:c r="S1786" s="1"/>
      <x:c r="T1786" s="1"/>
      <x:c r="U1786" s="1"/>
      <x:c r="V1786" s="1"/>
    </x:row>
    <x:row r="1787">
      <x:c r="A1787" s="1"/>
      <x:c r="B1787" s="1"/>
      <x:c r="C1787" s="1"/>
      <x:c r="D1787" s="1"/>
      <x:c r="E1787" s="1"/>
      <x:c r="F1787" s="1"/>
      <x:c r="G1787" s="1"/>
      <x:c r="H1787" s="1"/>
      <x:c r="I1787" s="1"/>
      <x:c r="J1787" s="1"/>
      <x:c r="K1787" s="1"/>
      <x:c r="L1787" s="1"/>
      <x:c r="M1787" s="1"/>
      <x:c r="N1787" s="1"/>
      <x:c r="O1787" s="1"/>
      <x:c r="P1787" s="1"/>
      <x:c r="Q1787" s="1"/>
      <x:c r="R1787" s="1"/>
      <x:c r="S1787" s="1"/>
      <x:c r="T1787" s="1"/>
      <x:c r="U1787" s="1"/>
      <x:c r="V1787" s="1"/>
    </x:row>
    <x:row r="1788">
      <x:c r="A1788" s="1"/>
      <x:c r="B1788" s="1"/>
      <x:c r="C1788" s="1"/>
      <x:c r="D1788" s="1"/>
      <x:c r="E1788" s="1"/>
      <x:c r="F1788" s="1"/>
      <x:c r="G1788" s="1"/>
      <x:c r="H1788" s="1"/>
      <x:c r="I1788" s="1"/>
      <x:c r="J1788" s="1"/>
      <x:c r="K1788" s="1"/>
      <x:c r="L1788" s="1"/>
      <x:c r="M1788" s="1"/>
      <x:c r="N1788" s="1"/>
      <x:c r="O1788" s="1"/>
      <x:c r="P1788" s="1"/>
      <x:c r="Q1788" s="1"/>
      <x:c r="R1788" s="1"/>
      <x:c r="S1788" s="1"/>
      <x:c r="T1788" s="1"/>
      <x:c r="U1788" s="1"/>
      <x:c r="V1788" s="1"/>
    </x:row>
    <x:row r="1789">
      <x:c r="A1789" s="1"/>
      <x:c r="B1789" s="1"/>
      <x:c r="C1789" s="1"/>
      <x:c r="D1789" s="1"/>
      <x:c r="E1789" s="1"/>
      <x:c r="F1789" s="1"/>
      <x:c r="G1789" s="1"/>
      <x:c r="H1789" s="1"/>
      <x:c r="I1789" s="1"/>
      <x:c r="J1789" s="1"/>
      <x:c r="K1789" s="1"/>
      <x:c r="L1789" s="1"/>
      <x:c r="M1789" s="1"/>
      <x:c r="N1789" s="1"/>
      <x:c r="O1789" s="1"/>
      <x:c r="P1789" s="1"/>
      <x:c r="Q1789" s="1"/>
      <x:c r="R1789" s="1"/>
      <x:c r="S1789" s="1"/>
      <x:c r="T1789" s="1"/>
      <x:c r="U1789" s="1"/>
      <x:c r="V1789" s="1"/>
    </x:row>
    <x:row r="1790">
      <x:c r="A1790" s="1"/>
      <x:c r="B1790" s="1"/>
      <x:c r="C1790" s="1"/>
      <x:c r="D1790" s="1"/>
      <x:c r="E1790" s="1"/>
      <x:c r="F1790" s="1"/>
      <x:c r="G1790" s="1"/>
      <x:c r="H1790" s="1"/>
      <x:c r="I1790" s="1"/>
      <x:c r="J1790" s="1"/>
      <x:c r="K1790" s="1"/>
      <x:c r="L1790" s="1"/>
      <x:c r="M1790" s="1"/>
      <x:c r="N1790" s="1"/>
      <x:c r="O1790" s="1"/>
      <x:c r="P1790" s="1"/>
      <x:c r="Q1790" s="1"/>
      <x:c r="R1790" s="1"/>
      <x:c r="S1790" s="1"/>
      <x:c r="T1790" s="1"/>
      <x:c r="U1790" s="1"/>
      <x:c r="V1790" s="1"/>
    </x:row>
    <x:row r="1791">
      <x:c r="A1791" s="1"/>
      <x:c r="B1791" s="1"/>
      <x:c r="C1791" s="1"/>
      <x:c r="D1791" s="1"/>
      <x:c r="E1791" s="1"/>
      <x:c r="F1791" s="1"/>
      <x:c r="G1791" s="1"/>
      <x:c r="H1791" s="1"/>
      <x:c r="I1791" s="1"/>
      <x:c r="J1791" s="1"/>
      <x:c r="K1791" s="1"/>
      <x:c r="L1791" s="1"/>
      <x:c r="M1791" s="1"/>
      <x:c r="N1791" s="1"/>
      <x:c r="O1791" s="1"/>
      <x:c r="P1791" s="1"/>
      <x:c r="Q1791" s="1"/>
      <x:c r="R1791" s="1"/>
      <x:c r="S1791" s="1"/>
      <x:c r="T1791" s="1"/>
      <x:c r="U1791" s="1"/>
      <x:c r="V1791" s="1"/>
    </x:row>
    <x:row r="1792">
      <x:c r="A1792" s="1"/>
      <x:c r="B1792" s="1"/>
      <x:c r="C1792" s="1"/>
      <x:c r="D1792" s="1"/>
      <x:c r="E1792" s="1"/>
      <x:c r="F1792" s="1"/>
      <x:c r="G1792" s="1"/>
      <x:c r="H1792" s="1"/>
      <x:c r="I1792" s="1"/>
      <x:c r="J1792" s="1"/>
      <x:c r="K1792" s="1"/>
      <x:c r="L1792" s="1"/>
      <x:c r="M1792" s="1"/>
      <x:c r="N1792" s="1"/>
      <x:c r="O1792" s="1"/>
      <x:c r="P1792" s="1"/>
      <x:c r="Q1792" s="1"/>
      <x:c r="R1792" s="1"/>
      <x:c r="S1792" s="1"/>
      <x:c r="T1792" s="1"/>
      <x:c r="U1792" s="1"/>
      <x:c r="V1792" s="1"/>
    </x:row>
    <x:row r="1793">
      <x:c r="A1793" s="1"/>
      <x:c r="B1793" s="1"/>
      <x:c r="C1793" s="1"/>
      <x:c r="D1793" s="1"/>
      <x:c r="E1793" s="1"/>
      <x:c r="F1793" s="1"/>
      <x:c r="G1793" s="1"/>
      <x:c r="H1793" s="1"/>
      <x:c r="I1793" s="1"/>
      <x:c r="J1793" s="1"/>
      <x:c r="K1793" s="1"/>
      <x:c r="L1793" s="1"/>
      <x:c r="M1793" s="1"/>
      <x:c r="N1793" s="1"/>
      <x:c r="O1793" s="1"/>
      <x:c r="P1793" s="1"/>
      <x:c r="Q1793" s="1"/>
      <x:c r="R1793" s="1"/>
      <x:c r="S1793" s="1"/>
      <x:c r="T1793" s="1"/>
      <x:c r="U1793" s="1"/>
      <x:c r="V1793" s="1"/>
    </x:row>
    <x:row r="1794">
      <x:c r="A1794" s="1"/>
      <x:c r="B1794" s="1"/>
      <x:c r="C1794" s="1"/>
      <x:c r="D1794" s="1"/>
      <x:c r="E1794" s="1"/>
      <x:c r="F1794" s="1"/>
      <x:c r="G1794" s="1"/>
      <x:c r="H1794" s="1"/>
      <x:c r="I1794" s="1"/>
      <x:c r="J1794" s="1"/>
      <x:c r="K1794" s="1"/>
      <x:c r="L1794" s="1"/>
      <x:c r="M1794" s="1"/>
      <x:c r="N1794" s="1"/>
      <x:c r="O1794" s="1"/>
      <x:c r="P1794" s="1"/>
      <x:c r="Q1794" s="1"/>
      <x:c r="R1794" s="1"/>
      <x:c r="S1794" s="1"/>
      <x:c r="T1794" s="1"/>
      <x:c r="U1794" s="1"/>
      <x:c r="V1794" s="1"/>
    </x:row>
    <x:row r="1795">
      <x:c r="A1795" s="1"/>
      <x:c r="B1795" s="1"/>
      <x:c r="C1795" s="1"/>
      <x:c r="D1795" s="1"/>
      <x:c r="E1795" s="1"/>
      <x:c r="F1795" s="1"/>
      <x:c r="G1795" s="1"/>
      <x:c r="H1795" s="1"/>
      <x:c r="I1795" s="1"/>
      <x:c r="J1795" s="1"/>
      <x:c r="K1795" s="1"/>
      <x:c r="L1795" s="1"/>
      <x:c r="M1795" s="1"/>
      <x:c r="N1795" s="1"/>
      <x:c r="O1795" s="1"/>
      <x:c r="P1795" s="1"/>
      <x:c r="Q1795" s="1"/>
      <x:c r="R1795" s="1"/>
      <x:c r="S1795" s="1"/>
      <x:c r="T1795" s="1"/>
      <x:c r="U1795" s="1"/>
      <x:c r="V1795" s="1"/>
    </x:row>
    <x:row r="1796">
      <x:c r="A1796" s="1"/>
      <x:c r="B1796" s="1"/>
      <x:c r="C1796" s="1"/>
      <x:c r="D1796" s="1"/>
      <x:c r="E1796" s="1"/>
      <x:c r="F1796" s="1"/>
      <x:c r="G1796" s="1"/>
      <x:c r="H1796" s="1"/>
      <x:c r="I1796" s="1"/>
      <x:c r="J1796" s="1"/>
      <x:c r="K1796" s="1"/>
      <x:c r="L1796" s="1"/>
      <x:c r="M1796" s="1"/>
      <x:c r="N1796" s="1"/>
      <x:c r="O1796" s="1"/>
      <x:c r="P1796" s="1"/>
      <x:c r="Q1796" s="1"/>
      <x:c r="R1796" s="1"/>
      <x:c r="S1796" s="1"/>
      <x:c r="T1796" s="1"/>
      <x:c r="U1796" s="1"/>
      <x:c r="V1796" s="1"/>
    </x:row>
    <x:row r="1797">
      <x:c r="A1797" s="1"/>
      <x:c r="B1797" s="1"/>
      <x:c r="C1797" s="1"/>
      <x:c r="D1797" s="1"/>
      <x:c r="E1797" s="1"/>
      <x:c r="F1797" s="1"/>
      <x:c r="G1797" s="1"/>
      <x:c r="H1797" s="1"/>
      <x:c r="I1797" s="1"/>
      <x:c r="J1797" s="1"/>
      <x:c r="K1797" s="1"/>
      <x:c r="L1797" s="1"/>
      <x:c r="M1797" s="1"/>
      <x:c r="N1797" s="1"/>
      <x:c r="O1797" s="1"/>
      <x:c r="P1797" s="1"/>
      <x:c r="Q1797" s="1"/>
      <x:c r="R1797" s="1"/>
      <x:c r="S1797" s="1"/>
      <x:c r="T1797" s="1"/>
      <x:c r="U1797" s="1"/>
      <x:c r="V1797" s="1"/>
    </x:row>
    <x:row r="1798">
      <x:c r="A1798" s="1"/>
      <x:c r="B1798" s="1"/>
      <x:c r="C1798" s="1"/>
      <x:c r="D1798" s="1"/>
      <x:c r="E1798" s="1"/>
      <x:c r="F1798" s="1"/>
      <x:c r="G1798" s="1"/>
      <x:c r="H1798" s="1"/>
      <x:c r="I1798" s="1"/>
      <x:c r="J1798" s="1"/>
      <x:c r="K1798" s="1"/>
      <x:c r="L1798" s="1"/>
      <x:c r="M1798" s="1"/>
      <x:c r="N1798" s="1"/>
      <x:c r="O1798" s="1"/>
      <x:c r="P1798" s="1"/>
      <x:c r="Q1798" s="1"/>
      <x:c r="R1798" s="1"/>
      <x:c r="S1798" s="1"/>
      <x:c r="T1798" s="1"/>
      <x:c r="U1798" s="1"/>
      <x:c r="V1798" s="1"/>
    </x:row>
    <x:row r="1799">
      <x:c r="A1799" s="1"/>
      <x:c r="B1799" s="1"/>
      <x:c r="C1799" s="1"/>
      <x:c r="D1799" s="1"/>
      <x:c r="E1799" s="1"/>
      <x:c r="F1799" s="1"/>
      <x:c r="G1799" s="1"/>
      <x:c r="H1799" s="1"/>
      <x:c r="I1799" s="1"/>
      <x:c r="J1799" s="1"/>
      <x:c r="K1799" s="1"/>
      <x:c r="L1799" s="1"/>
      <x:c r="M1799" s="1"/>
      <x:c r="N1799" s="1"/>
      <x:c r="O1799" s="1"/>
      <x:c r="P1799" s="1"/>
      <x:c r="Q1799" s="1"/>
      <x:c r="R1799" s="1"/>
      <x:c r="S1799" s="1"/>
      <x:c r="T1799" s="1"/>
      <x:c r="U1799" s="1"/>
      <x:c r="V1799" s="1"/>
    </x:row>
    <x:row r="1800">
      <x:c r="A1800" s="1"/>
      <x:c r="B1800" s="1"/>
      <x:c r="C1800" s="1"/>
      <x:c r="D1800" s="1"/>
      <x:c r="E1800" s="1"/>
      <x:c r="F1800" s="1"/>
      <x:c r="G1800" s="1"/>
      <x:c r="H1800" s="1"/>
      <x:c r="I1800" s="1"/>
      <x:c r="J1800" s="1"/>
      <x:c r="K1800" s="1"/>
      <x:c r="L1800" s="1"/>
      <x:c r="M1800" s="1"/>
      <x:c r="N1800" s="1"/>
      <x:c r="O1800" s="1"/>
      <x:c r="P1800" s="1"/>
      <x:c r="Q1800" s="1"/>
      <x:c r="R1800" s="1"/>
      <x:c r="S1800" s="1"/>
      <x:c r="T1800" s="1"/>
      <x:c r="U1800" s="1"/>
      <x:c r="V1800" s="1"/>
    </x:row>
    <x:row r="1801">
      <x:c r="A1801" s="1"/>
      <x:c r="B1801" s="1"/>
      <x:c r="C1801" s="1"/>
      <x:c r="D1801" s="1"/>
      <x:c r="E1801" s="1"/>
      <x:c r="F1801" s="1"/>
      <x:c r="G1801" s="1"/>
      <x:c r="H1801" s="1"/>
      <x:c r="I1801" s="1"/>
      <x:c r="J1801" s="1"/>
      <x:c r="K1801" s="1"/>
      <x:c r="L1801" s="1"/>
      <x:c r="M1801" s="1"/>
      <x:c r="N1801" s="1"/>
      <x:c r="O1801" s="1"/>
      <x:c r="P1801" s="1"/>
      <x:c r="Q1801" s="1"/>
      <x:c r="R1801" s="1"/>
      <x:c r="S1801" s="1"/>
      <x:c r="T1801" s="1"/>
      <x:c r="U1801" s="1"/>
      <x:c r="V1801" s="1"/>
    </x:row>
    <x:row r="1802">
      <x:c r="A1802" s="1"/>
      <x:c r="B1802" s="1"/>
      <x:c r="C1802" s="1"/>
      <x:c r="D1802" s="1"/>
      <x:c r="E1802" s="1"/>
      <x:c r="F1802" s="1"/>
      <x:c r="G1802" s="1"/>
      <x:c r="H1802" s="1"/>
      <x:c r="I1802" s="1"/>
      <x:c r="J1802" s="1"/>
      <x:c r="K1802" s="1"/>
      <x:c r="L1802" s="1"/>
      <x:c r="M1802" s="1"/>
      <x:c r="N1802" s="1"/>
      <x:c r="O1802" s="1"/>
      <x:c r="P1802" s="1"/>
      <x:c r="Q1802" s="1"/>
      <x:c r="R1802" s="1"/>
      <x:c r="S1802" s="1"/>
      <x:c r="T1802" s="1"/>
      <x:c r="U1802" s="1"/>
      <x:c r="V1802" s="1"/>
    </x:row>
    <x:row r="1803">
      <x:c r="A1803" s="1"/>
      <x:c r="B1803" s="1"/>
      <x:c r="C1803" s="1"/>
      <x:c r="D1803" s="1"/>
      <x:c r="E1803" s="1"/>
      <x:c r="F1803" s="1"/>
      <x:c r="G1803" s="1"/>
      <x:c r="H1803" s="1"/>
      <x:c r="I1803" s="1"/>
      <x:c r="J1803" s="1"/>
      <x:c r="K1803" s="1"/>
      <x:c r="L1803" s="1"/>
      <x:c r="M1803" s="1"/>
      <x:c r="N1803" s="1"/>
      <x:c r="O1803" s="1"/>
      <x:c r="P1803" s="1"/>
      <x:c r="Q1803" s="1"/>
      <x:c r="R1803" s="1"/>
      <x:c r="S1803" s="1"/>
      <x:c r="T1803" s="1"/>
      <x:c r="U1803" s="1"/>
      <x:c r="V1803" s="1"/>
    </x:row>
    <x:row r="1804">
      <x:c r="A1804" s="1"/>
      <x:c r="B1804" s="1"/>
      <x:c r="C1804" s="1"/>
      <x:c r="D1804" s="1"/>
      <x:c r="E1804" s="1"/>
      <x:c r="F1804" s="1"/>
      <x:c r="G1804" s="1"/>
      <x:c r="H1804" s="1"/>
      <x:c r="I1804" s="1"/>
      <x:c r="J1804" s="1"/>
      <x:c r="K1804" s="1"/>
      <x:c r="L1804" s="1"/>
      <x:c r="M1804" s="1"/>
      <x:c r="N1804" s="1"/>
      <x:c r="O1804" s="1"/>
      <x:c r="P1804" s="1"/>
      <x:c r="Q1804" s="1"/>
      <x:c r="R1804" s="1"/>
      <x:c r="S1804" s="1"/>
      <x:c r="T1804" s="1"/>
      <x:c r="U1804" s="1"/>
      <x:c r="V1804" s="1"/>
    </x:row>
    <x:row r="1805">
      <x:c r="A1805" s="1"/>
      <x:c r="B1805" s="1"/>
      <x:c r="C1805" s="1"/>
      <x:c r="D1805" s="1"/>
      <x:c r="E1805" s="1"/>
      <x:c r="F1805" s="1"/>
      <x:c r="G1805" s="1"/>
      <x:c r="H1805" s="1"/>
      <x:c r="I1805" s="1"/>
      <x:c r="J1805" s="1"/>
      <x:c r="K1805" s="1"/>
      <x:c r="L1805" s="1"/>
      <x:c r="M1805" s="1"/>
      <x:c r="N1805" s="1"/>
      <x:c r="O1805" s="1"/>
      <x:c r="P1805" s="1"/>
      <x:c r="Q1805" s="1"/>
      <x:c r="R1805" s="1"/>
      <x:c r="S1805" s="1"/>
      <x:c r="T1805" s="1"/>
      <x:c r="U1805" s="1"/>
      <x:c r="V1805" s="1"/>
    </x:row>
    <x:row r="1806">
      <x:c r="A1806" s="1"/>
      <x:c r="B1806" s="1"/>
      <x:c r="C1806" s="1"/>
      <x:c r="D1806" s="1"/>
      <x:c r="E1806" s="1"/>
      <x:c r="F1806" s="1"/>
      <x:c r="G1806" s="1"/>
      <x:c r="H1806" s="1"/>
      <x:c r="I1806" s="1"/>
      <x:c r="J1806" s="1"/>
      <x:c r="K1806" s="1"/>
      <x:c r="L1806" s="1"/>
      <x:c r="M1806" s="1"/>
      <x:c r="N1806" s="1"/>
      <x:c r="O1806" s="1"/>
      <x:c r="P1806" s="1"/>
      <x:c r="Q1806" s="1"/>
      <x:c r="R1806" s="1"/>
      <x:c r="S1806" s="1"/>
      <x:c r="T1806" s="1"/>
      <x:c r="U1806" s="1"/>
      <x:c r="V1806" s="1"/>
    </x:row>
    <x:row r="1807">
      <x:c r="A1807" s="1"/>
      <x:c r="B1807" s="1"/>
      <x:c r="C1807" s="1"/>
      <x:c r="D1807" s="1"/>
      <x:c r="E1807" s="1"/>
      <x:c r="F1807" s="1"/>
      <x:c r="G1807" s="1"/>
      <x:c r="H1807" s="1"/>
      <x:c r="I1807" s="1"/>
      <x:c r="J1807" s="1"/>
      <x:c r="K1807" s="1"/>
      <x:c r="L1807" s="1"/>
      <x:c r="M1807" s="1"/>
      <x:c r="N1807" s="1"/>
      <x:c r="O1807" s="1"/>
      <x:c r="P1807" s="1"/>
      <x:c r="Q1807" s="1"/>
      <x:c r="R1807" s="1"/>
      <x:c r="S1807" s="1"/>
      <x:c r="T1807" s="1"/>
      <x:c r="U1807" s="1"/>
      <x:c r="V1807" s="1"/>
    </x:row>
    <x:row r="1808">
      <x:c r="A1808" s="1"/>
      <x:c r="B1808" s="1"/>
      <x:c r="C1808" s="1"/>
      <x:c r="D1808" s="1"/>
      <x:c r="E1808" s="1"/>
      <x:c r="F1808" s="1"/>
      <x:c r="G1808" s="1"/>
      <x:c r="H1808" s="1"/>
      <x:c r="I1808" s="1"/>
      <x:c r="J1808" s="1"/>
      <x:c r="K1808" s="1"/>
      <x:c r="L1808" s="1"/>
      <x:c r="M1808" s="1"/>
      <x:c r="N1808" s="1"/>
      <x:c r="O1808" s="1"/>
      <x:c r="P1808" s="1"/>
      <x:c r="Q1808" s="1"/>
      <x:c r="R1808" s="1"/>
      <x:c r="S1808" s="1"/>
      <x:c r="T1808" s="1"/>
      <x:c r="U1808" s="1"/>
      <x:c r="V1808" s="1"/>
    </x:row>
    <x:row r="1809">
      <x:c r="A1809" s="1"/>
      <x:c r="B1809" s="1"/>
      <x:c r="C1809" s="1"/>
      <x:c r="D1809" s="1"/>
      <x:c r="E1809" s="1"/>
      <x:c r="F1809" s="1"/>
      <x:c r="G1809" s="1"/>
      <x:c r="H1809" s="1"/>
      <x:c r="I1809" s="1"/>
      <x:c r="J1809" s="1"/>
      <x:c r="K1809" s="1"/>
      <x:c r="L1809" s="1"/>
      <x:c r="M1809" s="1"/>
      <x:c r="N1809" s="1"/>
      <x:c r="O1809" s="1"/>
      <x:c r="P1809" s="1"/>
      <x:c r="Q1809" s="1"/>
      <x:c r="R1809" s="1"/>
      <x:c r="S1809" s="1"/>
      <x:c r="T1809" s="1"/>
      <x:c r="U1809" s="1"/>
      <x:c r="V1809" s="1"/>
    </x:row>
    <x:row r="1810">
      <x:c r="A1810" s="1"/>
      <x:c r="B1810" s="1"/>
      <x:c r="C1810" s="1"/>
      <x:c r="D1810" s="1"/>
      <x:c r="E1810" s="1"/>
      <x:c r="F1810" s="1"/>
      <x:c r="G1810" s="1"/>
      <x:c r="H1810" s="1"/>
      <x:c r="I1810" s="1"/>
      <x:c r="J1810" s="1"/>
      <x:c r="K1810" s="1"/>
      <x:c r="L1810" s="1"/>
      <x:c r="M1810" s="1"/>
      <x:c r="N1810" s="1"/>
      <x:c r="O1810" s="1"/>
      <x:c r="P1810" s="1"/>
      <x:c r="Q1810" s="1"/>
      <x:c r="R1810" s="1"/>
      <x:c r="S1810" s="1"/>
      <x:c r="T1810" s="1"/>
      <x:c r="U1810" s="1"/>
      <x:c r="V1810" s="1"/>
    </x:row>
    <x:row r="1811">
      <x:c r="A1811" s="1"/>
      <x:c r="B1811" s="1"/>
      <x:c r="C1811" s="1"/>
      <x:c r="D1811" s="1"/>
      <x:c r="E1811" s="1"/>
      <x:c r="F1811" s="1"/>
      <x:c r="G1811" s="1"/>
      <x:c r="H1811" s="1"/>
      <x:c r="I1811" s="1"/>
      <x:c r="J1811" s="1"/>
      <x:c r="K1811" s="1"/>
      <x:c r="L1811" s="1"/>
      <x:c r="M1811" s="1"/>
      <x:c r="N1811" s="1"/>
      <x:c r="O1811" s="1"/>
      <x:c r="P1811" s="1"/>
      <x:c r="Q1811" s="1"/>
      <x:c r="R1811" s="1"/>
      <x:c r="S1811" s="1"/>
      <x:c r="T1811" s="1"/>
      <x:c r="U1811" s="1"/>
      <x:c r="V1811" s="1"/>
    </x:row>
    <x:row r="1812">
      <x:c r="A1812" s="1"/>
      <x:c r="B1812" s="1"/>
      <x:c r="C1812" s="1"/>
      <x:c r="D1812" s="1"/>
      <x:c r="E1812" s="1"/>
      <x:c r="F1812" s="1"/>
      <x:c r="G1812" s="1"/>
      <x:c r="H1812" s="1"/>
      <x:c r="I1812" s="1"/>
      <x:c r="J1812" s="1"/>
      <x:c r="K1812" s="1"/>
      <x:c r="L1812" s="1"/>
      <x:c r="M1812" s="1"/>
      <x:c r="N1812" s="1"/>
      <x:c r="O1812" s="1"/>
      <x:c r="P1812" s="1"/>
      <x:c r="Q1812" s="1"/>
      <x:c r="R1812" s="1"/>
      <x:c r="S1812" s="1"/>
      <x:c r="T1812" s="1"/>
      <x:c r="U1812" s="1"/>
      <x:c r="V1812" s="1"/>
    </x:row>
    <x:row r="1813">
      <x:c r="A1813" s="1"/>
      <x:c r="B1813" s="1"/>
      <x:c r="C1813" s="1"/>
      <x:c r="D1813" s="1"/>
      <x:c r="E1813" s="1"/>
      <x:c r="F1813" s="1"/>
      <x:c r="G1813" s="1"/>
      <x:c r="H1813" s="1"/>
      <x:c r="I1813" s="1"/>
      <x:c r="J1813" s="1"/>
      <x:c r="K1813" s="1"/>
      <x:c r="L1813" s="1"/>
      <x:c r="M1813" s="1"/>
      <x:c r="N1813" s="1"/>
      <x:c r="O1813" s="1"/>
      <x:c r="P1813" s="1"/>
      <x:c r="Q1813" s="1"/>
      <x:c r="R1813" s="1"/>
      <x:c r="S1813" s="1"/>
      <x:c r="T1813" s="1"/>
      <x:c r="U1813" s="1"/>
      <x:c r="V1813" s="1"/>
    </x:row>
    <x:row r="1814">
      <x:c r="A1814" s="1"/>
      <x:c r="B1814" s="1"/>
      <x:c r="C1814" s="1"/>
      <x:c r="D1814" s="1"/>
      <x:c r="E1814" s="1"/>
      <x:c r="F1814" s="1"/>
      <x:c r="G1814" s="1"/>
      <x:c r="H1814" s="1"/>
      <x:c r="I1814" s="1"/>
      <x:c r="J1814" s="1"/>
      <x:c r="K1814" s="1"/>
      <x:c r="L1814" s="1"/>
      <x:c r="M1814" s="1"/>
      <x:c r="N1814" s="1"/>
      <x:c r="O1814" s="1"/>
      <x:c r="P1814" s="1"/>
      <x:c r="Q1814" s="1"/>
      <x:c r="R1814" s="1"/>
      <x:c r="S1814" s="1"/>
      <x:c r="T1814" s="1"/>
      <x:c r="U1814" s="1"/>
      <x:c r="V1814" s="1"/>
    </x:row>
    <x:row r="1815">
      <x:c r="A1815" s="1"/>
      <x:c r="B1815" s="1"/>
      <x:c r="C1815" s="1"/>
      <x:c r="D1815" s="1"/>
      <x:c r="E1815" s="1"/>
      <x:c r="F1815" s="1"/>
      <x:c r="G1815" s="1"/>
      <x:c r="H1815" s="1"/>
      <x:c r="I1815" s="1"/>
      <x:c r="J1815" s="1"/>
      <x:c r="K1815" s="1"/>
      <x:c r="L1815" s="1"/>
      <x:c r="M1815" s="1"/>
      <x:c r="N1815" s="1"/>
      <x:c r="O1815" s="1"/>
      <x:c r="P1815" s="1"/>
      <x:c r="Q1815" s="1"/>
      <x:c r="R1815" s="1"/>
      <x:c r="S1815" s="1"/>
      <x:c r="T1815" s="1"/>
      <x:c r="U1815" s="1"/>
      <x:c r="V1815" s="1"/>
    </x:row>
    <x:row r="1816">
      <x:c r="A1816" s="1"/>
      <x:c r="B1816" s="1"/>
      <x:c r="C1816" s="1"/>
      <x:c r="D1816" s="1"/>
      <x:c r="E1816" s="1"/>
      <x:c r="F1816" s="1"/>
      <x:c r="G1816" s="1"/>
      <x:c r="H1816" s="1"/>
      <x:c r="I1816" s="1"/>
      <x:c r="J1816" s="1"/>
      <x:c r="K1816" s="1"/>
      <x:c r="L1816" s="1"/>
      <x:c r="M1816" s="1"/>
      <x:c r="N1816" s="1"/>
      <x:c r="O1816" s="1"/>
      <x:c r="P1816" s="1"/>
      <x:c r="Q1816" s="1"/>
      <x:c r="R1816" s="1"/>
      <x:c r="S1816" s="1"/>
      <x:c r="T1816" s="1"/>
      <x:c r="U1816" s="1"/>
      <x:c r="V1816" s="1"/>
    </x:row>
    <x:row r="1817">
      <x:c r="A1817" s="1"/>
      <x:c r="B1817" s="1"/>
      <x:c r="C1817" s="1"/>
      <x:c r="D1817" s="1"/>
      <x:c r="E1817" s="1"/>
      <x:c r="F1817" s="1"/>
      <x:c r="G1817" s="1"/>
      <x:c r="H1817" s="1"/>
      <x:c r="I1817" s="1"/>
      <x:c r="J1817" s="1"/>
      <x:c r="K1817" s="1"/>
      <x:c r="L1817" s="1"/>
      <x:c r="M1817" s="1"/>
      <x:c r="N1817" s="1"/>
      <x:c r="O1817" s="1"/>
      <x:c r="P1817" s="1"/>
      <x:c r="Q1817" s="1"/>
      <x:c r="R1817" s="1"/>
      <x:c r="S1817" s="1"/>
      <x:c r="T1817" s="1"/>
      <x:c r="U1817" s="1"/>
      <x:c r="V1817" s="1"/>
    </x:row>
    <x:row r="1818">
      <x:c r="A1818" s="1"/>
      <x:c r="B1818" s="1"/>
      <x:c r="C1818" s="1"/>
      <x:c r="D1818" s="1"/>
      <x:c r="E1818" s="1"/>
      <x:c r="F1818" s="1"/>
      <x:c r="G1818" s="1"/>
      <x:c r="H1818" s="1"/>
      <x:c r="I1818" s="1"/>
      <x:c r="J1818" s="1"/>
      <x:c r="K1818" s="1"/>
      <x:c r="L1818" s="1"/>
      <x:c r="M1818" s="1"/>
      <x:c r="N1818" s="1"/>
      <x:c r="O1818" s="1"/>
      <x:c r="P1818" s="1"/>
      <x:c r="Q1818" s="1"/>
      <x:c r="R1818" s="1"/>
      <x:c r="S1818" s="1"/>
      <x:c r="T1818" s="1"/>
      <x:c r="U1818" s="1"/>
      <x:c r="V1818" s="1"/>
    </x:row>
    <x:row r="1819">
      <x:c r="A1819" s="1"/>
      <x:c r="B1819" s="1"/>
      <x:c r="C1819" s="1"/>
      <x:c r="D1819" s="1"/>
      <x:c r="E1819" s="1"/>
      <x:c r="F1819" s="1"/>
      <x:c r="G1819" s="1"/>
      <x:c r="H1819" s="1"/>
      <x:c r="I1819" s="1"/>
      <x:c r="J1819" s="1"/>
      <x:c r="K1819" s="1"/>
      <x:c r="L1819" s="1"/>
      <x:c r="M1819" s="1"/>
      <x:c r="N1819" s="1"/>
      <x:c r="O1819" s="1"/>
      <x:c r="P1819" s="1"/>
      <x:c r="Q1819" s="1"/>
      <x:c r="R1819" s="1"/>
      <x:c r="S1819" s="1"/>
      <x:c r="T1819" s="1"/>
      <x:c r="U1819" s="1"/>
      <x:c r="V1819" s="1"/>
    </x:row>
    <x:row r="1820">
      <x:c r="A1820" s="1"/>
      <x:c r="B1820" s="1"/>
      <x:c r="C1820" s="1"/>
      <x:c r="D1820" s="1"/>
      <x:c r="E1820" s="1"/>
      <x:c r="F1820" s="1"/>
      <x:c r="G1820" s="1"/>
      <x:c r="H1820" s="1"/>
      <x:c r="I1820" s="1"/>
      <x:c r="J1820" s="1"/>
      <x:c r="K1820" s="1"/>
      <x:c r="L1820" s="1"/>
      <x:c r="M1820" s="1"/>
      <x:c r="N1820" s="1"/>
      <x:c r="O1820" s="1"/>
      <x:c r="P1820" s="1"/>
      <x:c r="Q1820" s="1"/>
      <x:c r="R1820" s="1"/>
      <x:c r="S1820" s="1"/>
      <x:c r="T1820" s="1"/>
      <x:c r="U1820" s="1"/>
      <x:c r="V1820" s="1"/>
    </x:row>
    <x:row r="1821">
      <x:c r="A1821" s="1"/>
      <x:c r="B1821" s="1"/>
      <x:c r="C1821" s="1"/>
      <x:c r="D1821" s="1"/>
      <x:c r="E1821" s="1"/>
      <x:c r="F1821" s="1"/>
      <x:c r="G1821" s="1"/>
      <x:c r="H1821" s="1"/>
      <x:c r="I1821" s="1"/>
      <x:c r="J1821" s="1"/>
      <x:c r="K1821" s="1"/>
      <x:c r="L1821" s="1"/>
      <x:c r="M1821" s="1"/>
      <x:c r="N1821" s="1"/>
      <x:c r="O1821" s="1"/>
      <x:c r="P1821" s="1"/>
      <x:c r="Q1821" s="1"/>
      <x:c r="R1821" s="1"/>
      <x:c r="S1821" s="1"/>
      <x:c r="T1821" s="1"/>
      <x:c r="U1821" s="1"/>
      <x:c r="V1821" s="1"/>
    </x:row>
    <x:row r="1822">
      <x:c r="A1822" s="1"/>
      <x:c r="B1822" s="1"/>
      <x:c r="C1822" s="1"/>
      <x:c r="D1822" s="1"/>
      <x:c r="E1822" s="1"/>
      <x:c r="F1822" s="1"/>
      <x:c r="G1822" s="1"/>
      <x:c r="H1822" s="1"/>
      <x:c r="I1822" s="1"/>
      <x:c r="J1822" s="1"/>
      <x:c r="K1822" s="1"/>
      <x:c r="L1822" s="1"/>
      <x:c r="M1822" s="1"/>
      <x:c r="N1822" s="1"/>
      <x:c r="O1822" s="1"/>
      <x:c r="P1822" s="1"/>
      <x:c r="Q1822" s="1"/>
      <x:c r="R1822" s="1"/>
      <x:c r="S1822" s="1"/>
      <x:c r="T1822" s="1"/>
      <x:c r="U1822" s="1"/>
      <x:c r="V1822" s="1"/>
    </x:row>
    <x:row r="1823">
      <x:c r="A1823" s="1"/>
      <x:c r="B1823" s="1"/>
      <x:c r="C1823" s="1"/>
      <x:c r="D1823" s="1"/>
      <x:c r="E1823" s="1"/>
      <x:c r="F1823" s="1"/>
      <x:c r="G1823" s="1"/>
      <x:c r="H1823" s="1"/>
      <x:c r="I1823" s="1"/>
      <x:c r="J1823" s="1"/>
      <x:c r="K1823" s="1"/>
      <x:c r="L1823" s="1"/>
      <x:c r="M1823" s="1"/>
      <x:c r="N1823" s="1"/>
      <x:c r="O1823" s="1"/>
      <x:c r="P1823" s="1"/>
      <x:c r="Q1823" s="1"/>
      <x:c r="R1823" s="1"/>
      <x:c r="S1823" s="1"/>
      <x:c r="T1823" s="1"/>
      <x:c r="U1823" s="1"/>
      <x:c r="V1823" s="1"/>
    </x:row>
    <x:row r="1824">
      <x:c r="A1824" s="1"/>
      <x:c r="B1824" s="1"/>
      <x:c r="C1824" s="1"/>
      <x:c r="D1824" s="1"/>
      <x:c r="E1824" s="1"/>
      <x:c r="F1824" s="1"/>
      <x:c r="G1824" s="1"/>
      <x:c r="H1824" s="1"/>
      <x:c r="I1824" s="1"/>
      <x:c r="J1824" s="1"/>
      <x:c r="K1824" s="1"/>
      <x:c r="L1824" s="1"/>
      <x:c r="M1824" s="1"/>
      <x:c r="N1824" s="1"/>
      <x:c r="O1824" s="1"/>
      <x:c r="P1824" s="1"/>
      <x:c r="Q1824" s="1"/>
      <x:c r="R1824" s="1"/>
      <x:c r="S1824" s="1"/>
      <x:c r="T1824" s="1"/>
      <x:c r="U1824" s="1"/>
      <x:c r="V1824" s="1"/>
    </x:row>
    <x:row r="1825">
      <x:c r="A1825" s="1"/>
      <x:c r="B1825" s="1"/>
      <x:c r="C1825" s="1"/>
      <x:c r="D1825" s="1"/>
      <x:c r="E1825" s="1"/>
      <x:c r="F1825" s="1"/>
      <x:c r="G1825" s="1"/>
      <x:c r="H1825" s="1"/>
      <x:c r="I1825" s="1"/>
      <x:c r="J1825" s="1"/>
      <x:c r="K1825" s="1"/>
      <x:c r="L1825" s="1"/>
      <x:c r="M1825" s="1"/>
      <x:c r="N1825" s="1"/>
      <x:c r="O1825" s="1"/>
      <x:c r="P1825" s="1"/>
      <x:c r="Q1825" s="1"/>
      <x:c r="R1825" s="1"/>
      <x:c r="S1825" s="1"/>
      <x:c r="T1825" s="1"/>
      <x:c r="U1825" s="1"/>
      <x:c r="V1825" s="1"/>
    </x:row>
    <x:row r="1826">
      <x:c r="A1826" s="1"/>
      <x:c r="B1826" s="1"/>
      <x:c r="C1826" s="1"/>
      <x:c r="D1826" s="1"/>
      <x:c r="E1826" s="1"/>
      <x:c r="F1826" s="1"/>
      <x:c r="G1826" s="1"/>
      <x:c r="H1826" s="1"/>
      <x:c r="I1826" s="1"/>
      <x:c r="J1826" s="1"/>
      <x:c r="K1826" s="1"/>
      <x:c r="L1826" s="1"/>
      <x:c r="M1826" s="1"/>
      <x:c r="N1826" s="1"/>
      <x:c r="O1826" s="1"/>
      <x:c r="P1826" s="1"/>
      <x:c r="Q1826" s="1"/>
      <x:c r="R1826" s="1"/>
      <x:c r="S1826" s="1"/>
      <x:c r="T1826" s="1"/>
      <x:c r="U1826" s="1"/>
      <x:c r="V1826" s="1"/>
    </x:row>
    <x:row r="1827">
      <x:c r="A1827" s="1"/>
      <x:c r="B1827" s="1"/>
      <x:c r="C1827" s="1"/>
      <x:c r="D1827" s="1"/>
      <x:c r="E1827" s="1"/>
      <x:c r="F1827" s="1"/>
      <x:c r="G1827" s="1"/>
      <x:c r="H1827" s="1"/>
      <x:c r="I1827" s="1"/>
      <x:c r="J1827" s="1"/>
      <x:c r="K1827" s="1"/>
      <x:c r="L1827" s="1"/>
      <x:c r="M1827" s="1"/>
      <x:c r="N1827" s="1"/>
      <x:c r="O1827" s="1"/>
      <x:c r="P1827" s="1"/>
      <x:c r="Q1827" s="1"/>
      <x:c r="R1827" s="1"/>
      <x:c r="S1827" s="1"/>
      <x:c r="T1827" s="1"/>
      <x:c r="U1827" s="1"/>
      <x:c r="V1827" s="1"/>
    </x:row>
    <x:row r="1828">
      <x:c r="A1828" s="1"/>
      <x:c r="B1828" s="1"/>
      <x:c r="C1828" s="1"/>
      <x:c r="D1828" s="1"/>
      <x:c r="E1828" s="1"/>
      <x:c r="F1828" s="1"/>
      <x:c r="G1828" s="1"/>
      <x:c r="H1828" s="1"/>
      <x:c r="I1828" s="1"/>
      <x:c r="J1828" s="1"/>
      <x:c r="K1828" s="1"/>
      <x:c r="L1828" s="1"/>
      <x:c r="M1828" s="1"/>
      <x:c r="N1828" s="1"/>
      <x:c r="O1828" s="1"/>
      <x:c r="P1828" s="1"/>
      <x:c r="Q1828" s="1"/>
      <x:c r="R1828" s="1"/>
      <x:c r="S1828" s="1"/>
      <x:c r="T1828" s="1"/>
      <x:c r="U1828" s="1"/>
      <x:c r="V1828" s="1"/>
    </x:row>
    <x:row r="1829">
      <x:c r="A1829" s="1"/>
      <x:c r="B1829" s="1"/>
      <x:c r="C1829" s="1"/>
      <x:c r="D1829" s="1"/>
      <x:c r="E1829" s="1"/>
      <x:c r="F1829" s="1"/>
      <x:c r="G1829" s="1"/>
      <x:c r="H1829" s="1"/>
      <x:c r="I1829" s="1"/>
      <x:c r="J1829" s="1"/>
      <x:c r="K1829" s="1"/>
      <x:c r="L1829" s="1"/>
      <x:c r="M1829" s="1"/>
      <x:c r="N1829" s="1"/>
      <x:c r="O1829" s="1"/>
      <x:c r="P1829" s="1"/>
      <x:c r="Q1829" s="1"/>
      <x:c r="R1829" s="1"/>
      <x:c r="S1829" s="1"/>
      <x:c r="T1829" s="1"/>
      <x:c r="U1829" s="1"/>
      <x:c r="V1829" s="1"/>
    </x:row>
    <x:row r="1830">
      <x:c r="A1830" s="1"/>
      <x:c r="B1830" s="1"/>
      <x:c r="C1830" s="1"/>
      <x:c r="D1830" s="1"/>
      <x:c r="E1830" s="1"/>
      <x:c r="F1830" s="1"/>
      <x:c r="G1830" s="1"/>
      <x:c r="H1830" s="1"/>
      <x:c r="I1830" s="1"/>
      <x:c r="J1830" s="1"/>
      <x:c r="K1830" s="1"/>
      <x:c r="L1830" s="1"/>
      <x:c r="M1830" s="1"/>
      <x:c r="N1830" s="1"/>
      <x:c r="O1830" s="1"/>
      <x:c r="P1830" s="1"/>
      <x:c r="Q1830" s="1"/>
      <x:c r="R1830" s="1"/>
      <x:c r="S1830" s="1"/>
      <x:c r="T1830" s="1"/>
      <x:c r="U1830" s="1"/>
      <x:c r="V1830" s="1"/>
    </x:row>
    <x:row r="1831">
      <x:c r="A1831" s="1"/>
      <x:c r="B1831" s="1"/>
      <x:c r="C1831" s="1"/>
      <x:c r="D1831" s="1"/>
      <x:c r="E1831" s="1"/>
      <x:c r="F1831" s="1"/>
      <x:c r="G1831" s="1"/>
      <x:c r="H1831" s="1"/>
      <x:c r="I1831" s="1"/>
      <x:c r="J1831" s="1"/>
      <x:c r="K1831" s="1"/>
      <x:c r="L1831" s="1"/>
      <x:c r="M1831" s="1"/>
      <x:c r="N1831" s="1"/>
      <x:c r="O1831" s="1"/>
      <x:c r="P1831" s="1"/>
      <x:c r="Q1831" s="1"/>
      <x:c r="R1831" s="1"/>
      <x:c r="S1831" s="1"/>
      <x:c r="T1831" s="1"/>
      <x:c r="U1831" s="1"/>
      <x:c r="V1831" s="1"/>
    </x:row>
    <x:row r="1832">
      <x:c r="A1832" s="1"/>
      <x:c r="B1832" s="1"/>
      <x:c r="C1832" s="1"/>
      <x:c r="D1832" s="1"/>
      <x:c r="E1832" s="1"/>
      <x:c r="F1832" s="1"/>
      <x:c r="G1832" s="1"/>
      <x:c r="H1832" s="1"/>
      <x:c r="I1832" s="1"/>
      <x:c r="J1832" s="1"/>
      <x:c r="K1832" s="1"/>
      <x:c r="L1832" s="1"/>
      <x:c r="M1832" s="1"/>
      <x:c r="N1832" s="1"/>
      <x:c r="O1832" s="1"/>
      <x:c r="P1832" s="1"/>
      <x:c r="Q1832" s="1"/>
      <x:c r="R1832" s="1"/>
      <x:c r="S1832" s="1"/>
      <x:c r="T1832" s="1"/>
      <x:c r="U1832" s="1"/>
      <x:c r="V1832" s="1"/>
    </x:row>
    <x:row r="1833">
      <x:c r="A1833" s="1"/>
      <x:c r="B1833" s="1"/>
      <x:c r="C1833" s="1"/>
      <x:c r="D1833" s="1"/>
      <x:c r="E1833" s="1"/>
      <x:c r="F1833" s="1"/>
      <x:c r="G1833" s="1"/>
      <x:c r="H1833" s="1"/>
      <x:c r="I1833" s="1"/>
      <x:c r="J1833" s="1"/>
      <x:c r="K1833" s="1"/>
      <x:c r="L1833" s="1"/>
      <x:c r="M1833" s="1"/>
      <x:c r="N1833" s="1"/>
      <x:c r="O1833" s="1"/>
      <x:c r="P1833" s="1"/>
      <x:c r="Q1833" s="1"/>
      <x:c r="R1833" s="1"/>
      <x:c r="S1833" s="1"/>
      <x:c r="T1833" s="1"/>
      <x:c r="U1833" s="1"/>
      <x:c r="V1833" s="1"/>
    </x:row>
    <x:row r="1834">
      <x:c r="A1834" s="1"/>
      <x:c r="B1834" s="1"/>
      <x:c r="C1834" s="1"/>
      <x:c r="D1834" s="1"/>
      <x:c r="E1834" s="1"/>
      <x:c r="F1834" s="1"/>
      <x:c r="G1834" s="1"/>
      <x:c r="H1834" s="1"/>
      <x:c r="I1834" s="1"/>
      <x:c r="J1834" s="1"/>
      <x:c r="K1834" s="1"/>
      <x:c r="L1834" s="1"/>
      <x:c r="M1834" s="1"/>
      <x:c r="N1834" s="1"/>
      <x:c r="O1834" s="1"/>
      <x:c r="P1834" s="1"/>
      <x:c r="Q1834" s="1"/>
      <x:c r="R1834" s="1"/>
      <x:c r="S1834" s="1"/>
      <x:c r="T1834" s="1"/>
      <x:c r="U1834" s="1"/>
      <x:c r="V1834" s="1"/>
    </x:row>
    <x:row r="1835">
      <x:c r="A1835" s="1"/>
      <x:c r="B1835" s="1"/>
      <x:c r="C1835" s="1"/>
      <x:c r="D1835" s="1"/>
      <x:c r="E1835" s="1"/>
      <x:c r="F1835" s="1"/>
      <x:c r="G1835" s="1"/>
      <x:c r="H1835" s="1"/>
      <x:c r="I1835" s="1"/>
      <x:c r="J1835" s="1"/>
      <x:c r="K1835" s="1"/>
      <x:c r="L1835" s="1"/>
      <x:c r="M1835" s="1"/>
      <x:c r="N1835" s="1"/>
      <x:c r="O1835" s="1"/>
      <x:c r="P1835" s="1"/>
      <x:c r="Q1835" s="1"/>
      <x:c r="R1835" s="1"/>
      <x:c r="S1835" s="1"/>
      <x:c r="T1835" s="1"/>
      <x:c r="U1835" s="1"/>
      <x:c r="V1835" s="1"/>
    </x:row>
    <x:row r="1836">
      <x:c r="A1836" s="1"/>
      <x:c r="B1836" s="1"/>
      <x:c r="C1836" s="1"/>
      <x:c r="D1836" s="1"/>
      <x:c r="E1836" s="1"/>
      <x:c r="F1836" s="1"/>
      <x:c r="G1836" s="1"/>
      <x:c r="H1836" s="1"/>
      <x:c r="I1836" s="1"/>
      <x:c r="J1836" s="1"/>
      <x:c r="K1836" s="1"/>
      <x:c r="L1836" s="1"/>
      <x:c r="M1836" s="1"/>
      <x:c r="N1836" s="1"/>
      <x:c r="O1836" s="1"/>
      <x:c r="P1836" s="1"/>
      <x:c r="Q1836" s="1"/>
      <x:c r="R1836" s="1"/>
      <x:c r="S1836" s="1"/>
      <x:c r="T1836" s="1"/>
      <x:c r="U1836" s="1"/>
      <x:c r="V1836" s="1"/>
    </x:row>
    <x:row r="1837">
      <x:c r="A1837" s="1"/>
      <x:c r="B1837" s="1"/>
      <x:c r="C1837" s="1"/>
      <x:c r="D1837" s="1"/>
      <x:c r="E1837" s="1"/>
      <x:c r="F1837" s="1"/>
      <x:c r="G1837" s="1"/>
      <x:c r="H1837" s="1"/>
      <x:c r="I1837" s="1"/>
      <x:c r="J1837" s="1"/>
      <x:c r="K1837" s="1"/>
      <x:c r="L1837" s="1"/>
      <x:c r="M1837" s="1"/>
      <x:c r="N1837" s="1"/>
      <x:c r="O1837" s="1"/>
      <x:c r="P1837" s="1"/>
      <x:c r="Q1837" s="1"/>
      <x:c r="R1837" s="1"/>
      <x:c r="S1837" s="1"/>
      <x:c r="T1837" s="1"/>
      <x:c r="U1837" s="1"/>
      <x:c r="V1837" s="1"/>
    </x:row>
    <x:row r="1838">
      <x:c r="A1838" s="1"/>
      <x:c r="B1838" s="1"/>
      <x:c r="C1838" s="1"/>
      <x:c r="D1838" s="1"/>
      <x:c r="E1838" s="1"/>
      <x:c r="F1838" s="1"/>
      <x:c r="G1838" s="1"/>
      <x:c r="H1838" s="1"/>
      <x:c r="I1838" s="1"/>
      <x:c r="J1838" s="1"/>
      <x:c r="K1838" s="1"/>
      <x:c r="L1838" s="1"/>
      <x:c r="M1838" s="1"/>
      <x:c r="N1838" s="1"/>
      <x:c r="O1838" s="1"/>
      <x:c r="P1838" s="1"/>
      <x:c r="Q1838" s="1"/>
      <x:c r="R1838" s="1"/>
      <x:c r="S1838" s="1"/>
      <x:c r="T1838" s="1"/>
      <x:c r="U1838" s="1"/>
      <x:c r="V1838" s="1"/>
    </x:row>
    <x:row r="1839">
      <x:c r="A1839" s="1"/>
      <x:c r="B1839" s="1"/>
      <x:c r="C1839" s="1"/>
      <x:c r="D1839" s="1"/>
      <x:c r="E1839" s="1"/>
      <x:c r="F1839" s="1"/>
      <x:c r="G1839" s="1"/>
      <x:c r="H1839" s="1"/>
      <x:c r="I1839" s="1"/>
      <x:c r="J1839" s="1"/>
      <x:c r="K1839" s="1"/>
      <x:c r="L1839" s="1"/>
      <x:c r="M1839" s="1"/>
      <x:c r="N1839" s="1"/>
      <x:c r="O1839" s="1"/>
      <x:c r="P1839" s="1"/>
      <x:c r="Q1839" s="1"/>
      <x:c r="R1839" s="1"/>
      <x:c r="S1839" s="1"/>
      <x:c r="T1839" s="1"/>
      <x:c r="U1839" s="1"/>
      <x:c r="V1839" s="1"/>
    </x:row>
    <x:row r="1840">
      <x:c r="A1840" s="1"/>
      <x:c r="B1840" s="1"/>
      <x:c r="C1840" s="1"/>
      <x:c r="D1840" s="1"/>
      <x:c r="E1840" s="1"/>
      <x:c r="F1840" s="1"/>
      <x:c r="G1840" s="1"/>
      <x:c r="H1840" s="1"/>
      <x:c r="I1840" s="1"/>
      <x:c r="J1840" s="1"/>
      <x:c r="K1840" s="1"/>
      <x:c r="L1840" s="1"/>
      <x:c r="M1840" s="1"/>
      <x:c r="N1840" s="1"/>
      <x:c r="O1840" s="1"/>
      <x:c r="P1840" s="1"/>
      <x:c r="Q1840" s="1"/>
      <x:c r="R1840" s="1"/>
      <x:c r="S1840" s="1"/>
      <x:c r="T1840" s="1"/>
      <x:c r="U1840" s="1"/>
      <x:c r="V1840" s="1"/>
    </x:row>
    <x:row r="1841">
      <x:c r="A1841" s="1"/>
      <x:c r="B1841" s="1"/>
      <x:c r="C1841" s="1"/>
      <x:c r="D1841" s="1"/>
      <x:c r="E1841" s="1"/>
      <x:c r="F1841" s="1"/>
      <x:c r="G1841" s="1"/>
      <x:c r="H1841" s="1"/>
      <x:c r="I1841" s="1"/>
      <x:c r="J1841" s="1"/>
      <x:c r="K1841" s="1"/>
      <x:c r="L1841" s="1"/>
      <x:c r="M1841" s="1"/>
      <x:c r="N1841" s="1"/>
      <x:c r="O1841" s="1"/>
      <x:c r="P1841" s="1"/>
      <x:c r="Q1841" s="1"/>
      <x:c r="R1841" s="1"/>
      <x:c r="S1841" s="1"/>
      <x:c r="T1841" s="1"/>
      <x:c r="U1841" s="1"/>
      <x:c r="V1841" s="1"/>
    </x:row>
    <x:row r="1842">
      <x:c r="A1842" s="1"/>
      <x:c r="B1842" s="1"/>
      <x:c r="C1842" s="1"/>
      <x:c r="D1842" s="1"/>
      <x:c r="E1842" s="1"/>
      <x:c r="F1842" s="1"/>
      <x:c r="G1842" s="1"/>
      <x:c r="H1842" s="1"/>
      <x:c r="I1842" s="1"/>
      <x:c r="J1842" s="1"/>
      <x:c r="K1842" s="1"/>
      <x:c r="L1842" s="1"/>
      <x:c r="M1842" s="1"/>
      <x:c r="N1842" s="1"/>
      <x:c r="O1842" s="1"/>
      <x:c r="P1842" s="1"/>
      <x:c r="Q1842" s="1"/>
      <x:c r="R1842" s="1"/>
      <x:c r="S1842" s="1"/>
      <x:c r="T1842" s="1"/>
      <x:c r="U1842" s="1"/>
      <x:c r="V1842" s="1"/>
    </x:row>
    <x:row r="1843">
      <x:c r="A1843" s="1"/>
      <x:c r="B1843" s="1"/>
      <x:c r="C1843" s="1"/>
      <x:c r="D1843" s="1"/>
      <x:c r="E1843" s="1"/>
      <x:c r="F1843" s="1"/>
      <x:c r="G1843" s="1"/>
      <x:c r="H1843" s="1"/>
      <x:c r="I1843" s="1"/>
      <x:c r="J1843" s="1"/>
      <x:c r="K1843" s="1"/>
      <x:c r="L1843" s="1"/>
      <x:c r="M1843" s="1"/>
      <x:c r="N1843" s="1"/>
      <x:c r="O1843" s="1"/>
      <x:c r="P1843" s="1"/>
      <x:c r="Q1843" s="1"/>
      <x:c r="R1843" s="1"/>
      <x:c r="S1843" s="1"/>
      <x:c r="T1843" s="1"/>
      <x:c r="U1843" s="1"/>
      <x:c r="V1843" s="1"/>
    </x:row>
    <x:row r="1844">
      <x:c r="A1844" s="1"/>
      <x:c r="B1844" s="1"/>
      <x:c r="C1844" s="1"/>
      <x:c r="D1844" s="1"/>
      <x:c r="E1844" s="1"/>
      <x:c r="F1844" s="1"/>
      <x:c r="G1844" s="1"/>
      <x:c r="H1844" s="1"/>
      <x:c r="I1844" s="1"/>
      <x:c r="J1844" s="1"/>
      <x:c r="K1844" s="1"/>
      <x:c r="L1844" s="1"/>
      <x:c r="M1844" s="1"/>
      <x:c r="N1844" s="1"/>
      <x:c r="O1844" s="1"/>
      <x:c r="P1844" s="1"/>
      <x:c r="Q1844" s="1"/>
      <x:c r="R1844" s="1"/>
      <x:c r="S1844" s="1"/>
      <x:c r="T1844" s="1"/>
      <x:c r="U1844" s="1"/>
      <x:c r="V1844" s="1"/>
    </x:row>
    <x:row r="1845">
      <x:c r="A1845" s="1"/>
      <x:c r="B1845" s="1"/>
      <x:c r="C1845" s="1"/>
      <x:c r="D1845" s="1"/>
      <x:c r="E1845" s="1"/>
      <x:c r="F1845" s="1"/>
      <x:c r="G1845" s="1"/>
      <x:c r="H1845" s="1"/>
      <x:c r="I1845" s="1"/>
      <x:c r="J1845" s="1"/>
      <x:c r="K1845" s="1"/>
      <x:c r="L1845" s="1"/>
      <x:c r="M1845" s="1"/>
      <x:c r="N1845" s="1"/>
      <x:c r="O1845" s="1"/>
      <x:c r="P1845" s="1"/>
      <x:c r="Q1845" s="1"/>
      <x:c r="R1845" s="1"/>
      <x:c r="S1845" s="1"/>
      <x:c r="T1845" s="1"/>
      <x:c r="U1845" s="1"/>
      <x:c r="V1845" s="1"/>
    </x:row>
    <x:row r="1846">
      <x:c r="A1846" s="1"/>
      <x:c r="B1846" s="1"/>
      <x:c r="C1846" s="1"/>
      <x:c r="D1846" s="1"/>
      <x:c r="E1846" s="1"/>
      <x:c r="F1846" s="1"/>
      <x:c r="G1846" s="1"/>
      <x:c r="H1846" s="1"/>
      <x:c r="I1846" s="1"/>
      <x:c r="J1846" s="1"/>
      <x:c r="K1846" s="1"/>
      <x:c r="L1846" s="1"/>
      <x:c r="M1846" s="1"/>
      <x:c r="N1846" s="1"/>
      <x:c r="O1846" s="1"/>
      <x:c r="P1846" s="1"/>
      <x:c r="Q1846" s="1"/>
      <x:c r="R1846" s="1"/>
      <x:c r="S1846" s="1"/>
      <x:c r="T1846" s="1"/>
      <x:c r="U1846" s="1"/>
      <x:c r="V1846" s="1"/>
    </x:row>
    <x:row r="1847">
      <x:c r="A1847" s="1"/>
      <x:c r="B1847" s="1"/>
      <x:c r="C1847" s="1"/>
      <x:c r="D1847" s="1"/>
      <x:c r="E1847" s="1"/>
      <x:c r="F1847" s="1"/>
      <x:c r="G1847" s="1"/>
      <x:c r="H1847" s="1"/>
      <x:c r="I1847" s="1"/>
      <x:c r="J1847" s="1"/>
      <x:c r="K1847" s="1"/>
      <x:c r="L1847" s="1"/>
      <x:c r="M1847" s="1"/>
      <x:c r="N1847" s="1"/>
      <x:c r="O1847" s="1"/>
      <x:c r="P1847" s="1"/>
      <x:c r="Q1847" s="1"/>
      <x:c r="R1847" s="1"/>
      <x:c r="S1847" s="1"/>
      <x:c r="T1847" s="1"/>
      <x:c r="U1847" s="1"/>
      <x:c r="V1847" s="1"/>
    </x:row>
    <x:row r="1848">
      <x:c r="A1848" s="1"/>
      <x:c r="B1848" s="1"/>
      <x:c r="C1848" s="1"/>
      <x:c r="D1848" s="1"/>
      <x:c r="E1848" s="1"/>
      <x:c r="F1848" s="1"/>
      <x:c r="G1848" s="1"/>
      <x:c r="H1848" s="1"/>
      <x:c r="I1848" s="1"/>
      <x:c r="J1848" s="1"/>
      <x:c r="K1848" s="1"/>
      <x:c r="L1848" s="1"/>
      <x:c r="M1848" s="1"/>
      <x:c r="N1848" s="1"/>
      <x:c r="O1848" s="1"/>
      <x:c r="P1848" s="1"/>
      <x:c r="Q1848" s="1"/>
      <x:c r="R1848" s="1"/>
      <x:c r="S1848" s="1"/>
      <x:c r="T1848" s="1"/>
      <x:c r="U1848" s="1"/>
      <x:c r="V1848" s="1"/>
    </x:row>
    <x:row r="1849">
      <x:c r="A1849" s="1"/>
      <x:c r="B1849" s="1"/>
      <x:c r="C1849" s="1"/>
      <x:c r="D1849" s="1"/>
      <x:c r="E1849" s="1"/>
      <x:c r="F1849" s="1"/>
      <x:c r="G1849" s="1"/>
      <x:c r="H1849" s="1"/>
      <x:c r="I1849" s="1"/>
      <x:c r="J1849" s="1"/>
      <x:c r="K1849" s="1"/>
      <x:c r="L1849" s="1"/>
      <x:c r="M1849" s="1"/>
      <x:c r="N1849" s="1"/>
      <x:c r="O1849" s="1"/>
      <x:c r="P1849" s="1"/>
      <x:c r="Q1849" s="1"/>
      <x:c r="R1849" s="1"/>
      <x:c r="S1849" s="1"/>
      <x:c r="T1849" s="1"/>
      <x:c r="U1849" s="1"/>
      <x:c r="V1849" s="1"/>
    </x:row>
    <x:row r="1850">
      <x:c r="A1850" s="1"/>
      <x:c r="B1850" s="1"/>
      <x:c r="C1850" s="1"/>
      <x:c r="D1850" s="1"/>
      <x:c r="E1850" s="1"/>
      <x:c r="F1850" s="1"/>
      <x:c r="G1850" s="1"/>
      <x:c r="H1850" s="1"/>
      <x:c r="I1850" s="1"/>
      <x:c r="J1850" s="1"/>
      <x:c r="K1850" s="1"/>
      <x:c r="L1850" s="1"/>
      <x:c r="M1850" s="1"/>
      <x:c r="N1850" s="1"/>
      <x:c r="O1850" s="1"/>
      <x:c r="P1850" s="1"/>
      <x:c r="Q1850" s="1"/>
      <x:c r="R1850" s="1"/>
      <x:c r="S1850" s="1"/>
      <x:c r="T1850" s="1"/>
      <x:c r="U1850" s="1"/>
      <x:c r="V1850" s="1"/>
    </x:row>
    <x:row r="1851">
      <x:c r="A1851" s="1"/>
      <x:c r="B1851" s="1"/>
      <x:c r="C1851" s="1"/>
      <x:c r="D1851" s="1"/>
      <x:c r="E1851" s="1"/>
      <x:c r="F1851" s="1"/>
      <x:c r="G1851" s="1"/>
      <x:c r="H1851" s="1"/>
      <x:c r="I1851" s="1"/>
      <x:c r="J1851" s="1"/>
      <x:c r="K1851" s="1"/>
      <x:c r="L1851" s="1"/>
      <x:c r="M1851" s="1"/>
      <x:c r="N1851" s="1"/>
      <x:c r="O1851" s="1"/>
      <x:c r="P1851" s="1"/>
      <x:c r="Q1851" s="1"/>
      <x:c r="R1851" s="1"/>
      <x:c r="S1851" s="1"/>
      <x:c r="T1851" s="1"/>
      <x:c r="U1851" s="1"/>
      <x:c r="V1851" s="1"/>
    </x:row>
    <x:row r="1852">
      <x:c r="A1852" s="1"/>
      <x:c r="B1852" s="1"/>
      <x:c r="C1852" s="1"/>
      <x:c r="D1852" s="1"/>
      <x:c r="E1852" s="1"/>
      <x:c r="F1852" s="1"/>
      <x:c r="G1852" s="1"/>
      <x:c r="H1852" s="1"/>
      <x:c r="I1852" s="1"/>
      <x:c r="J1852" s="1"/>
      <x:c r="K1852" s="1"/>
      <x:c r="L1852" s="1"/>
      <x:c r="M1852" s="1"/>
      <x:c r="N1852" s="1"/>
      <x:c r="O1852" s="1"/>
      <x:c r="P1852" s="1"/>
      <x:c r="Q1852" s="1"/>
      <x:c r="R1852" s="1"/>
      <x:c r="S1852" s="1"/>
      <x:c r="T1852" s="1"/>
      <x:c r="U1852" s="1"/>
      <x:c r="V1852" s="1"/>
    </x:row>
    <x:row r="1853">
      <x:c r="A1853" s="1"/>
      <x:c r="B1853" s="1"/>
      <x:c r="C1853" s="1"/>
      <x:c r="D1853" s="1"/>
      <x:c r="E1853" s="1"/>
      <x:c r="F1853" s="1"/>
      <x:c r="G1853" s="1"/>
      <x:c r="H1853" s="1"/>
      <x:c r="I1853" s="1"/>
      <x:c r="J1853" s="1"/>
      <x:c r="K1853" s="1"/>
      <x:c r="L1853" s="1"/>
      <x:c r="M1853" s="1"/>
      <x:c r="N1853" s="1"/>
      <x:c r="O1853" s="1"/>
      <x:c r="P1853" s="1"/>
      <x:c r="Q1853" s="1"/>
      <x:c r="R1853" s="1"/>
      <x:c r="S1853" s="1"/>
      <x:c r="T1853" s="1"/>
      <x:c r="U1853" s="1"/>
      <x:c r="V1853" s="1"/>
    </x:row>
    <x:row r="1854">
      <x:c r="A1854" s="1"/>
      <x:c r="B1854" s="1"/>
      <x:c r="C1854" s="1"/>
      <x:c r="D1854" s="1"/>
      <x:c r="E1854" s="1"/>
      <x:c r="F1854" s="1"/>
      <x:c r="G1854" s="1"/>
      <x:c r="H1854" s="1"/>
      <x:c r="I1854" s="1"/>
      <x:c r="J1854" s="1"/>
      <x:c r="K1854" s="1"/>
      <x:c r="L1854" s="1"/>
      <x:c r="M1854" s="1"/>
      <x:c r="N1854" s="1"/>
      <x:c r="O1854" s="1"/>
      <x:c r="P1854" s="1"/>
      <x:c r="Q1854" s="1"/>
      <x:c r="R1854" s="1"/>
      <x:c r="S1854" s="1"/>
      <x:c r="T1854" s="1"/>
      <x:c r="U1854" s="1"/>
      <x:c r="V1854" s="1"/>
    </x:row>
    <x:row r="1855">
      <x:c r="A1855" s="1"/>
      <x:c r="B1855" s="1"/>
      <x:c r="C1855" s="1"/>
      <x:c r="D1855" s="1"/>
      <x:c r="E1855" s="1"/>
      <x:c r="F1855" s="1"/>
      <x:c r="G1855" s="1"/>
      <x:c r="H1855" s="1"/>
      <x:c r="I1855" s="1"/>
      <x:c r="J1855" s="1"/>
      <x:c r="K1855" s="1"/>
      <x:c r="L1855" s="1"/>
      <x:c r="M1855" s="1"/>
      <x:c r="N1855" s="1"/>
      <x:c r="O1855" s="1"/>
      <x:c r="P1855" s="1"/>
      <x:c r="Q1855" s="1"/>
      <x:c r="R1855" s="1"/>
      <x:c r="S1855" s="1"/>
      <x:c r="T1855" s="1"/>
      <x:c r="U1855" s="1"/>
      <x:c r="V1855" s="1"/>
    </x:row>
    <x:row r="1856">
      <x:c r="A1856" s="1"/>
      <x:c r="B1856" s="1"/>
      <x:c r="C1856" s="1"/>
      <x:c r="D1856" s="1"/>
      <x:c r="E1856" s="1"/>
      <x:c r="F1856" s="1"/>
      <x:c r="G1856" s="1"/>
      <x:c r="H1856" s="1"/>
      <x:c r="I1856" s="1"/>
      <x:c r="J1856" s="1"/>
      <x:c r="K1856" s="1"/>
      <x:c r="L1856" s="1"/>
      <x:c r="M1856" s="1"/>
      <x:c r="N1856" s="1"/>
      <x:c r="O1856" s="1"/>
      <x:c r="P1856" s="1"/>
      <x:c r="Q1856" s="1"/>
      <x:c r="R1856" s="1"/>
      <x:c r="S1856" s="1"/>
      <x:c r="T1856" s="1"/>
      <x:c r="U1856" s="1"/>
      <x:c r="V1856" s="1"/>
    </x:row>
    <x:row r="1857">
      <x:c r="A1857" s="1"/>
      <x:c r="B1857" s="1"/>
      <x:c r="C1857" s="1"/>
      <x:c r="D1857" s="1"/>
      <x:c r="E1857" s="1"/>
      <x:c r="F1857" s="1"/>
      <x:c r="G1857" s="1"/>
      <x:c r="H1857" s="1"/>
      <x:c r="I1857" s="1"/>
      <x:c r="J1857" s="1"/>
      <x:c r="K1857" s="1"/>
      <x:c r="L1857" s="1"/>
      <x:c r="M1857" s="1"/>
      <x:c r="N1857" s="1"/>
      <x:c r="O1857" s="1"/>
      <x:c r="P1857" s="1"/>
      <x:c r="Q1857" s="1"/>
      <x:c r="R1857" s="1"/>
      <x:c r="S1857" s="1"/>
      <x:c r="T1857" s="1"/>
      <x:c r="U1857" s="1"/>
      <x:c r="V1857" s="1"/>
    </x:row>
    <x:row r="1858">
      <x:c r="A1858" s="1"/>
      <x:c r="B1858" s="1"/>
      <x:c r="C1858" s="1"/>
      <x:c r="D1858" s="1"/>
      <x:c r="E1858" s="1"/>
      <x:c r="F1858" s="1"/>
      <x:c r="G1858" s="1"/>
      <x:c r="H1858" s="1"/>
      <x:c r="I1858" s="1"/>
      <x:c r="J1858" s="1"/>
      <x:c r="K1858" s="1"/>
      <x:c r="L1858" s="1"/>
      <x:c r="M1858" s="1"/>
      <x:c r="N1858" s="1"/>
      <x:c r="O1858" s="1"/>
      <x:c r="P1858" s="1"/>
      <x:c r="Q1858" s="1"/>
      <x:c r="R1858" s="1"/>
      <x:c r="S1858" s="1"/>
      <x:c r="T1858" s="1"/>
      <x:c r="U1858" s="1"/>
      <x:c r="V1858" s="1"/>
    </x:row>
    <x:row r="1859">
      <x:c r="A1859" s="1"/>
      <x:c r="B1859" s="1"/>
      <x:c r="C1859" s="1"/>
      <x:c r="D1859" s="1"/>
      <x:c r="E1859" s="1"/>
      <x:c r="F1859" s="1"/>
      <x:c r="G1859" s="1"/>
      <x:c r="H1859" s="1"/>
      <x:c r="I1859" s="1"/>
      <x:c r="J1859" s="1"/>
      <x:c r="K1859" s="1"/>
      <x:c r="L1859" s="1"/>
      <x:c r="M1859" s="1"/>
      <x:c r="N1859" s="1"/>
      <x:c r="O1859" s="1"/>
      <x:c r="P1859" s="1"/>
      <x:c r="Q1859" s="1"/>
      <x:c r="R1859" s="1"/>
      <x:c r="S1859" s="1"/>
      <x:c r="T1859" s="1"/>
      <x:c r="U1859" s="1"/>
      <x:c r="V1859" s="1"/>
    </x:row>
    <x:row r="1860">
      <x:c r="A1860" s="1"/>
      <x:c r="B1860" s="1"/>
      <x:c r="C1860" s="1"/>
      <x:c r="D1860" s="1"/>
      <x:c r="E1860" s="1"/>
      <x:c r="F1860" s="1"/>
      <x:c r="G1860" s="1"/>
      <x:c r="H1860" s="1"/>
      <x:c r="I1860" s="1"/>
      <x:c r="J1860" s="1"/>
      <x:c r="K1860" s="1"/>
      <x:c r="L1860" s="1"/>
      <x:c r="M1860" s="1"/>
      <x:c r="N1860" s="1"/>
      <x:c r="O1860" s="1"/>
      <x:c r="P1860" s="1"/>
      <x:c r="Q1860" s="1"/>
      <x:c r="R1860" s="1"/>
      <x:c r="S1860" s="1"/>
      <x:c r="T1860" s="1"/>
      <x:c r="U1860" s="1"/>
      <x:c r="V1860" s="1"/>
    </x:row>
    <x:row r="1861">
      <x:c r="A1861" s="1"/>
      <x:c r="B1861" s="1"/>
      <x:c r="C1861" s="1"/>
      <x:c r="D1861" s="1"/>
      <x:c r="E1861" s="1"/>
      <x:c r="F1861" s="1"/>
      <x:c r="G1861" s="1"/>
      <x:c r="H1861" s="1"/>
      <x:c r="I1861" s="1"/>
      <x:c r="J1861" s="1"/>
      <x:c r="K1861" s="1"/>
      <x:c r="L1861" s="1"/>
      <x:c r="M1861" s="1"/>
      <x:c r="N1861" s="1"/>
      <x:c r="O1861" s="1"/>
      <x:c r="P1861" s="1"/>
      <x:c r="Q1861" s="1"/>
      <x:c r="R1861" s="1"/>
      <x:c r="S1861" s="1"/>
      <x:c r="T1861" s="1"/>
      <x:c r="U1861" s="1"/>
      <x:c r="V1861" s="1"/>
    </x:row>
    <x:row r="1862">
      <x:c r="A1862" s="1"/>
      <x:c r="B1862" s="1"/>
      <x:c r="C1862" s="1"/>
      <x:c r="D1862" s="1"/>
      <x:c r="E1862" s="1"/>
      <x:c r="F1862" s="1"/>
      <x:c r="G1862" s="1"/>
      <x:c r="H1862" s="1"/>
      <x:c r="I1862" s="1"/>
      <x:c r="J1862" s="1"/>
      <x:c r="K1862" s="1"/>
      <x:c r="L1862" s="1"/>
      <x:c r="M1862" s="1"/>
      <x:c r="N1862" s="1"/>
      <x:c r="O1862" s="1"/>
      <x:c r="P1862" s="1"/>
      <x:c r="Q1862" s="1"/>
      <x:c r="R1862" s="1"/>
      <x:c r="S1862" s="1"/>
      <x:c r="T1862" s="1"/>
      <x:c r="U1862" s="1"/>
      <x:c r="V1862" s="1"/>
    </x:row>
    <x:row r="1863">
      <x:c r="A1863" s="1"/>
      <x:c r="B1863" s="1"/>
      <x:c r="C1863" s="1"/>
      <x:c r="D1863" s="1"/>
      <x:c r="E1863" s="1"/>
      <x:c r="F1863" s="1"/>
      <x:c r="G1863" s="1"/>
      <x:c r="H1863" s="1"/>
      <x:c r="I1863" s="1"/>
      <x:c r="J1863" s="1"/>
      <x:c r="K1863" s="1"/>
      <x:c r="L1863" s="1"/>
      <x:c r="M1863" s="1"/>
      <x:c r="N1863" s="1"/>
      <x:c r="O1863" s="1"/>
      <x:c r="P1863" s="1"/>
      <x:c r="Q1863" s="1"/>
      <x:c r="R1863" s="1"/>
      <x:c r="S1863" s="1"/>
      <x:c r="T1863" s="1"/>
      <x:c r="U1863" s="1"/>
      <x:c r="V1863" s="1"/>
    </x:row>
    <x:row r="1864">
      <x:c r="A1864" s="1"/>
      <x:c r="B1864" s="1"/>
      <x:c r="C1864" s="1"/>
      <x:c r="D1864" s="1"/>
      <x:c r="E1864" s="1"/>
      <x:c r="F1864" s="1"/>
      <x:c r="G1864" s="1"/>
      <x:c r="H1864" s="1"/>
      <x:c r="I1864" s="1"/>
      <x:c r="J1864" s="1"/>
      <x:c r="K1864" s="1"/>
      <x:c r="L1864" s="1"/>
      <x:c r="M1864" s="1"/>
      <x:c r="N1864" s="1"/>
      <x:c r="O1864" s="1"/>
      <x:c r="P1864" s="1"/>
      <x:c r="Q1864" s="1"/>
      <x:c r="R1864" s="1"/>
      <x:c r="S1864" s="1"/>
      <x:c r="T1864" s="1"/>
      <x:c r="U1864" s="1"/>
      <x:c r="V1864" s="1"/>
    </x:row>
    <x:row r="1865">
      <x:c r="A1865" s="1"/>
      <x:c r="B1865" s="1"/>
      <x:c r="C1865" s="1"/>
      <x:c r="D1865" s="1"/>
      <x:c r="E1865" s="1"/>
      <x:c r="F1865" s="1"/>
      <x:c r="G1865" s="1"/>
      <x:c r="H1865" s="1"/>
      <x:c r="I1865" s="1"/>
      <x:c r="J1865" s="1"/>
      <x:c r="K1865" s="1"/>
      <x:c r="L1865" s="1"/>
      <x:c r="M1865" s="1"/>
      <x:c r="N1865" s="1"/>
      <x:c r="O1865" s="1"/>
      <x:c r="P1865" s="1"/>
      <x:c r="Q1865" s="1"/>
      <x:c r="R1865" s="1"/>
      <x:c r="S1865" s="1"/>
      <x:c r="T1865" s="1"/>
      <x:c r="U1865" s="1"/>
      <x:c r="V1865" s="1"/>
    </x:row>
    <x:row r="1866">
      <x:c r="A1866" s="1"/>
      <x:c r="B1866" s="1"/>
      <x:c r="C1866" s="1"/>
      <x:c r="D1866" s="1"/>
      <x:c r="E1866" s="1"/>
      <x:c r="F1866" s="1"/>
      <x:c r="G1866" s="1"/>
      <x:c r="H1866" s="1"/>
      <x:c r="I1866" s="1"/>
      <x:c r="J1866" s="1"/>
      <x:c r="K1866" s="1"/>
      <x:c r="L1866" s="1"/>
      <x:c r="M1866" s="1"/>
      <x:c r="N1866" s="1"/>
      <x:c r="O1866" s="1"/>
      <x:c r="P1866" s="1"/>
      <x:c r="Q1866" s="1"/>
      <x:c r="R1866" s="1"/>
      <x:c r="S1866" s="1"/>
      <x:c r="T1866" s="1"/>
      <x:c r="U1866" s="1"/>
      <x:c r="V1866" s="1"/>
    </x:row>
    <x:row r="1867">
      <x:c r="A1867" s="1"/>
      <x:c r="B1867" s="1"/>
      <x:c r="C1867" s="1"/>
      <x:c r="D1867" s="1"/>
      <x:c r="E1867" s="1"/>
      <x:c r="F1867" s="1"/>
      <x:c r="G1867" s="1"/>
      <x:c r="H1867" s="1"/>
      <x:c r="I1867" s="1"/>
      <x:c r="J1867" s="1"/>
      <x:c r="K1867" s="1"/>
      <x:c r="L1867" s="1"/>
      <x:c r="M1867" s="1"/>
      <x:c r="N1867" s="1"/>
      <x:c r="O1867" s="1"/>
      <x:c r="P1867" s="1"/>
      <x:c r="Q1867" s="1"/>
      <x:c r="R1867" s="1"/>
      <x:c r="S1867" s="1"/>
      <x:c r="T1867" s="1"/>
      <x:c r="U1867" s="1"/>
      <x:c r="V1867" s="1"/>
    </x:row>
    <x:row r="1868">
      <x:c r="A1868" s="1"/>
      <x:c r="B1868" s="1"/>
      <x:c r="C1868" s="1"/>
      <x:c r="D1868" s="1"/>
      <x:c r="E1868" s="1"/>
      <x:c r="F1868" s="1"/>
      <x:c r="G1868" s="1"/>
      <x:c r="H1868" s="1"/>
      <x:c r="I1868" s="1"/>
      <x:c r="J1868" s="1"/>
      <x:c r="K1868" s="1"/>
      <x:c r="L1868" s="1"/>
      <x:c r="M1868" s="1"/>
      <x:c r="N1868" s="1"/>
      <x:c r="O1868" s="1"/>
      <x:c r="P1868" s="1"/>
      <x:c r="Q1868" s="1"/>
      <x:c r="R1868" s="1"/>
      <x:c r="S1868" s="1"/>
      <x:c r="T1868" s="1"/>
      <x:c r="U1868" s="1"/>
      <x:c r="V1868" s="1"/>
    </x:row>
    <x:row r="1869">
      <x:c r="A1869" s="1"/>
      <x:c r="B1869" s="1"/>
      <x:c r="C1869" s="1"/>
      <x:c r="D1869" s="1"/>
      <x:c r="E1869" s="1"/>
      <x:c r="F1869" s="1"/>
      <x:c r="G1869" s="1"/>
      <x:c r="H1869" s="1"/>
      <x:c r="I1869" s="1"/>
      <x:c r="J1869" s="1"/>
      <x:c r="K1869" s="1"/>
      <x:c r="L1869" s="1"/>
      <x:c r="M1869" s="1"/>
      <x:c r="N1869" s="1"/>
      <x:c r="O1869" s="1"/>
      <x:c r="P1869" s="1"/>
      <x:c r="Q1869" s="1"/>
      <x:c r="R1869" s="1"/>
      <x:c r="S1869" s="1"/>
      <x:c r="T1869" s="1"/>
      <x:c r="U1869" s="1"/>
      <x:c r="V1869" s="1"/>
    </x:row>
    <x:row r="1870">
      <x:c r="A1870" s="1"/>
      <x:c r="B1870" s="1"/>
      <x:c r="C1870" s="1"/>
      <x:c r="D1870" s="1"/>
      <x:c r="E1870" s="1"/>
      <x:c r="F1870" s="1"/>
      <x:c r="G1870" s="1"/>
      <x:c r="H1870" s="1"/>
      <x:c r="I1870" s="1"/>
      <x:c r="J1870" s="1"/>
      <x:c r="K1870" s="1"/>
      <x:c r="L1870" s="1"/>
      <x:c r="M1870" s="1"/>
      <x:c r="N1870" s="1"/>
      <x:c r="O1870" s="1"/>
      <x:c r="P1870" s="1"/>
      <x:c r="Q1870" s="1"/>
      <x:c r="R1870" s="1"/>
      <x:c r="S1870" s="1"/>
      <x:c r="T1870" s="1"/>
      <x:c r="U1870" s="1"/>
      <x:c r="V1870" s="1"/>
    </x:row>
    <x:row r="1871">
      <x:c r="A1871" s="1"/>
      <x:c r="B1871" s="1"/>
      <x:c r="C1871" s="1"/>
      <x:c r="D1871" s="1"/>
      <x:c r="E1871" s="1"/>
      <x:c r="F1871" s="1"/>
      <x:c r="G1871" s="1"/>
      <x:c r="H1871" s="1"/>
      <x:c r="I1871" s="1"/>
      <x:c r="J1871" s="1"/>
      <x:c r="K1871" s="1"/>
      <x:c r="L1871" s="1"/>
      <x:c r="M1871" s="1"/>
      <x:c r="N1871" s="1"/>
      <x:c r="O1871" s="1"/>
      <x:c r="P1871" s="1"/>
      <x:c r="Q1871" s="1"/>
      <x:c r="R1871" s="1"/>
      <x:c r="S1871" s="1"/>
      <x:c r="T1871" s="1"/>
      <x:c r="U1871" s="1"/>
      <x:c r="V1871" s="1"/>
    </x:row>
    <x:row r="1872">
      <x:c r="A1872" s="1"/>
      <x:c r="B1872" s="1"/>
      <x:c r="C1872" s="1"/>
      <x:c r="D1872" s="1"/>
      <x:c r="E1872" s="1"/>
      <x:c r="F1872" s="1"/>
      <x:c r="G1872" s="1"/>
      <x:c r="H1872" s="1"/>
      <x:c r="I1872" s="1"/>
      <x:c r="J1872" s="1"/>
      <x:c r="K1872" s="1"/>
      <x:c r="L1872" s="1"/>
      <x:c r="M1872" s="1"/>
      <x:c r="N1872" s="1"/>
      <x:c r="O1872" s="1"/>
      <x:c r="P1872" s="1"/>
      <x:c r="Q1872" s="1"/>
      <x:c r="R1872" s="1"/>
      <x:c r="S1872" s="1"/>
      <x:c r="T1872" s="1"/>
      <x:c r="U1872" s="1"/>
      <x:c r="V1872" s="1"/>
    </x:row>
    <x:row r="1873">
      <x:c r="A1873" s="1"/>
      <x:c r="B1873" s="1"/>
      <x:c r="C1873" s="1"/>
      <x:c r="D1873" s="1"/>
      <x:c r="E1873" s="1"/>
      <x:c r="F1873" s="1"/>
      <x:c r="G1873" s="1"/>
      <x:c r="H1873" s="1"/>
      <x:c r="I1873" s="1"/>
      <x:c r="J1873" s="1"/>
      <x:c r="K1873" s="1"/>
      <x:c r="L1873" s="1"/>
      <x:c r="M1873" s="1"/>
      <x:c r="N1873" s="1"/>
      <x:c r="O1873" s="1"/>
      <x:c r="P1873" s="1"/>
      <x:c r="Q1873" s="1"/>
      <x:c r="R1873" s="1"/>
      <x:c r="S1873" s="1"/>
      <x:c r="T1873" s="1"/>
      <x:c r="U1873" s="1"/>
      <x:c r="V1873" s="1"/>
    </x:row>
    <x:row r="1874">
      <x:c r="A1874" s="1"/>
      <x:c r="B1874" s="1"/>
      <x:c r="C1874" s="1"/>
      <x:c r="D1874" s="1"/>
      <x:c r="E1874" s="1"/>
      <x:c r="F1874" s="1"/>
      <x:c r="G1874" s="1"/>
      <x:c r="H1874" s="1"/>
      <x:c r="I1874" s="1"/>
      <x:c r="J1874" s="1"/>
      <x:c r="K1874" s="1"/>
      <x:c r="L1874" s="1"/>
      <x:c r="M1874" s="1"/>
      <x:c r="N1874" s="1"/>
      <x:c r="O1874" s="1"/>
      <x:c r="P1874" s="1"/>
      <x:c r="Q1874" s="1"/>
      <x:c r="R1874" s="1"/>
      <x:c r="S1874" s="1"/>
      <x:c r="T1874" s="1"/>
      <x:c r="U1874" s="1"/>
      <x:c r="V1874" s="1"/>
    </x:row>
    <x:row r="1875">
      <x:c r="A1875" s="1"/>
      <x:c r="B1875" s="1"/>
      <x:c r="C1875" s="1"/>
      <x:c r="D1875" s="1"/>
      <x:c r="E1875" s="1"/>
      <x:c r="F1875" s="1"/>
      <x:c r="G1875" s="1"/>
      <x:c r="H1875" s="1"/>
      <x:c r="I1875" s="1"/>
      <x:c r="J1875" s="1"/>
      <x:c r="K1875" s="1"/>
      <x:c r="L1875" s="1"/>
      <x:c r="M1875" s="1"/>
      <x:c r="N1875" s="1"/>
      <x:c r="O1875" s="1"/>
      <x:c r="P1875" s="1"/>
      <x:c r="Q1875" s="1"/>
      <x:c r="R1875" s="1"/>
      <x:c r="S1875" s="1"/>
      <x:c r="T1875" s="1"/>
      <x:c r="U1875" s="1"/>
      <x:c r="V1875" s="1"/>
    </x:row>
    <x:row r="1876">
      <x:c r="A1876" s="1"/>
      <x:c r="B1876" s="1"/>
      <x:c r="C1876" s="1"/>
      <x:c r="D1876" s="1"/>
      <x:c r="E1876" s="1"/>
      <x:c r="F1876" s="1"/>
      <x:c r="G1876" s="1"/>
      <x:c r="H1876" s="1"/>
      <x:c r="I1876" s="1"/>
      <x:c r="J1876" s="1"/>
      <x:c r="K1876" s="1"/>
      <x:c r="L1876" s="1"/>
      <x:c r="M1876" s="1"/>
      <x:c r="N1876" s="1"/>
      <x:c r="O1876" s="1"/>
      <x:c r="P1876" s="1"/>
      <x:c r="Q1876" s="1"/>
      <x:c r="R1876" s="1"/>
      <x:c r="S1876" s="1"/>
      <x:c r="T1876" s="1"/>
      <x:c r="U1876" s="1"/>
      <x:c r="V1876" s="1"/>
    </x:row>
    <x:row r="1877">
      <x:c r="A1877" s="1"/>
      <x:c r="B1877" s="1"/>
      <x:c r="C1877" s="1"/>
      <x:c r="D1877" s="1"/>
      <x:c r="E1877" s="1"/>
      <x:c r="F1877" s="1"/>
      <x:c r="G1877" s="1"/>
      <x:c r="H1877" s="1"/>
      <x:c r="I1877" s="1"/>
      <x:c r="J1877" s="1"/>
      <x:c r="K1877" s="1"/>
      <x:c r="L1877" s="1"/>
      <x:c r="M1877" s="1"/>
      <x:c r="N1877" s="1"/>
      <x:c r="O1877" s="1"/>
      <x:c r="P1877" s="1"/>
      <x:c r="Q1877" s="1"/>
      <x:c r="R1877" s="1"/>
      <x:c r="S1877" s="1"/>
      <x:c r="T1877" s="1"/>
      <x:c r="U1877" s="1"/>
      <x:c r="V1877" s="1"/>
    </x:row>
    <x:row r="1878">
      <x:c r="A1878" s="1"/>
      <x:c r="B1878" s="1"/>
      <x:c r="C1878" s="1"/>
      <x:c r="D1878" s="1"/>
      <x:c r="E1878" s="1"/>
      <x:c r="F1878" s="1"/>
      <x:c r="G1878" s="1"/>
      <x:c r="H1878" s="1"/>
      <x:c r="I1878" s="1"/>
      <x:c r="J1878" s="1"/>
      <x:c r="K1878" s="1"/>
      <x:c r="L1878" s="1"/>
      <x:c r="M1878" s="1"/>
      <x:c r="N1878" s="1"/>
      <x:c r="O1878" s="1"/>
      <x:c r="P1878" s="1"/>
      <x:c r="Q1878" s="1"/>
      <x:c r="R1878" s="1"/>
      <x:c r="S1878" s="1"/>
      <x:c r="T1878" s="1"/>
      <x:c r="U1878" s="1"/>
      <x:c r="V1878" s="1"/>
    </x:row>
    <x:row r="1879">
      <x:c r="A1879" s="1"/>
      <x:c r="B1879" s="1"/>
      <x:c r="C1879" s="1"/>
      <x:c r="D1879" s="1"/>
      <x:c r="E1879" s="1"/>
      <x:c r="F1879" s="1"/>
      <x:c r="G1879" s="1"/>
      <x:c r="H1879" s="1"/>
      <x:c r="I1879" s="1"/>
      <x:c r="J1879" s="1"/>
      <x:c r="K1879" s="1"/>
      <x:c r="L1879" s="1"/>
      <x:c r="M1879" s="1"/>
      <x:c r="N1879" s="1"/>
      <x:c r="O1879" s="1"/>
      <x:c r="P1879" s="1"/>
      <x:c r="Q1879" s="1"/>
      <x:c r="R1879" s="1"/>
      <x:c r="S1879" s="1"/>
      <x:c r="T1879" s="1"/>
      <x:c r="U1879" s="1"/>
      <x:c r="V1879" s="1"/>
    </x:row>
    <x:row r="1880">
      <x:c r="A1880" s="1"/>
      <x:c r="B1880" s="1"/>
      <x:c r="C1880" s="1"/>
      <x:c r="D1880" s="1"/>
      <x:c r="E1880" s="1"/>
      <x:c r="F1880" s="1"/>
      <x:c r="G1880" s="1"/>
      <x:c r="H1880" s="1"/>
      <x:c r="I1880" s="1"/>
      <x:c r="J1880" s="1"/>
      <x:c r="K1880" s="1"/>
      <x:c r="L1880" s="1"/>
      <x:c r="M1880" s="1"/>
      <x:c r="N1880" s="1"/>
      <x:c r="O1880" s="1"/>
      <x:c r="P1880" s="1"/>
      <x:c r="Q1880" s="1"/>
      <x:c r="R1880" s="1"/>
      <x:c r="S1880" s="1"/>
      <x:c r="T1880" s="1"/>
      <x:c r="U1880" s="1"/>
      <x:c r="V1880" s="1"/>
    </x:row>
    <x:row r="1881">
      <x:c r="A1881" s="1"/>
      <x:c r="B1881" s="1"/>
      <x:c r="C1881" s="1"/>
      <x:c r="D1881" s="1"/>
      <x:c r="E1881" s="1"/>
      <x:c r="F1881" s="1"/>
      <x:c r="G1881" s="1"/>
      <x:c r="H1881" s="1"/>
      <x:c r="I1881" s="1"/>
      <x:c r="J1881" s="1"/>
      <x:c r="K1881" s="1"/>
      <x:c r="L1881" s="1"/>
      <x:c r="M1881" s="1"/>
      <x:c r="N1881" s="1"/>
      <x:c r="O1881" s="1"/>
      <x:c r="P1881" s="1"/>
      <x:c r="Q1881" s="1"/>
      <x:c r="R1881" s="1"/>
      <x:c r="S1881" s="1"/>
      <x:c r="T1881" s="1"/>
      <x:c r="U1881" s="1"/>
      <x:c r="V1881" s="1"/>
    </x:row>
    <x:row r="1882">
      <x:c r="A1882" s="1"/>
      <x:c r="B1882" s="1"/>
      <x:c r="C1882" s="1"/>
      <x:c r="D1882" s="1"/>
      <x:c r="E1882" s="1"/>
      <x:c r="F1882" s="1"/>
      <x:c r="G1882" s="1"/>
      <x:c r="H1882" s="1"/>
      <x:c r="I1882" s="1"/>
      <x:c r="J1882" s="1"/>
      <x:c r="K1882" s="1"/>
      <x:c r="L1882" s="1"/>
      <x:c r="M1882" s="1"/>
      <x:c r="N1882" s="1"/>
      <x:c r="O1882" s="1"/>
      <x:c r="P1882" s="1"/>
      <x:c r="Q1882" s="1"/>
      <x:c r="R1882" s="1"/>
      <x:c r="S1882" s="1"/>
      <x:c r="T1882" s="1"/>
      <x:c r="U1882" s="1"/>
      <x:c r="V1882" s="1"/>
    </x:row>
    <x:row r="1883">
      <x:c r="A1883" s="1"/>
      <x:c r="B1883" s="1"/>
      <x:c r="C1883" s="1"/>
      <x:c r="D1883" s="1"/>
      <x:c r="E1883" s="1"/>
      <x:c r="F1883" s="1"/>
      <x:c r="G1883" s="1"/>
      <x:c r="H1883" s="1"/>
      <x:c r="I1883" s="1"/>
      <x:c r="J1883" s="1"/>
      <x:c r="K1883" s="1"/>
      <x:c r="L1883" s="1"/>
      <x:c r="M1883" s="1"/>
      <x:c r="N1883" s="1"/>
      <x:c r="O1883" s="1"/>
      <x:c r="P1883" s="1"/>
      <x:c r="Q1883" s="1"/>
      <x:c r="R1883" s="1"/>
      <x:c r="S1883" s="1"/>
      <x:c r="T1883" s="1"/>
      <x:c r="U1883" s="1"/>
      <x:c r="V1883" s="1"/>
    </x:row>
    <x:row r="1884">
      <x:c r="A1884" s="1"/>
      <x:c r="B1884" s="1"/>
      <x:c r="C1884" s="1"/>
      <x:c r="D1884" s="1"/>
      <x:c r="E1884" s="1"/>
      <x:c r="F1884" s="1"/>
      <x:c r="G1884" s="1"/>
      <x:c r="H1884" s="1"/>
      <x:c r="I1884" s="1"/>
      <x:c r="J1884" s="1"/>
      <x:c r="K1884" s="1"/>
      <x:c r="L1884" s="1"/>
      <x:c r="M1884" s="1"/>
      <x:c r="N1884" s="1"/>
      <x:c r="O1884" s="1"/>
      <x:c r="P1884" s="1"/>
      <x:c r="Q1884" s="1"/>
      <x:c r="R1884" s="1"/>
      <x:c r="S1884" s="1"/>
      <x:c r="T1884" s="1"/>
      <x:c r="U1884" s="1"/>
      <x:c r="V1884" s="1"/>
    </x:row>
    <x:row r="1885">
      <x:c r="A1885" s="1"/>
      <x:c r="B1885" s="1"/>
      <x:c r="C1885" s="1"/>
      <x:c r="D1885" s="1"/>
      <x:c r="E1885" s="1"/>
      <x:c r="F1885" s="1"/>
      <x:c r="G1885" s="1"/>
      <x:c r="H1885" s="1"/>
      <x:c r="I1885" s="1"/>
      <x:c r="J1885" s="1"/>
      <x:c r="K1885" s="1"/>
      <x:c r="L1885" s="1"/>
      <x:c r="M1885" s="1"/>
      <x:c r="N1885" s="1"/>
      <x:c r="O1885" s="1"/>
      <x:c r="P1885" s="1"/>
      <x:c r="Q1885" s="1"/>
      <x:c r="R1885" s="1"/>
      <x:c r="S1885" s="1"/>
      <x:c r="T1885" s="1"/>
      <x:c r="U1885" s="1"/>
      <x:c r="V1885" s="1"/>
    </x:row>
    <x:row r="1886">
      <x:c r="A1886" s="1"/>
      <x:c r="B1886" s="1"/>
      <x:c r="C1886" s="1"/>
      <x:c r="D1886" s="1"/>
      <x:c r="E1886" s="1"/>
      <x:c r="F1886" s="1"/>
      <x:c r="G1886" s="1"/>
      <x:c r="H1886" s="1"/>
      <x:c r="I1886" s="1"/>
      <x:c r="J1886" s="1"/>
      <x:c r="K1886" s="1"/>
      <x:c r="L1886" s="1"/>
      <x:c r="M1886" s="1"/>
      <x:c r="N1886" s="1"/>
      <x:c r="O1886" s="1"/>
      <x:c r="P1886" s="1"/>
      <x:c r="Q1886" s="1"/>
      <x:c r="R1886" s="1"/>
      <x:c r="S1886" s="1"/>
      <x:c r="T1886" s="1"/>
      <x:c r="U1886" s="1"/>
      <x:c r="V1886" s="1"/>
    </x:row>
    <x:row r="1887">
      <x:c r="A1887" s="1"/>
      <x:c r="B1887" s="1"/>
      <x:c r="C1887" s="1"/>
      <x:c r="D1887" s="1"/>
      <x:c r="E1887" s="1"/>
      <x:c r="F1887" s="1"/>
      <x:c r="G1887" s="1"/>
      <x:c r="H1887" s="1"/>
      <x:c r="I1887" s="1"/>
      <x:c r="J1887" s="1"/>
      <x:c r="K1887" s="1"/>
      <x:c r="L1887" s="1"/>
      <x:c r="M1887" s="1"/>
      <x:c r="N1887" s="1"/>
      <x:c r="O1887" s="1"/>
      <x:c r="P1887" s="1"/>
      <x:c r="Q1887" s="1"/>
      <x:c r="R1887" s="1"/>
      <x:c r="S1887" s="1"/>
      <x:c r="T1887" s="1"/>
      <x:c r="U1887" s="1"/>
      <x:c r="V1887" s="1"/>
    </x:row>
    <x:row r="1888">
      <x:c r="A1888" s="1"/>
      <x:c r="B1888" s="1"/>
      <x:c r="C1888" s="1"/>
      <x:c r="D1888" s="1"/>
      <x:c r="E1888" s="1"/>
      <x:c r="F1888" s="1"/>
      <x:c r="G1888" s="1"/>
      <x:c r="H1888" s="1"/>
      <x:c r="I1888" s="1"/>
      <x:c r="J1888" s="1"/>
      <x:c r="K1888" s="1"/>
      <x:c r="L1888" s="1"/>
      <x:c r="M1888" s="1"/>
      <x:c r="N1888" s="1"/>
      <x:c r="O1888" s="1"/>
      <x:c r="P1888" s="1"/>
      <x:c r="Q1888" s="1"/>
      <x:c r="R1888" s="1"/>
      <x:c r="S1888" s="1"/>
      <x:c r="T1888" s="1"/>
      <x:c r="U1888" s="1"/>
      <x:c r="V1888" s="1"/>
    </x:row>
    <x:row r="1889">
      <x:c r="A1889" s="1"/>
      <x:c r="B1889" s="1"/>
      <x:c r="C1889" s="1"/>
      <x:c r="D1889" s="1"/>
      <x:c r="E1889" s="1"/>
      <x:c r="F1889" s="1"/>
      <x:c r="G1889" s="1"/>
      <x:c r="H1889" s="1"/>
      <x:c r="I1889" s="1"/>
      <x:c r="J1889" s="1"/>
      <x:c r="K1889" s="1"/>
      <x:c r="L1889" s="1"/>
      <x:c r="M1889" s="1"/>
      <x:c r="N1889" s="1"/>
      <x:c r="O1889" s="1"/>
      <x:c r="P1889" s="1"/>
      <x:c r="Q1889" s="1"/>
      <x:c r="R1889" s="1"/>
      <x:c r="S1889" s="1"/>
      <x:c r="T1889" s="1"/>
      <x:c r="U1889" s="1"/>
      <x:c r="V1889" s="1"/>
    </x:row>
    <x:row r="1890">
      <x:c r="A1890" s="1"/>
      <x:c r="B1890" s="1"/>
      <x:c r="C1890" s="1"/>
      <x:c r="D1890" s="1"/>
      <x:c r="E1890" s="1"/>
      <x:c r="F1890" s="1"/>
      <x:c r="G1890" s="1"/>
      <x:c r="H1890" s="1"/>
      <x:c r="I1890" s="1"/>
      <x:c r="J1890" s="1"/>
      <x:c r="K1890" s="1"/>
      <x:c r="L1890" s="1"/>
      <x:c r="M1890" s="1"/>
      <x:c r="N1890" s="1"/>
      <x:c r="O1890" s="1"/>
      <x:c r="P1890" s="1"/>
      <x:c r="Q1890" s="1"/>
      <x:c r="R1890" s="1"/>
      <x:c r="S1890" s="1"/>
      <x:c r="T1890" s="1"/>
      <x:c r="U1890" s="1"/>
      <x:c r="V1890" s="1"/>
    </x:row>
    <x:row r="1891">
      <x:c r="A1891" s="1"/>
      <x:c r="B1891" s="1"/>
      <x:c r="C1891" s="1"/>
      <x:c r="D1891" s="1"/>
      <x:c r="E1891" s="1"/>
      <x:c r="F1891" s="1"/>
      <x:c r="G1891" s="1"/>
      <x:c r="H1891" s="1"/>
      <x:c r="I1891" s="1"/>
      <x:c r="J1891" s="1"/>
      <x:c r="K1891" s="1"/>
      <x:c r="L1891" s="1"/>
      <x:c r="M1891" s="1"/>
      <x:c r="N1891" s="1"/>
      <x:c r="O1891" s="1"/>
      <x:c r="P1891" s="1"/>
      <x:c r="Q1891" s="1"/>
      <x:c r="R1891" s="1"/>
      <x:c r="S1891" s="1"/>
      <x:c r="T1891" s="1"/>
      <x:c r="U1891" s="1"/>
      <x:c r="V1891" s="1"/>
    </x:row>
    <x:row r="1892">
      <x:c r="A1892" s="1"/>
      <x:c r="B1892" s="1"/>
      <x:c r="C1892" s="1"/>
      <x:c r="D1892" s="1"/>
      <x:c r="E1892" s="1"/>
      <x:c r="F1892" s="1"/>
      <x:c r="G1892" s="1"/>
      <x:c r="H1892" s="1"/>
      <x:c r="I1892" s="1"/>
      <x:c r="J1892" s="1"/>
      <x:c r="K1892" s="1"/>
      <x:c r="L1892" s="1"/>
      <x:c r="M1892" s="1"/>
      <x:c r="N1892" s="1"/>
      <x:c r="O1892" s="1"/>
      <x:c r="P1892" s="1"/>
      <x:c r="Q1892" s="1"/>
      <x:c r="R1892" s="1"/>
      <x:c r="S1892" s="1"/>
      <x:c r="T1892" s="1"/>
      <x:c r="U1892" s="1"/>
      <x:c r="V1892" s="1"/>
    </x:row>
    <x:row r="1893">
      <x:c r="A1893" s="1"/>
      <x:c r="B1893" s="1"/>
      <x:c r="C1893" s="1"/>
      <x:c r="D1893" s="1"/>
      <x:c r="E1893" s="1"/>
      <x:c r="F1893" s="1"/>
      <x:c r="G1893" s="1"/>
      <x:c r="H1893" s="1"/>
      <x:c r="I1893" s="1"/>
      <x:c r="J1893" s="1"/>
      <x:c r="K1893" s="1"/>
      <x:c r="L1893" s="1"/>
      <x:c r="M1893" s="1"/>
      <x:c r="N1893" s="1"/>
      <x:c r="O1893" s="1"/>
      <x:c r="P1893" s="1"/>
      <x:c r="Q1893" s="1"/>
      <x:c r="R1893" s="1"/>
      <x:c r="S1893" s="1"/>
      <x:c r="T1893" s="1"/>
      <x:c r="U1893" s="1"/>
      <x:c r="V1893" s="1"/>
    </x:row>
    <x:row r="1894">
      <x:c r="A1894" s="1"/>
      <x:c r="B1894" s="1"/>
      <x:c r="C1894" s="1"/>
      <x:c r="D1894" s="1"/>
      <x:c r="E1894" s="1"/>
      <x:c r="F1894" s="1"/>
      <x:c r="G1894" s="1"/>
      <x:c r="H1894" s="1"/>
      <x:c r="I1894" s="1"/>
      <x:c r="J1894" s="1"/>
      <x:c r="K1894" s="1"/>
      <x:c r="L1894" s="1"/>
      <x:c r="M1894" s="1"/>
      <x:c r="N1894" s="1"/>
      <x:c r="O1894" s="1"/>
      <x:c r="P1894" s="1"/>
      <x:c r="Q1894" s="1"/>
      <x:c r="R1894" s="1"/>
      <x:c r="S1894" s="1"/>
      <x:c r="T1894" s="1"/>
      <x:c r="U1894" s="1"/>
      <x:c r="V1894" s="1"/>
    </x:row>
    <x:row r="1895">
      <x:c r="A1895" s="1"/>
      <x:c r="B1895" s="1"/>
      <x:c r="C1895" s="1"/>
      <x:c r="D1895" s="1"/>
      <x:c r="E1895" s="1"/>
      <x:c r="F1895" s="1"/>
      <x:c r="G1895" s="1"/>
      <x:c r="H1895" s="1"/>
      <x:c r="I1895" s="1"/>
      <x:c r="J1895" s="1"/>
      <x:c r="K1895" s="1"/>
      <x:c r="L1895" s="1"/>
      <x:c r="M1895" s="1"/>
      <x:c r="N1895" s="1"/>
      <x:c r="O1895" s="1"/>
      <x:c r="P1895" s="1"/>
      <x:c r="Q1895" s="1"/>
      <x:c r="R1895" s="1"/>
      <x:c r="S1895" s="1"/>
      <x:c r="T1895" s="1"/>
      <x:c r="U1895" s="1"/>
      <x:c r="V1895" s="1"/>
    </x:row>
    <x:row r="1896">
      <x:c r="A1896" s="1"/>
      <x:c r="B1896" s="1"/>
      <x:c r="C1896" s="1"/>
      <x:c r="D1896" s="1"/>
      <x:c r="E1896" s="1"/>
      <x:c r="F1896" s="1"/>
      <x:c r="G1896" s="1"/>
      <x:c r="H1896" s="1"/>
      <x:c r="I1896" s="1"/>
      <x:c r="J1896" s="1"/>
      <x:c r="K1896" s="1"/>
      <x:c r="L1896" s="1"/>
      <x:c r="M1896" s="1"/>
      <x:c r="N1896" s="1"/>
      <x:c r="O1896" s="1"/>
      <x:c r="P1896" s="1"/>
      <x:c r="Q1896" s="1"/>
      <x:c r="R1896" s="1"/>
      <x:c r="S1896" s="1"/>
      <x:c r="T1896" s="1"/>
      <x:c r="U1896" s="1"/>
      <x:c r="V1896" s="1"/>
    </x:row>
    <x:row r="1897">
      <x:c r="A1897" s="1"/>
      <x:c r="B1897" s="1"/>
      <x:c r="C1897" s="1"/>
      <x:c r="D1897" s="1"/>
      <x:c r="E1897" s="1"/>
      <x:c r="F1897" s="1"/>
      <x:c r="G1897" s="1"/>
      <x:c r="H1897" s="1"/>
      <x:c r="I1897" s="1"/>
      <x:c r="J1897" s="1"/>
      <x:c r="K1897" s="1"/>
      <x:c r="L1897" s="1"/>
      <x:c r="M1897" s="1"/>
      <x:c r="N1897" s="1"/>
      <x:c r="O1897" s="1"/>
      <x:c r="P1897" s="1"/>
      <x:c r="Q1897" s="1"/>
      <x:c r="R1897" s="1"/>
      <x:c r="S1897" s="1"/>
      <x:c r="T1897" s="1"/>
      <x:c r="U1897" s="1"/>
      <x:c r="V1897" s="1"/>
    </x:row>
    <x:row r="1898">
      <x:c r="A1898" s="1"/>
      <x:c r="B1898" s="1"/>
      <x:c r="C1898" s="1"/>
      <x:c r="D1898" s="1"/>
      <x:c r="E1898" s="1"/>
      <x:c r="F1898" s="1"/>
      <x:c r="G1898" s="1"/>
      <x:c r="H1898" s="1"/>
      <x:c r="I1898" s="1"/>
      <x:c r="J1898" s="1"/>
      <x:c r="K1898" s="1"/>
      <x:c r="L1898" s="1"/>
      <x:c r="M1898" s="1"/>
      <x:c r="N1898" s="1"/>
      <x:c r="O1898" s="1"/>
      <x:c r="P1898" s="1"/>
      <x:c r="Q1898" s="1"/>
      <x:c r="R1898" s="1"/>
      <x:c r="S1898" s="1"/>
      <x:c r="T1898" s="1"/>
      <x:c r="U1898" s="1"/>
      <x:c r="V1898" s="1"/>
    </x:row>
    <x:row r="1899">
      <x:c r="A1899" s="1"/>
      <x:c r="B1899" s="1"/>
      <x:c r="C1899" s="1"/>
      <x:c r="D1899" s="1"/>
      <x:c r="E1899" s="1"/>
      <x:c r="F1899" s="1"/>
      <x:c r="G1899" s="1"/>
      <x:c r="H1899" s="1"/>
      <x:c r="I1899" s="1"/>
      <x:c r="J1899" s="1"/>
      <x:c r="K1899" s="1"/>
      <x:c r="L1899" s="1"/>
      <x:c r="M1899" s="1"/>
      <x:c r="N1899" s="1"/>
      <x:c r="O1899" s="1"/>
      <x:c r="P1899" s="1"/>
      <x:c r="Q1899" s="1"/>
      <x:c r="R1899" s="1"/>
      <x:c r="S1899" s="1"/>
      <x:c r="T1899" s="1"/>
      <x:c r="U1899" s="1"/>
      <x:c r="V1899" s="1"/>
    </x:row>
    <x:row r="1900">
      <x:c r="A1900" s="1"/>
      <x:c r="B1900" s="1"/>
      <x:c r="C1900" s="1"/>
      <x:c r="D1900" s="1"/>
      <x:c r="E1900" s="1"/>
      <x:c r="F1900" s="1"/>
      <x:c r="G1900" s="1"/>
      <x:c r="H1900" s="1"/>
      <x:c r="I1900" s="1"/>
      <x:c r="J1900" s="1"/>
      <x:c r="K1900" s="1"/>
      <x:c r="L1900" s="1"/>
      <x:c r="M1900" s="1"/>
      <x:c r="N1900" s="1"/>
      <x:c r="O1900" s="1"/>
      <x:c r="P1900" s="1"/>
      <x:c r="Q1900" s="1"/>
      <x:c r="R1900" s="1"/>
      <x:c r="S1900" s="1"/>
      <x:c r="T1900" s="1"/>
      <x:c r="U1900" s="1"/>
      <x:c r="V1900" s="1"/>
    </x:row>
    <x:row r="1901">
      <x:c r="A1901" s="1"/>
      <x:c r="B1901" s="1"/>
      <x:c r="C1901" s="1"/>
      <x:c r="D1901" s="1"/>
      <x:c r="E1901" s="1"/>
      <x:c r="F1901" s="1"/>
      <x:c r="G1901" s="1"/>
      <x:c r="H1901" s="1"/>
      <x:c r="I1901" s="1"/>
      <x:c r="J1901" s="1"/>
      <x:c r="K1901" s="1"/>
      <x:c r="L1901" s="1"/>
      <x:c r="M1901" s="1"/>
      <x:c r="N1901" s="1"/>
      <x:c r="O1901" s="1"/>
      <x:c r="P1901" s="1"/>
      <x:c r="Q1901" s="1"/>
      <x:c r="R1901" s="1"/>
      <x:c r="S1901" s="1"/>
      <x:c r="T1901" s="1"/>
      <x:c r="U1901" s="1"/>
      <x:c r="V1901" s="1"/>
    </x:row>
    <x:row r="1902">
      <x:c r="A1902" s="1"/>
      <x:c r="B1902" s="1"/>
      <x:c r="C1902" s="1"/>
      <x:c r="D1902" s="1"/>
      <x:c r="E1902" s="1"/>
      <x:c r="F1902" s="1"/>
      <x:c r="G1902" s="1"/>
      <x:c r="H1902" s="1"/>
      <x:c r="I1902" s="1"/>
      <x:c r="J1902" s="1"/>
      <x:c r="K1902" s="1"/>
      <x:c r="L1902" s="1"/>
      <x:c r="M1902" s="1"/>
      <x:c r="N1902" s="1"/>
      <x:c r="O1902" s="1"/>
      <x:c r="P1902" s="1"/>
      <x:c r="Q1902" s="1"/>
      <x:c r="R1902" s="1"/>
      <x:c r="S1902" s="1"/>
      <x:c r="T1902" s="1"/>
      <x:c r="U1902" s="1"/>
      <x:c r="V1902" s="1"/>
    </x:row>
    <x:row r="1903">
      <x:c r="A1903" s="1"/>
      <x:c r="B1903" s="1"/>
      <x:c r="C1903" s="1"/>
      <x:c r="D1903" s="1"/>
      <x:c r="E1903" s="1"/>
      <x:c r="F1903" s="1"/>
      <x:c r="G1903" s="1"/>
      <x:c r="H1903" s="1"/>
      <x:c r="I1903" s="1"/>
      <x:c r="J1903" s="1"/>
      <x:c r="K1903" s="1"/>
      <x:c r="L1903" s="1"/>
      <x:c r="M1903" s="1"/>
      <x:c r="N1903" s="1"/>
      <x:c r="O1903" s="1"/>
      <x:c r="P1903" s="1"/>
      <x:c r="Q1903" s="1"/>
      <x:c r="R1903" s="1"/>
      <x:c r="S1903" s="1"/>
      <x:c r="T1903" s="1"/>
      <x:c r="U1903" s="1"/>
      <x:c r="V1903" s="1"/>
    </x:row>
    <x:row r="1904">
      <x:c r="A1904" s="1"/>
      <x:c r="B1904" s="1"/>
      <x:c r="C1904" s="1"/>
      <x:c r="D1904" s="1"/>
      <x:c r="E1904" s="1"/>
      <x:c r="F1904" s="1"/>
      <x:c r="G1904" s="1"/>
      <x:c r="H1904" s="1"/>
      <x:c r="I1904" s="1"/>
      <x:c r="J1904" s="1"/>
      <x:c r="K1904" s="1"/>
      <x:c r="L1904" s="1"/>
      <x:c r="M1904" s="1"/>
      <x:c r="N1904" s="1"/>
      <x:c r="O1904" s="1"/>
      <x:c r="P1904" s="1"/>
      <x:c r="Q1904" s="1"/>
      <x:c r="R1904" s="1"/>
      <x:c r="S1904" s="1"/>
      <x:c r="T1904" s="1"/>
      <x:c r="U1904" s="1"/>
      <x:c r="V1904" s="1"/>
    </x:row>
    <x:row r="1905">
      <x:c r="A1905" s="1"/>
      <x:c r="B1905" s="1"/>
      <x:c r="C1905" s="1"/>
      <x:c r="D1905" s="1"/>
      <x:c r="E1905" s="1"/>
      <x:c r="F1905" s="1"/>
      <x:c r="G1905" s="1"/>
      <x:c r="H1905" s="1"/>
      <x:c r="I1905" s="1"/>
      <x:c r="J1905" s="1"/>
      <x:c r="K1905" s="1"/>
      <x:c r="L1905" s="1"/>
      <x:c r="M1905" s="1"/>
      <x:c r="N1905" s="1"/>
      <x:c r="O1905" s="1"/>
      <x:c r="P1905" s="1"/>
      <x:c r="Q1905" s="1"/>
      <x:c r="R1905" s="1"/>
      <x:c r="S1905" s="1"/>
      <x:c r="T1905" s="1"/>
      <x:c r="U1905" s="1"/>
      <x:c r="V1905" s="1"/>
    </x:row>
    <x:row r="1906">
      <x:c r="A1906" s="1"/>
      <x:c r="B1906" s="1"/>
      <x:c r="C1906" s="1"/>
      <x:c r="D1906" s="1"/>
      <x:c r="E1906" s="1"/>
      <x:c r="F1906" s="1"/>
      <x:c r="G1906" s="1"/>
      <x:c r="H1906" s="1"/>
      <x:c r="I1906" s="1"/>
      <x:c r="J1906" s="1"/>
      <x:c r="K1906" s="1"/>
      <x:c r="L1906" s="1"/>
      <x:c r="M1906" s="1"/>
      <x:c r="N1906" s="1"/>
      <x:c r="O1906" s="1"/>
      <x:c r="P1906" s="1"/>
      <x:c r="Q1906" s="1"/>
      <x:c r="R1906" s="1"/>
      <x:c r="S1906" s="1"/>
      <x:c r="T1906" s="1"/>
      <x:c r="U1906" s="1"/>
      <x:c r="V1906" s="1"/>
    </x:row>
    <x:row r="1907">
      <x:c r="A1907" s="1"/>
      <x:c r="B1907" s="1"/>
      <x:c r="C1907" s="1"/>
      <x:c r="D1907" s="1"/>
      <x:c r="E1907" s="1"/>
      <x:c r="F1907" s="1"/>
      <x:c r="G1907" s="1"/>
      <x:c r="H1907" s="1"/>
      <x:c r="I1907" s="1"/>
      <x:c r="J1907" s="1"/>
      <x:c r="K1907" s="1"/>
      <x:c r="L1907" s="1"/>
      <x:c r="M1907" s="1"/>
      <x:c r="N1907" s="1"/>
      <x:c r="O1907" s="1"/>
      <x:c r="P1907" s="1"/>
      <x:c r="Q1907" s="1"/>
      <x:c r="R1907" s="1"/>
      <x:c r="S1907" s="1"/>
      <x:c r="T1907" s="1"/>
      <x:c r="U1907" s="1"/>
      <x:c r="V1907" s="1"/>
    </x:row>
    <x:row r="1908">
      <x:c r="A1908" s="1"/>
      <x:c r="B1908" s="1"/>
      <x:c r="C1908" s="1"/>
      <x:c r="D1908" s="1"/>
      <x:c r="E1908" s="1"/>
      <x:c r="F1908" s="1"/>
      <x:c r="G1908" s="1"/>
      <x:c r="H1908" s="1"/>
      <x:c r="I1908" s="1"/>
      <x:c r="J1908" s="1"/>
      <x:c r="K1908" s="1"/>
      <x:c r="L1908" s="1"/>
      <x:c r="M1908" s="1"/>
      <x:c r="N1908" s="1"/>
      <x:c r="O1908" s="1"/>
      <x:c r="P1908" s="1"/>
      <x:c r="Q1908" s="1"/>
      <x:c r="R1908" s="1"/>
      <x:c r="S1908" s="1"/>
      <x:c r="T1908" s="1"/>
      <x:c r="U1908" s="1"/>
      <x:c r="V1908" s="1"/>
    </x:row>
    <x:row r="1909">
      <x:c r="A1909" s="1"/>
      <x:c r="B1909" s="1"/>
      <x:c r="C1909" s="1"/>
      <x:c r="D1909" s="1"/>
      <x:c r="E1909" s="1"/>
      <x:c r="F1909" s="1"/>
      <x:c r="G1909" s="1"/>
      <x:c r="H1909" s="1"/>
      <x:c r="I1909" s="1"/>
      <x:c r="J1909" s="1"/>
      <x:c r="K1909" s="1"/>
      <x:c r="L1909" s="1"/>
      <x:c r="M1909" s="1"/>
      <x:c r="N1909" s="1"/>
      <x:c r="O1909" s="1"/>
      <x:c r="P1909" s="1"/>
      <x:c r="Q1909" s="1"/>
      <x:c r="R1909" s="1"/>
      <x:c r="S1909" s="1"/>
      <x:c r="T1909" s="1"/>
      <x:c r="U1909" s="1"/>
      <x:c r="V1909" s="1"/>
    </x:row>
    <x:row r="1910">
      <x:c r="A1910" s="1"/>
      <x:c r="B1910" s="1"/>
      <x:c r="C1910" s="1"/>
      <x:c r="D1910" s="1"/>
      <x:c r="E1910" s="1"/>
      <x:c r="F1910" s="1"/>
      <x:c r="G1910" s="1"/>
      <x:c r="H1910" s="1"/>
      <x:c r="I1910" s="1"/>
      <x:c r="J1910" s="1"/>
      <x:c r="K1910" s="1"/>
      <x:c r="L1910" s="1"/>
      <x:c r="M1910" s="1"/>
      <x:c r="N1910" s="1"/>
      <x:c r="O1910" s="1"/>
      <x:c r="P1910" s="1"/>
      <x:c r="Q1910" s="1"/>
      <x:c r="R1910" s="1"/>
      <x:c r="S1910" s="1"/>
      <x:c r="T1910" s="1"/>
      <x:c r="U1910" s="1"/>
      <x:c r="V1910" s="1"/>
    </x:row>
    <x:row r="1911">
      <x:c r="A1911" s="1"/>
      <x:c r="B1911" s="1"/>
      <x:c r="C1911" s="1"/>
      <x:c r="D1911" s="1"/>
      <x:c r="E1911" s="1"/>
      <x:c r="F1911" s="1"/>
      <x:c r="G1911" s="1"/>
      <x:c r="H1911" s="1"/>
      <x:c r="I1911" s="1"/>
      <x:c r="J1911" s="1"/>
      <x:c r="K1911" s="1"/>
      <x:c r="L1911" s="1"/>
      <x:c r="M1911" s="1"/>
      <x:c r="N1911" s="1"/>
      <x:c r="O1911" s="1"/>
      <x:c r="P1911" s="1"/>
      <x:c r="Q1911" s="1"/>
      <x:c r="R1911" s="1"/>
      <x:c r="S1911" s="1"/>
      <x:c r="T1911" s="1"/>
      <x:c r="U1911" s="1"/>
      <x:c r="V1911" s="1"/>
    </x:row>
    <x:row r="1912">
      <x:c r="A1912" s="1"/>
      <x:c r="B1912" s="1"/>
      <x:c r="C1912" s="1"/>
      <x:c r="D1912" s="1"/>
      <x:c r="E1912" s="1"/>
      <x:c r="F1912" s="1"/>
      <x:c r="G1912" s="1"/>
      <x:c r="H1912" s="1"/>
      <x:c r="I1912" s="1"/>
      <x:c r="J1912" s="1"/>
      <x:c r="K1912" s="1"/>
      <x:c r="L1912" s="1"/>
      <x:c r="M1912" s="1"/>
      <x:c r="N1912" s="1"/>
      <x:c r="O1912" s="1"/>
      <x:c r="P1912" s="1"/>
      <x:c r="Q1912" s="1"/>
      <x:c r="R1912" s="1"/>
      <x:c r="S1912" s="1"/>
      <x:c r="T1912" s="1"/>
      <x:c r="U1912" s="1"/>
      <x:c r="V1912" s="1"/>
    </x:row>
    <x:row r="1913">
      <x:c r="A1913" s="1"/>
      <x:c r="B1913" s="1"/>
      <x:c r="C1913" s="1"/>
      <x:c r="D1913" s="1"/>
      <x:c r="E1913" s="1"/>
      <x:c r="F1913" s="1"/>
      <x:c r="G1913" s="1"/>
      <x:c r="H1913" s="1"/>
      <x:c r="I1913" s="1"/>
      <x:c r="J1913" s="1"/>
      <x:c r="K1913" s="1"/>
      <x:c r="L1913" s="1"/>
      <x:c r="M1913" s="1"/>
      <x:c r="N1913" s="1"/>
      <x:c r="O1913" s="1"/>
      <x:c r="P1913" s="1"/>
      <x:c r="Q1913" s="1"/>
      <x:c r="R1913" s="1"/>
      <x:c r="S1913" s="1"/>
      <x:c r="T1913" s="1"/>
      <x:c r="U1913" s="1"/>
      <x:c r="V1913" s="1"/>
    </x:row>
    <x:row r="1914">
      <x:c r="A1914" s="1"/>
      <x:c r="B1914" s="1"/>
      <x:c r="C1914" s="1"/>
      <x:c r="D1914" s="1"/>
      <x:c r="E1914" s="1"/>
      <x:c r="F1914" s="1"/>
      <x:c r="G1914" s="1"/>
      <x:c r="H1914" s="1"/>
      <x:c r="I1914" s="1"/>
      <x:c r="J1914" s="1"/>
      <x:c r="K1914" s="1"/>
      <x:c r="L1914" s="1"/>
      <x:c r="M1914" s="1"/>
      <x:c r="N1914" s="1"/>
      <x:c r="O1914" s="1"/>
      <x:c r="P1914" s="1"/>
      <x:c r="Q1914" s="1"/>
      <x:c r="R1914" s="1"/>
      <x:c r="S1914" s="1"/>
      <x:c r="T1914" s="1"/>
      <x:c r="U1914" s="1"/>
      <x:c r="V1914" s="1"/>
    </x:row>
    <x:row r="1915">
      <x:c r="A1915" s="1"/>
      <x:c r="B1915" s="1"/>
      <x:c r="C1915" s="1"/>
      <x:c r="D1915" s="1"/>
      <x:c r="E1915" s="1"/>
      <x:c r="F1915" s="1"/>
      <x:c r="G1915" s="1"/>
      <x:c r="H1915" s="1"/>
      <x:c r="I1915" s="1"/>
      <x:c r="J1915" s="1"/>
      <x:c r="K1915" s="1"/>
      <x:c r="L1915" s="1"/>
      <x:c r="M1915" s="1"/>
      <x:c r="N1915" s="1"/>
      <x:c r="O1915" s="1"/>
      <x:c r="P1915" s="1"/>
      <x:c r="Q1915" s="1"/>
      <x:c r="R1915" s="1"/>
      <x:c r="S1915" s="1"/>
      <x:c r="T1915" s="1"/>
      <x:c r="U1915" s="1"/>
      <x:c r="V1915" s="1"/>
    </x:row>
    <x:row r="1916">
      <x:c r="A1916" s="1"/>
      <x:c r="B1916" s="1"/>
      <x:c r="C1916" s="1"/>
      <x:c r="D1916" s="1"/>
      <x:c r="E1916" s="1"/>
      <x:c r="F1916" s="1"/>
      <x:c r="G1916" s="1"/>
      <x:c r="H1916" s="1"/>
      <x:c r="I1916" s="1"/>
      <x:c r="J1916" s="1"/>
      <x:c r="K1916" s="1"/>
      <x:c r="L1916" s="1"/>
      <x:c r="M1916" s="1"/>
      <x:c r="N1916" s="1"/>
      <x:c r="O1916" s="1"/>
      <x:c r="P1916" s="1"/>
      <x:c r="Q1916" s="1"/>
      <x:c r="R1916" s="1"/>
      <x:c r="S1916" s="1"/>
      <x:c r="T1916" s="1"/>
      <x:c r="U1916" s="1"/>
      <x:c r="V1916" s="1"/>
    </x:row>
    <x:row r="1917">
      <x:c r="A1917" s="1"/>
      <x:c r="B1917" s="1"/>
      <x:c r="C1917" s="1"/>
      <x:c r="D1917" s="1"/>
      <x:c r="E1917" s="1"/>
      <x:c r="F1917" s="1"/>
      <x:c r="G1917" s="1"/>
      <x:c r="H1917" s="1"/>
      <x:c r="I1917" s="1"/>
      <x:c r="J1917" s="1"/>
      <x:c r="K1917" s="1"/>
      <x:c r="L1917" s="1"/>
      <x:c r="M1917" s="1"/>
      <x:c r="N1917" s="1"/>
      <x:c r="O1917" s="1"/>
      <x:c r="P1917" s="1"/>
      <x:c r="Q1917" s="1"/>
      <x:c r="R1917" s="1"/>
      <x:c r="S1917" s="1"/>
      <x:c r="T1917" s="1"/>
      <x:c r="U1917" s="1"/>
      <x:c r="V1917" s="1"/>
    </x:row>
    <x:row r="1918">
      <x:c r="A1918" s="1"/>
      <x:c r="B1918" s="1"/>
      <x:c r="C1918" s="1"/>
      <x:c r="D1918" s="1"/>
      <x:c r="E1918" s="1"/>
      <x:c r="F1918" s="1"/>
      <x:c r="G1918" s="1"/>
      <x:c r="H1918" s="1"/>
      <x:c r="I1918" s="1"/>
      <x:c r="J1918" s="1"/>
      <x:c r="K1918" s="1"/>
      <x:c r="L1918" s="1"/>
      <x:c r="M1918" s="1"/>
      <x:c r="N1918" s="1"/>
      <x:c r="O1918" s="1"/>
      <x:c r="P1918" s="1"/>
      <x:c r="Q1918" s="1"/>
      <x:c r="R1918" s="1"/>
      <x:c r="S1918" s="1"/>
      <x:c r="T1918" s="1"/>
      <x:c r="U1918" s="1"/>
      <x:c r="V1918" s="1"/>
    </x:row>
    <x:row r="1919">
      <x:c r="A1919" s="1"/>
      <x:c r="B1919" s="1"/>
      <x:c r="C1919" s="1"/>
      <x:c r="D1919" s="1"/>
      <x:c r="E1919" s="1"/>
      <x:c r="F1919" s="1"/>
      <x:c r="G1919" s="1"/>
      <x:c r="H1919" s="1"/>
      <x:c r="I1919" s="1"/>
      <x:c r="J1919" s="1"/>
      <x:c r="K1919" s="1"/>
      <x:c r="L1919" s="1"/>
      <x:c r="M1919" s="1"/>
      <x:c r="N1919" s="1"/>
      <x:c r="O1919" s="1"/>
      <x:c r="P1919" s="1"/>
      <x:c r="Q1919" s="1"/>
      <x:c r="R1919" s="1"/>
      <x:c r="S1919" s="1"/>
      <x:c r="T1919" s="1"/>
      <x:c r="U1919" s="1"/>
      <x:c r="V1919" s="1"/>
    </x:row>
    <x:row r="1920">
      <x:c r="A1920" s="1"/>
      <x:c r="B1920" s="1"/>
      <x:c r="C1920" s="1"/>
      <x:c r="D1920" s="1"/>
      <x:c r="E1920" s="1"/>
      <x:c r="F1920" s="1"/>
      <x:c r="G1920" s="1"/>
      <x:c r="H1920" s="1"/>
      <x:c r="I1920" s="1"/>
      <x:c r="J1920" s="1"/>
      <x:c r="K1920" s="1"/>
      <x:c r="L1920" s="1"/>
      <x:c r="M1920" s="1"/>
      <x:c r="N1920" s="1"/>
      <x:c r="O1920" s="1"/>
      <x:c r="P1920" s="1"/>
      <x:c r="Q1920" s="1"/>
      <x:c r="R1920" s="1"/>
      <x:c r="S1920" s="1"/>
      <x:c r="T1920" s="1"/>
      <x:c r="U1920" s="1"/>
      <x:c r="V1920" s="1"/>
    </x:row>
    <x:row r="1921">
      <x:c r="A1921" s="1"/>
      <x:c r="B1921" s="1"/>
      <x:c r="C1921" s="1"/>
      <x:c r="D1921" s="1"/>
      <x:c r="E1921" s="1"/>
      <x:c r="F1921" s="1"/>
      <x:c r="G1921" s="1"/>
      <x:c r="H1921" s="1"/>
      <x:c r="I1921" s="1"/>
      <x:c r="J1921" s="1"/>
      <x:c r="K1921" s="1"/>
      <x:c r="L1921" s="1"/>
      <x:c r="M1921" s="1"/>
      <x:c r="N1921" s="1"/>
      <x:c r="O1921" s="1"/>
      <x:c r="P1921" s="1"/>
      <x:c r="Q1921" s="1"/>
      <x:c r="R1921" s="1"/>
      <x:c r="S1921" s="1"/>
      <x:c r="T1921" s="1"/>
      <x:c r="U1921" s="1"/>
      <x:c r="V1921" s="1"/>
    </x:row>
    <x:row r="1922">
      <x:c r="A1922" s="1"/>
      <x:c r="B1922" s="1"/>
      <x:c r="C1922" s="1"/>
      <x:c r="D1922" s="1"/>
      <x:c r="E1922" s="1"/>
      <x:c r="F1922" s="1"/>
      <x:c r="G1922" s="1"/>
      <x:c r="H1922" s="1"/>
      <x:c r="I1922" s="1"/>
      <x:c r="J1922" s="1"/>
      <x:c r="K1922" s="1"/>
      <x:c r="L1922" s="1"/>
      <x:c r="M1922" s="1"/>
      <x:c r="N1922" s="1"/>
      <x:c r="O1922" s="1"/>
      <x:c r="P1922" s="1"/>
      <x:c r="Q1922" s="1"/>
      <x:c r="R1922" s="1"/>
      <x:c r="S1922" s="1"/>
      <x:c r="T1922" s="1"/>
      <x:c r="U1922" s="1"/>
      <x:c r="V1922" s="1"/>
    </x:row>
    <x:row r="1923">
      <x:c r="A1923" s="1"/>
      <x:c r="B1923" s="1"/>
      <x:c r="C1923" s="1"/>
      <x:c r="D1923" s="1"/>
      <x:c r="E1923" s="1"/>
      <x:c r="F1923" s="1"/>
      <x:c r="G1923" s="1"/>
      <x:c r="H1923" s="1"/>
      <x:c r="I1923" s="1"/>
      <x:c r="J1923" s="1"/>
      <x:c r="K1923" s="1"/>
      <x:c r="L1923" s="1"/>
      <x:c r="M1923" s="1"/>
      <x:c r="N1923" s="1"/>
      <x:c r="O1923" s="1"/>
      <x:c r="P1923" s="1"/>
      <x:c r="Q1923" s="1"/>
      <x:c r="R1923" s="1"/>
      <x:c r="S1923" s="1"/>
      <x:c r="T1923" s="1"/>
      <x:c r="U1923" s="1"/>
      <x:c r="V1923" s="1"/>
    </x:row>
    <x:row r="1924">
      <x:c r="A1924" s="1"/>
      <x:c r="B1924" s="1"/>
      <x:c r="C1924" s="1"/>
      <x:c r="D1924" s="1"/>
      <x:c r="E1924" s="1"/>
      <x:c r="F1924" s="1"/>
      <x:c r="G1924" s="1"/>
      <x:c r="H1924" s="1"/>
      <x:c r="I1924" s="1"/>
      <x:c r="J1924" s="1"/>
      <x:c r="K1924" s="1"/>
      <x:c r="L1924" s="1"/>
      <x:c r="M1924" s="1"/>
      <x:c r="N1924" s="1"/>
      <x:c r="O1924" s="1"/>
      <x:c r="P1924" s="1"/>
      <x:c r="Q1924" s="1"/>
      <x:c r="R1924" s="1"/>
      <x:c r="S1924" s="1"/>
      <x:c r="T1924" s="1"/>
      <x:c r="U1924" s="1"/>
      <x:c r="V1924" s="1"/>
    </x:row>
    <x:row r="1925">
      <x:c r="A1925" s="1"/>
      <x:c r="B1925" s="1"/>
      <x:c r="C1925" s="1"/>
      <x:c r="D1925" s="1"/>
      <x:c r="E1925" s="1"/>
      <x:c r="F1925" s="1"/>
      <x:c r="G1925" s="1"/>
      <x:c r="H1925" s="1"/>
      <x:c r="I1925" s="1"/>
      <x:c r="J1925" s="1"/>
      <x:c r="K1925" s="1"/>
      <x:c r="L1925" s="1"/>
      <x:c r="M1925" s="1"/>
      <x:c r="N1925" s="1"/>
      <x:c r="O1925" s="1"/>
      <x:c r="P1925" s="1"/>
      <x:c r="Q1925" s="1"/>
      <x:c r="R1925" s="1"/>
      <x:c r="S1925" s="1"/>
      <x:c r="T1925" s="1"/>
      <x:c r="U1925" s="1"/>
      <x:c r="V1925" s="1"/>
    </x:row>
    <x:row r="1926">
      <x:c r="A1926" s="1"/>
      <x:c r="B1926" s="1"/>
      <x:c r="C1926" s="1"/>
      <x:c r="D1926" s="1"/>
      <x:c r="E1926" s="1"/>
      <x:c r="F1926" s="1"/>
      <x:c r="G1926" s="1"/>
      <x:c r="H1926" s="1"/>
      <x:c r="I1926" s="1"/>
      <x:c r="J1926" s="1"/>
      <x:c r="K1926" s="1"/>
      <x:c r="L1926" s="1"/>
      <x:c r="M1926" s="1"/>
      <x:c r="N1926" s="1"/>
      <x:c r="O1926" s="1"/>
      <x:c r="P1926" s="1"/>
      <x:c r="Q1926" s="1"/>
      <x:c r="R1926" s="1"/>
      <x:c r="S1926" s="1"/>
      <x:c r="T1926" s="1"/>
      <x:c r="U1926" s="1"/>
      <x:c r="V1926" s="1"/>
    </x:row>
    <x:row r="1927">
      <x:c r="A1927" s="1"/>
      <x:c r="B1927" s="1"/>
      <x:c r="C1927" s="1"/>
      <x:c r="D1927" s="1"/>
      <x:c r="E1927" s="1"/>
      <x:c r="F1927" s="1"/>
      <x:c r="G1927" s="1"/>
      <x:c r="H1927" s="1"/>
      <x:c r="I1927" s="1"/>
      <x:c r="J1927" s="1"/>
      <x:c r="K1927" s="1"/>
      <x:c r="L1927" s="1"/>
      <x:c r="M1927" s="1"/>
      <x:c r="N1927" s="1"/>
      <x:c r="O1927" s="1"/>
      <x:c r="P1927" s="1"/>
      <x:c r="Q1927" s="1"/>
      <x:c r="R1927" s="1"/>
      <x:c r="S1927" s="1"/>
      <x:c r="T1927" s="1"/>
      <x:c r="U1927" s="1"/>
      <x:c r="V1927" s="1"/>
    </x:row>
    <x:row r="1928">
      <x:c r="A1928" s="1"/>
      <x:c r="B1928" s="1"/>
      <x:c r="C1928" s="1"/>
      <x:c r="D1928" s="1"/>
      <x:c r="E1928" s="1"/>
      <x:c r="F1928" s="1"/>
      <x:c r="G1928" s="1"/>
      <x:c r="H1928" s="1"/>
      <x:c r="I1928" s="1"/>
      <x:c r="J1928" s="1"/>
      <x:c r="K1928" s="1"/>
      <x:c r="L1928" s="1"/>
      <x:c r="M1928" s="1"/>
      <x:c r="N1928" s="1"/>
      <x:c r="O1928" s="1"/>
      <x:c r="P1928" s="1"/>
      <x:c r="Q1928" s="1"/>
      <x:c r="R1928" s="1"/>
      <x:c r="S1928" s="1"/>
      <x:c r="T1928" s="1"/>
      <x:c r="U1928" s="1"/>
      <x:c r="V1928" s="1"/>
    </x:row>
    <x:row r="1929">
      <x:c r="A1929" s="1"/>
      <x:c r="B1929" s="1"/>
      <x:c r="C1929" s="1"/>
      <x:c r="D1929" s="1"/>
      <x:c r="E1929" s="1"/>
      <x:c r="F1929" s="1"/>
      <x:c r="G1929" s="1"/>
      <x:c r="H1929" s="1"/>
      <x:c r="I1929" s="1"/>
      <x:c r="J1929" s="1"/>
      <x:c r="K1929" s="1"/>
      <x:c r="L1929" s="1"/>
      <x:c r="M1929" s="1"/>
      <x:c r="N1929" s="1"/>
      <x:c r="O1929" s="1"/>
      <x:c r="P1929" s="1"/>
      <x:c r="Q1929" s="1"/>
      <x:c r="R1929" s="1"/>
      <x:c r="S1929" s="1"/>
      <x:c r="T1929" s="1"/>
      <x:c r="U1929" s="1"/>
      <x:c r="V1929" s="1"/>
    </x:row>
    <x:row r="1930">
      <x:c r="A1930" s="1"/>
      <x:c r="B1930" s="1"/>
      <x:c r="C1930" s="1"/>
      <x:c r="D1930" s="1"/>
      <x:c r="E1930" s="1"/>
      <x:c r="F1930" s="1"/>
      <x:c r="G1930" s="1"/>
      <x:c r="H1930" s="1"/>
      <x:c r="I1930" s="1"/>
      <x:c r="J1930" s="1"/>
      <x:c r="K1930" s="1"/>
      <x:c r="L1930" s="1"/>
      <x:c r="M1930" s="1"/>
      <x:c r="N1930" s="1"/>
      <x:c r="O1930" s="1"/>
      <x:c r="P1930" s="1"/>
      <x:c r="Q1930" s="1"/>
      <x:c r="R1930" s="1"/>
      <x:c r="S1930" s="1"/>
      <x:c r="T1930" s="1"/>
      <x:c r="U1930" s="1"/>
      <x:c r="V1930" s="1"/>
    </x:row>
    <x:row r="1931">
      <x:c r="A1931" s="1"/>
      <x:c r="B1931" s="1"/>
      <x:c r="C1931" s="1"/>
      <x:c r="D1931" s="1"/>
      <x:c r="E1931" s="1"/>
      <x:c r="F1931" s="1"/>
      <x:c r="G1931" s="1"/>
      <x:c r="H1931" s="1"/>
      <x:c r="I1931" s="1"/>
      <x:c r="J1931" s="1"/>
      <x:c r="K1931" s="1"/>
      <x:c r="L1931" s="1"/>
      <x:c r="M1931" s="1"/>
      <x:c r="N1931" s="1"/>
      <x:c r="O1931" s="1"/>
      <x:c r="P1931" s="1"/>
      <x:c r="Q1931" s="1"/>
      <x:c r="R1931" s="1"/>
      <x:c r="S1931" s="1"/>
      <x:c r="T1931" s="1"/>
      <x:c r="U1931" s="1"/>
      <x:c r="V1931" s="1"/>
    </x:row>
    <x:row r="1932">
      <x:c r="A1932" s="1"/>
      <x:c r="B1932" s="1"/>
      <x:c r="C1932" s="1"/>
      <x:c r="D1932" s="1"/>
      <x:c r="E1932" s="1"/>
      <x:c r="F1932" s="1"/>
      <x:c r="G1932" s="1"/>
      <x:c r="H1932" s="1"/>
      <x:c r="I1932" s="1"/>
      <x:c r="J1932" s="1"/>
      <x:c r="K1932" s="1"/>
      <x:c r="L1932" s="1"/>
      <x:c r="M1932" s="1"/>
      <x:c r="N1932" s="1"/>
      <x:c r="O1932" s="1"/>
      <x:c r="P1932" s="1"/>
      <x:c r="Q1932" s="1"/>
      <x:c r="R1932" s="1"/>
      <x:c r="S1932" s="1"/>
      <x:c r="T1932" s="1"/>
      <x:c r="U1932" s="1"/>
      <x:c r="V1932" s="1"/>
    </x:row>
    <x:row r="1933">
      <x:c r="A1933" s="1"/>
      <x:c r="B1933" s="1"/>
      <x:c r="C1933" s="1"/>
      <x:c r="D1933" s="1"/>
      <x:c r="E1933" s="1"/>
      <x:c r="F1933" s="1"/>
      <x:c r="G1933" s="1"/>
      <x:c r="H1933" s="1"/>
      <x:c r="I1933" s="1"/>
      <x:c r="J1933" s="1"/>
      <x:c r="K1933" s="1"/>
      <x:c r="L1933" s="1"/>
      <x:c r="M1933" s="1"/>
      <x:c r="N1933" s="1"/>
      <x:c r="O1933" s="1"/>
      <x:c r="P1933" s="1"/>
      <x:c r="Q1933" s="1"/>
      <x:c r="R1933" s="1"/>
      <x:c r="S1933" s="1"/>
      <x:c r="T1933" s="1"/>
      <x:c r="U1933" s="1"/>
      <x:c r="V1933" s="1"/>
    </x:row>
    <x:row r="1934">
      <x:c r="A1934" s="1"/>
      <x:c r="B1934" s="1"/>
      <x:c r="C1934" s="1"/>
      <x:c r="D1934" s="1"/>
      <x:c r="E1934" s="1"/>
      <x:c r="F1934" s="1"/>
      <x:c r="G1934" s="1"/>
      <x:c r="H1934" s="1"/>
      <x:c r="I1934" s="1"/>
      <x:c r="J1934" s="1"/>
      <x:c r="K1934" s="1"/>
      <x:c r="L1934" s="1"/>
      <x:c r="M1934" s="1"/>
      <x:c r="N1934" s="1"/>
      <x:c r="O1934" s="1"/>
      <x:c r="P1934" s="1"/>
      <x:c r="Q1934" s="1"/>
      <x:c r="R1934" s="1"/>
      <x:c r="S1934" s="1"/>
      <x:c r="T1934" s="1"/>
      <x:c r="U1934" s="1"/>
      <x:c r="V1934" s="1"/>
    </x:row>
    <x:row r="1935">
      <x:c r="A1935" s="1"/>
      <x:c r="B1935" s="1"/>
      <x:c r="C1935" s="1"/>
      <x:c r="D1935" s="1"/>
      <x:c r="E1935" s="1"/>
      <x:c r="F1935" s="1"/>
      <x:c r="G1935" s="1"/>
      <x:c r="H1935" s="1"/>
      <x:c r="I1935" s="1"/>
      <x:c r="J1935" s="1"/>
      <x:c r="K1935" s="1"/>
      <x:c r="L1935" s="1"/>
      <x:c r="M1935" s="1"/>
      <x:c r="N1935" s="1"/>
      <x:c r="O1935" s="1"/>
      <x:c r="P1935" s="1"/>
      <x:c r="Q1935" s="1"/>
      <x:c r="R1935" s="1"/>
      <x:c r="S1935" s="1"/>
      <x:c r="T1935" s="1"/>
      <x:c r="U1935" s="1"/>
      <x:c r="V1935" s="1"/>
    </x:row>
    <x:row r="1936">
      <x:c r="A1936" s="1"/>
      <x:c r="B1936" s="1"/>
      <x:c r="C1936" s="1"/>
      <x:c r="D1936" s="1"/>
      <x:c r="E1936" s="1"/>
      <x:c r="F1936" s="1"/>
      <x:c r="G1936" s="1"/>
      <x:c r="H1936" s="1"/>
      <x:c r="I1936" s="1"/>
      <x:c r="J1936" s="1"/>
      <x:c r="K1936" s="1"/>
      <x:c r="L1936" s="1"/>
      <x:c r="M1936" s="1"/>
      <x:c r="N1936" s="1"/>
      <x:c r="O1936" s="1"/>
      <x:c r="P1936" s="1"/>
      <x:c r="Q1936" s="1"/>
      <x:c r="R1936" s="1"/>
      <x:c r="S1936" s="1"/>
      <x:c r="T1936" s="1"/>
      <x:c r="U1936" s="1"/>
      <x:c r="V1936" s="1"/>
    </x:row>
    <x:row r="1937">
      <x:c r="A1937" s="1"/>
      <x:c r="B1937" s="1"/>
      <x:c r="C1937" s="1"/>
      <x:c r="D1937" s="1"/>
      <x:c r="E1937" s="1"/>
      <x:c r="F1937" s="1"/>
      <x:c r="G1937" s="1"/>
      <x:c r="H1937" s="1"/>
      <x:c r="I1937" s="1"/>
      <x:c r="J1937" s="1"/>
      <x:c r="K1937" s="1"/>
      <x:c r="L1937" s="1"/>
      <x:c r="M1937" s="1"/>
      <x:c r="N1937" s="1"/>
      <x:c r="O1937" s="1"/>
      <x:c r="P1937" s="1"/>
      <x:c r="Q1937" s="1"/>
      <x:c r="R1937" s="1"/>
      <x:c r="S1937" s="1"/>
      <x:c r="T1937" s="1"/>
      <x:c r="U1937" s="1"/>
      <x:c r="V1937" s="1"/>
    </x:row>
    <x:row r="1938">
      <x:c r="A1938" s="1"/>
      <x:c r="B1938" s="1"/>
      <x:c r="C1938" s="1"/>
      <x:c r="D1938" s="1"/>
      <x:c r="E1938" s="1"/>
      <x:c r="F1938" s="1"/>
      <x:c r="G1938" s="1"/>
      <x:c r="H1938" s="1"/>
      <x:c r="I1938" s="1"/>
      <x:c r="J1938" s="1"/>
      <x:c r="K1938" s="1"/>
      <x:c r="L1938" s="1"/>
      <x:c r="M1938" s="1"/>
      <x:c r="N1938" s="1"/>
      <x:c r="O1938" s="1"/>
      <x:c r="P1938" s="1"/>
      <x:c r="Q1938" s="1"/>
      <x:c r="R1938" s="1"/>
      <x:c r="S1938" s="1"/>
      <x:c r="T1938" s="1"/>
      <x:c r="U1938" s="1"/>
      <x:c r="V1938" s="1"/>
    </x:row>
    <x:row r="1939">
      <x:c r="A1939" s="1"/>
      <x:c r="B1939" s="1"/>
      <x:c r="C1939" s="1"/>
      <x:c r="D1939" s="1"/>
      <x:c r="E1939" s="1"/>
      <x:c r="F1939" s="1"/>
      <x:c r="G1939" s="1"/>
      <x:c r="H1939" s="1"/>
      <x:c r="I1939" s="1"/>
      <x:c r="J1939" s="1"/>
      <x:c r="K1939" s="1"/>
      <x:c r="L1939" s="1"/>
      <x:c r="M1939" s="1"/>
      <x:c r="N1939" s="1"/>
      <x:c r="O1939" s="1"/>
      <x:c r="P1939" s="1"/>
      <x:c r="Q1939" s="1"/>
      <x:c r="R1939" s="1"/>
      <x:c r="S1939" s="1"/>
      <x:c r="T1939" s="1"/>
      <x:c r="U1939" s="1"/>
      <x:c r="V1939" s="1"/>
    </x:row>
    <x:row r="1940">
      <x:c r="A1940" s="1"/>
      <x:c r="B1940" s="1"/>
      <x:c r="C1940" s="1"/>
      <x:c r="D1940" s="1"/>
      <x:c r="E1940" s="1"/>
      <x:c r="F1940" s="1"/>
      <x:c r="G1940" s="1"/>
      <x:c r="H1940" s="1"/>
      <x:c r="I1940" s="1"/>
      <x:c r="J1940" s="1"/>
      <x:c r="K1940" s="1"/>
      <x:c r="L1940" s="1"/>
      <x:c r="M1940" s="1"/>
      <x:c r="N1940" s="1"/>
      <x:c r="O1940" s="1"/>
      <x:c r="P1940" s="1"/>
      <x:c r="Q1940" s="1"/>
      <x:c r="R1940" s="1"/>
      <x:c r="S1940" s="1"/>
      <x:c r="T1940" s="1"/>
      <x:c r="U1940" s="1"/>
      <x:c r="V1940" s="1"/>
    </x:row>
    <x:row r="1941">
      <x:c r="A1941" s="1"/>
      <x:c r="B1941" s="1"/>
      <x:c r="C1941" s="1"/>
      <x:c r="D1941" s="1"/>
      <x:c r="E1941" s="1"/>
      <x:c r="F1941" s="1"/>
      <x:c r="G1941" s="1"/>
      <x:c r="H1941" s="1"/>
      <x:c r="I1941" s="1"/>
      <x:c r="J1941" s="1"/>
      <x:c r="K1941" s="1"/>
      <x:c r="L1941" s="1"/>
      <x:c r="M1941" s="1"/>
      <x:c r="N1941" s="1"/>
      <x:c r="O1941" s="1"/>
      <x:c r="P1941" s="1"/>
      <x:c r="Q1941" s="1"/>
      <x:c r="R1941" s="1"/>
      <x:c r="S1941" s="1"/>
      <x:c r="T1941" s="1"/>
      <x:c r="U1941" s="1"/>
      <x:c r="V1941" s="1"/>
    </x:row>
    <x:row r="1942">
      <x:c r="A1942" s="1"/>
      <x:c r="B1942" s="1"/>
      <x:c r="C1942" s="1"/>
      <x:c r="D1942" s="1"/>
      <x:c r="E1942" s="1"/>
      <x:c r="F1942" s="1"/>
      <x:c r="G1942" s="1"/>
      <x:c r="H1942" s="1"/>
      <x:c r="I1942" s="1"/>
      <x:c r="J1942" s="1"/>
      <x:c r="K1942" s="1"/>
      <x:c r="L1942" s="1"/>
      <x:c r="M1942" s="1"/>
      <x:c r="N1942" s="1"/>
      <x:c r="O1942" s="1"/>
      <x:c r="P1942" s="1"/>
      <x:c r="Q1942" s="1"/>
      <x:c r="R1942" s="1"/>
      <x:c r="S1942" s="1"/>
      <x:c r="T1942" s="1"/>
      <x:c r="U1942" s="1"/>
      <x:c r="V1942" s="1"/>
    </x:row>
    <x:row r="1943">
      <x:c r="A1943" s="1"/>
      <x:c r="B1943" s="1"/>
      <x:c r="C1943" s="1"/>
      <x:c r="D1943" s="1"/>
      <x:c r="E1943" s="1"/>
      <x:c r="F1943" s="1"/>
      <x:c r="G1943" s="1"/>
      <x:c r="H1943" s="1"/>
      <x:c r="I1943" s="1"/>
      <x:c r="J1943" s="1"/>
      <x:c r="K1943" s="1"/>
      <x:c r="L1943" s="1"/>
      <x:c r="M1943" s="1"/>
      <x:c r="N1943" s="1"/>
      <x:c r="O1943" s="1"/>
      <x:c r="P1943" s="1"/>
      <x:c r="Q1943" s="1"/>
      <x:c r="R1943" s="1"/>
      <x:c r="S1943" s="1"/>
      <x:c r="T1943" s="1"/>
      <x:c r="U1943" s="1"/>
      <x:c r="V1943" s="1"/>
    </x:row>
    <x:row r="1944">
      <x:c r="A1944" s="1"/>
      <x:c r="B1944" s="1"/>
      <x:c r="C1944" s="1"/>
      <x:c r="D1944" s="1"/>
      <x:c r="E1944" s="1"/>
      <x:c r="F1944" s="1"/>
      <x:c r="G1944" s="1"/>
      <x:c r="H1944" s="1"/>
      <x:c r="I1944" s="1"/>
      <x:c r="J1944" s="1"/>
      <x:c r="K1944" s="1"/>
      <x:c r="L1944" s="1"/>
      <x:c r="M1944" s="1"/>
      <x:c r="N1944" s="1"/>
      <x:c r="O1944" s="1"/>
      <x:c r="P1944" s="1"/>
      <x:c r="Q1944" s="1"/>
      <x:c r="R1944" s="1"/>
      <x:c r="S1944" s="1"/>
      <x:c r="T1944" s="1"/>
      <x:c r="U1944" s="1"/>
      <x:c r="V1944" s="1"/>
    </x:row>
    <x:row r="1945">
      <x:c r="A1945" s="1"/>
      <x:c r="B1945" s="1"/>
      <x:c r="C1945" s="1"/>
      <x:c r="D1945" s="1"/>
      <x:c r="E1945" s="1"/>
      <x:c r="F1945" s="1"/>
      <x:c r="G1945" s="1"/>
      <x:c r="H1945" s="1"/>
      <x:c r="I1945" s="1"/>
      <x:c r="J1945" s="1"/>
      <x:c r="K1945" s="1"/>
      <x:c r="L1945" s="1"/>
      <x:c r="M1945" s="1"/>
      <x:c r="N1945" s="1"/>
      <x:c r="O1945" s="1"/>
      <x:c r="P1945" s="1"/>
      <x:c r="Q1945" s="1"/>
      <x:c r="R1945" s="1"/>
      <x:c r="S1945" s="1"/>
      <x:c r="T1945" s="1"/>
      <x:c r="U1945" s="1"/>
      <x:c r="V1945" s="1"/>
    </x:row>
    <x:row r="1946">
      <x:c r="A1946" s="1"/>
      <x:c r="B1946" s="1"/>
      <x:c r="C1946" s="1"/>
      <x:c r="D1946" s="1"/>
      <x:c r="E1946" s="1"/>
      <x:c r="F1946" s="1"/>
      <x:c r="G1946" s="1"/>
      <x:c r="H1946" s="1"/>
      <x:c r="I1946" s="1"/>
      <x:c r="J1946" s="1"/>
      <x:c r="K1946" s="1"/>
      <x:c r="L1946" s="1"/>
      <x:c r="M1946" s="1"/>
      <x:c r="N1946" s="1"/>
      <x:c r="O1946" s="1"/>
      <x:c r="P1946" s="1"/>
      <x:c r="Q1946" s="1"/>
      <x:c r="R1946" s="1"/>
      <x:c r="S1946" s="1"/>
      <x:c r="T1946" s="1"/>
      <x:c r="U1946" s="1"/>
      <x:c r="V1946" s="1"/>
    </x:row>
    <x:row r="1947">
      <x:c r="A1947" s="1"/>
      <x:c r="B1947" s="1"/>
      <x:c r="C1947" s="1"/>
      <x:c r="D1947" s="1"/>
      <x:c r="E1947" s="1"/>
      <x:c r="F1947" s="1"/>
      <x:c r="G1947" s="1"/>
      <x:c r="H1947" s="1"/>
      <x:c r="I1947" s="1"/>
      <x:c r="J1947" s="1"/>
      <x:c r="K1947" s="1"/>
      <x:c r="L1947" s="1"/>
      <x:c r="M1947" s="1"/>
      <x:c r="N1947" s="1"/>
      <x:c r="O1947" s="1"/>
      <x:c r="P1947" s="1"/>
      <x:c r="Q1947" s="1"/>
      <x:c r="R1947" s="1"/>
      <x:c r="S1947" s="1"/>
      <x:c r="T1947" s="1"/>
      <x:c r="U1947" s="1"/>
      <x:c r="V1947" s="1"/>
    </x:row>
    <x:row r="1948">
      <x:c r="A1948" s="1"/>
      <x:c r="B1948" s="1"/>
      <x:c r="C1948" s="1"/>
      <x:c r="D1948" s="1"/>
      <x:c r="E1948" s="1"/>
      <x:c r="F1948" s="1"/>
      <x:c r="G1948" s="1"/>
      <x:c r="H1948" s="1"/>
      <x:c r="I1948" s="1"/>
      <x:c r="J1948" s="1"/>
      <x:c r="K1948" s="1"/>
      <x:c r="L1948" s="1"/>
      <x:c r="M1948" s="1"/>
      <x:c r="N1948" s="1"/>
      <x:c r="O1948" s="1"/>
      <x:c r="P1948" s="1"/>
      <x:c r="Q1948" s="1"/>
      <x:c r="R1948" s="1"/>
      <x:c r="S1948" s="1"/>
      <x:c r="T1948" s="1"/>
      <x:c r="U1948" s="1"/>
      <x:c r="V1948" s="1"/>
    </x:row>
    <x:row r="1949">
      <x:c r="A1949" s="1"/>
      <x:c r="B1949" s="1"/>
      <x:c r="C1949" s="1"/>
      <x:c r="D1949" s="1"/>
      <x:c r="E1949" s="1"/>
      <x:c r="F1949" s="1"/>
      <x:c r="G1949" s="1"/>
      <x:c r="H1949" s="1"/>
      <x:c r="I1949" s="1"/>
      <x:c r="J1949" s="1"/>
      <x:c r="K1949" s="1"/>
      <x:c r="L1949" s="1"/>
      <x:c r="M1949" s="1"/>
      <x:c r="N1949" s="1"/>
      <x:c r="O1949" s="1"/>
      <x:c r="P1949" s="1"/>
      <x:c r="Q1949" s="1"/>
      <x:c r="R1949" s="1"/>
      <x:c r="S1949" s="1"/>
      <x:c r="T1949" s="1"/>
      <x:c r="U1949" s="1"/>
      <x:c r="V1949" s="1"/>
    </x:row>
    <x:row r="1950">
      <x:c r="A1950" s="1"/>
      <x:c r="B1950" s="1"/>
      <x:c r="C1950" s="1"/>
      <x:c r="D1950" s="1"/>
      <x:c r="E1950" s="1"/>
      <x:c r="F1950" s="1"/>
      <x:c r="G1950" s="1"/>
      <x:c r="H1950" s="1"/>
      <x:c r="I1950" s="1"/>
      <x:c r="J1950" s="1"/>
      <x:c r="K1950" s="1"/>
      <x:c r="L1950" s="1"/>
      <x:c r="M1950" s="1"/>
      <x:c r="N1950" s="1"/>
      <x:c r="O1950" s="1"/>
      <x:c r="P1950" s="1"/>
      <x:c r="Q1950" s="1"/>
      <x:c r="R1950" s="1"/>
      <x:c r="S1950" s="1"/>
      <x:c r="T1950" s="1"/>
      <x:c r="U1950" s="1"/>
      <x:c r="V1950" s="1"/>
    </x:row>
    <x:row r="1951">
      <x:c r="A1951" s="1"/>
      <x:c r="B1951" s="1"/>
      <x:c r="C1951" s="1"/>
      <x:c r="D1951" s="1"/>
      <x:c r="E1951" s="1"/>
      <x:c r="F1951" s="1"/>
      <x:c r="G1951" s="1"/>
      <x:c r="H1951" s="1"/>
      <x:c r="I1951" s="1"/>
      <x:c r="J1951" s="1"/>
      <x:c r="K1951" s="1"/>
      <x:c r="L1951" s="1"/>
      <x:c r="M1951" s="1"/>
      <x:c r="N1951" s="1"/>
      <x:c r="O1951" s="1"/>
      <x:c r="P1951" s="1"/>
      <x:c r="Q1951" s="1"/>
      <x:c r="R1951" s="1"/>
      <x:c r="S1951" s="1"/>
      <x:c r="T1951" s="1"/>
      <x:c r="U1951" s="1"/>
      <x:c r="V1951" s="1"/>
    </x:row>
    <x:row r="1952">
      <x:c r="A1952" s="1"/>
      <x:c r="B1952" s="1"/>
      <x:c r="C1952" s="1"/>
      <x:c r="D1952" s="1"/>
      <x:c r="E1952" s="1"/>
      <x:c r="F1952" s="1"/>
      <x:c r="G1952" s="1"/>
      <x:c r="H1952" s="1"/>
      <x:c r="I1952" s="1"/>
      <x:c r="J1952" s="1"/>
      <x:c r="K1952" s="1"/>
      <x:c r="L1952" s="1"/>
      <x:c r="M1952" s="1"/>
      <x:c r="N1952" s="1"/>
      <x:c r="O1952" s="1"/>
      <x:c r="P1952" s="1"/>
      <x:c r="Q1952" s="1"/>
      <x:c r="R1952" s="1"/>
      <x:c r="S1952" s="1"/>
      <x:c r="T1952" s="1"/>
      <x:c r="U1952" s="1"/>
      <x:c r="V1952" s="1"/>
    </x:row>
    <x:row r="1953">
      <x:c r="A1953" s="1"/>
      <x:c r="B1953" s="1"/>
      <x:c r="C1953" s="1"/>
      <x:c r="D1953" s="1"/>
      <x:c r="E1953" s="1"/>
      <x:c r="F1953" s="1"/>
      <x:c r="G1953" s="1"/>
      <x:c r="H1953" s="1"/>
      <x:c r="I1953" s="1"/>
      <x:c r="J1953" s="1"/>
      <x:c r="K1953" s="1"/>
      <x:c r="L1953" s="1"/>
      <x:c r="M1953" s="1"/>
      <x:c r="N1953" s="1"/>
      <x:c r="O1953" s="1"/>
      <x:c r="P1953" s="1"/>
      <x:c r="Q1953" s="1"/>
      <x:c r="R1953" s="1"/>
      <x:c r="S1953" s="1"/>
      <x:c r="T1953" s="1"/>
      <x:c r="U1953" s="1"/>
      <x:c r="V1953" s="1"/>
    </x:row>
    <x:row r="1954">
      <x:c r="A1954" s="1"/>
      <x:c r="B1954" s="1"/>
      <x:c r="C1954" s="1"/>
      <x:c r="D1954" s="1"/>
      <x:c r="E1954" s="1"/>
      <x:c r="F1954" s="1"/>
      <x:c r="G1954" s="1"/>
      <x:c r="H1954" s="1"/>
      <x:c r="I1954" s="1"/>
      <x:c r="J1954" s="1"/>
      <x:c r="K1954" s="1"/>
      <x:c r="L1954" s="1"/>
      <x:c r="M1954" s="1"/>
      <x:c r="N1954" s="1"/>
      <x:c r="O1954" s="1"/>
      <x:c r="P1954" s="1"/>
      <x:c r="Q1954" s="1"/>
      <x:c r="R1954" s="1"/>
      <x:c r="S1954" s="1"/>
      <x:c r="T1954" s="1"/>
      <x:c r="U1954" s="1"/>
      <x:c r="V1954" s="1"/>
    </x:row>
    <x:row r="1955">
      <x:c r="A1955" s="1"/>
      <x:c r="B1955" s="1"/>
      <x:c r="C1955" s="1"/>
      <x:c r="D1955" s="1"/>
      <x:c r="E1955" s="1"/>
      <x:c r="F1955" s="1"/>
      <x:c r="G1955" s="1"/>
      <x:c r="H1955" s="1"/>
      <x:c r="I1955" s="1"/>
      <x:c r="J1955" s="1"/>
      <x:c r="K1955" s="1"/>
      <x:c r="L1955" s="1"/>
      <x:c r="M1955" s="1"/>
      <x:c r="N1955" s="1"/>
      <x:c r="O1955" s="1"/>
      <x:c r="P1955" s="1"/>
      <x:c r="Q1955" s="1"/>
      <x:c r="R1955" s="1"/>
      <x:c r="S1955" s="1"/>
      <x:c r="T1955" s="1"/>
      <x:c r="U1955" s="1"/>
      <x:c r="V1955" s="1"/>
    </x:row>
    <x:row r="1956">
      <x:c r="A1956" s="1"/>
      <x:c r="B1956" s="1"/>
      <x:c r="C1956" s="1"/>
      <x:c r="D1956" s="1"/>
      <x:c r="E1956" s="1"/>
      <x:c r="F1956" s="1"/>
      <x:c r="G1956" s="1"/>
      <x:c r="H1956" s="1"/>
      <x:c r="I1956" s="1"/>
      <x:c r="J1956" s="1"/>
      <x:c r="K1956" s="1"/>
      <x:c r="L1956" s="1"/>
      <x:c r="M1956" s="1"/>
      <x:c r="N1956" s="1"/>
      <x:c r="O1956" s="1"/>
      <x:c r="P1956" s="1"/>
      <x:c r="Q1956" s="1"/>
      <x:c r="R1956" s="1"/>
      <x:c r="S1956" s="1"/>
      <x:c r="T1956" s="1"/>
      <x:c r="U1956" s="1"/>
      <x:c r="V1956" s="1"/>
    </x:row>
    <x:row r="1957">
      <x:c r="A1957" s="1"/>
      <x:c r="B1957" s="1"/>
      <x:c r="C1957" s="1"/>
      <x:c r="D1957" s="1"/>
      <x:c r="E1957" s="1"/>
      <x:c r="F1957" s="1"/>
      <x:c r="G1957" s="1"/>
      <x:c r="H1957" s="1"/>
      <x:c r="I1957" s="1"/>
      <x:c r="J1957" s="1"/>
      <x:c r="K1957" s="1"/>
      <x:c r="L1957" s="1"/>
      <x:c r="M1957" s="1"/>
      <x:c r="N1957" s="1"/>
      <x:c r="O1957" s="1"/>
      <x:c r="P1957" s="1"/>
      <x:c r="Q1957" s="1"/>
      <x:c r="R1957" s="1"/>
      <x:c r="S1957" s="1"/>
      <x:c r="T1957" s="1"/>
      <x:c r="U1957" s="1"/>
      <x:c r="V1957" s="1"/>
    </x:row>
    <x:row r="1958">
      <x:c r="A1958" s="1"/>
      <x:c r="B1958" s="1"/>
      <x:c r="C1958" s="1"/>
      <x:c r="D1958" s="1"/>
      <x:c r="E1958" s="1"/>
      <x:c r="F1958" s="1"/>
      <x:c r="G1958" s="1"/>
      <x:c r="H1958" s="1"/>
      <x:c r="I1958" s="1"/>
      <x:c r="J1958" s="1"/>
      <x:c r="K1958" s="1"/>
      <x:c r="L1958" s="1"/>
      <x:c r="M1958" s="1"/>
      <x:c r="N1958" s="1"/>
      <x:c r="O1958" s="1"/>
      <x:c r="P1958" s="1"/>
      <x:c r="Q1958" s="1"/>
      <x:c r="R1958" s="1"/>
      <x:c r="S1958" s="1"/>
      <x:c r="T1958" s="1"/>
      <x:c r="U1958" s="1"/>
      <x:c r="V1958" s="1"/>
    </x:row>
    <x:row r="1959">
      <x:c r="A1959" s="1"/>
      <x:c r="B1959" s="1"/>
      <x:c r="C1959" s="1"/>
      <x:c r="D1959" s="1"/>
      <x:c r="E1959" s="1"/>
      <x:c r="F1959" s="1"/>
      <x:c r="G1959" s="1"/>
      <x:c r="H1959" s="1"/>
      <x:c r="I1959" s="1"/>
      <x:c r="J1959" s="1"/>
      <x:c r="K1959" s="1"/>
      <x:c r="L1959" s="1"/>
      <x:c r="M1959" s="1"/>
      <x:c r="N1959" s="1"/>
      <x:c r="O1959" s="1"/>
      <x:c r="P1959" s="1"/>
      <x:c r="Q1959" s="1"/>
      <x:c r="R1959" s="1"/>
      <x:c r="S1959" s="1"/>
      <x:c r="T1959" s="1"/>
      <x:c r="U1959" s="1"/>
      <x:c r="V1959" s="1"/>
    </x:row>
    <x:row r="1960">
      <x:c r="A1960" s="1"/>
      <x:c r="B1960" s="1"/>
      <x:c r="C1960" s="1"/>
      <x:c r="D1960" s="1"/>
      <x:c r="E1960" s="1"/>
      <x:c r="F1960" s="1"/>
      <x:c r="G1960" s="1"/>
      <x:c r="H1960" s="1"/>
      <x:c r="I1960" s="1"/>
      <x:c r="J1960" s="1"/>
      <x:c r="K1960" s="1"/>
      <x:c r="L1960" s="1"/>
      <x:c r="M1960" s="1"/>
      <x:c r="N1960" s="1"/>
      <x:c r="O1960" s="1"/>
      <x:c r="P1960" s="1"/>
      <x:c r="Q1960" s="1"/>
      <x:c r="R1960" s="1"/>
      <x:c r="S1960" s="1"/>
      <x:c r="T1960" s="1"/>
      <x:c r="U1960" s="1"/>
      <x:c r="V1960" s="1"/>
    </x:row>
    <x:row r="1961">
      <x:c r="A1961" s="1"/>
      <x:c r="B1961" s="1"/>
      <x:c r="C1961" s="1"/>
      <x:c r="D1961" s="1"/>
      <x:c r="E1961" s="1"/>
      <x:c r="F1961" s="1"/>
      <x:c r="G1961" s="1"/>
      <x:c r="H1961" s="1"/>
      <x:c r="I1961" s="1"/>
      <x:c r="J1961" s="1"/>
      <x:c r="K1961" s="1"/>
      <x:c r="L1961" s="1"/>
      <x:c r="M1961" s="1"/>
      <x:c r="N1961" s="1"/>
      <x:c r="O1961" s="1"/>
      <x:c r="P1961" s="1"/>
      <x:c r="Q1961" s="1"/>
      <x:c r="R1961" s="1"/>
      <x:c r="S1961" s="1"/>
      <x:c r="T1961" s="1"/>
      <x:c r="U1961" s="1"/>
      <x:c r="V1961" s="1"/>
    </x:row>
    <x:row r="1962">
      <x:c r="A1962" s="1"/>
      <x:c r="B1962" s="1"/>
      <x:c r="C1962" s="1"/>
      <x:c r="D1962" s="1"/>
      <x:c r="E1962" s="1"/>
      <x:c r="F1962" s="1"/>
      <x:c r="G1962" s="1"/>
      <x:c r="H1962" s="1"/>
      <x:c r="I1962" s="1"/>
      <x:c r="J1962" s="1"/>
      <x:c r="K1962" s="1"/>
      <x:c r="L1962" s="1"/>
      <x:c r="M1962" s="1"/>
      <x:c r="N1962" s="1"/>
      <x:c r="O1962" s="1"/>
      <x:c r="P1962" s="1"/>
      <x:c r="Q1962" s="1"/>
      <x:c r="R1962" s="1"/>
      <x:c r="S1962" s="1"/>
      <x:c r="T1962" s="1"/>
      <x:c r="U1962" s="1"/>
      <x:c r="V1962" s="1"/>
    </x:row>
    <x:row r="1963">
      <x:c r="A1963" s="1"/>
      <x:c r="B1963" s="1"/>
      <x:c r="C1963" s="1"/>
      <x:c r="D1963" s="1"/>
      <x:c r="E1963" s="1"/>
      <x:c r="F1963" s="1"/>
      <x:c r="G1963" s="1"/>
      <x:c r="H1963" s="1"/>
      <x:c r="I1963" s="1"/>
      <x:c r="J1963" s="1"/>
      <x:c r="K1963" s="1"/>
      <x:c r="L1963" s="1"/>
      <x:c r="M1963" s="1"/>
      <x:c r="N1963" s="1"/>
      <x:c r="O1963" s="1"/>
      <x:c r="P1963" s="1"/>
      <x:c r="Q1963" s="1"/>
      <x:c r="R1963" s="1"/>
      <x:c r="S1963" s="1"/>
      <x:c r="T1963" s="1"/>
      <x:c r="U1963" s="1"/>
      <x:c r="V1963" s="1"/>
    </x:row>
    <x:row r="1964">
      <x:c r="A1964" s="1"/>
      <x:c r="B1964" s="1"/>
      <x:c r="C1964" s="1"/>
      <x:c r="D1964" s="1"/>
      <x:c r="E1964" s="1"/>
      <x:c r="F1964" s="1"/>
      <x:c r="G1964" s="1"/>
      <x:c r="H1964" s="1"/>
      <x:c r="I1964" s="1"/>
      <x:c r="J1964" s="1"/>
      <x:c r="K1964" s="1"/>
      <x:c r="L1964" s="1"/>
      <x:c r="M1964" s="1"/>
      <x:c r="N1964" s="1"/>
      <x:c r="O1964" s="1"/>
      <x:c r="P1964" s="1"/>
      <x:c r="Q1964" s="1"/>
      <x:c r="R1964" s="1"/>
      <x:c r="S1964" s="1"/>
      <x:c r="T1964" s="1"/>
      <x:c r="U1964" s="1"/>
      <x:c r="V1964" s="1"/>
    </x:row>
    <x:row r="1965">
      <x:c r="A1965" s="1"/>
      <x:c r="B1965" s="1"/>
      <x:c r="C1965" s="1"/>
      <x:c r="D1965" s="1"/>
      <x:c r="E1965" s="1"/>
      <x:c r="F1965" s="1"/>
      <x:c r="G1965" s="1"/>
      <x:c r="H1965" s="1"/>
      <x:c r="I1965" s="1"/>
      <x:c r="J1965" s="1"/>
      <x:c r="K1965" s="1"/>
      <x:c r="L1965" s="1"/>
      <x:c r="M1965" s="1"/>
      <x:c r="N1965" s="1"/>
      <x:c r="O1965" s="1"/>
      <x:c r="P1965" s="1"/>
      <x:c r="Q1965" s="1"/>
      <x:c r="R1965" s="1"/>
      <x:c r="S1965" s="1"/>
      <x:c r="T1965" s="1"/>
      <x:c r="U1965" s="1"/>
      <x:c r="V1965" s="1"/>
    </x:row>
    <x:row r="1966">
      <x:c r="A1966" s="1"/>
      <x:c r="B1966" s="1"/>
      <x:c r="C1966" s="1"/>
      <x:c r="D1966" s="1"/>
      <x:c r="E1966" s="1"/>
      <x:c r="F1966" s="1"/>
      <x:c r="G1966" s="1"/>
      <x:c r="H1966" s="1"/>
      <x:c r="I1966" s="1"/>
      <x:c r="J1966" s="1"/>
      <x:c r="K1966" s="1"/>
      <x:c r="L1966" s="1"/>
      <x:c r="M1966" s="1"/>
      <x:c r="N1966" s="1"/>
      <x:c r="O1966" s="1"/>
      <x:c r="P1966" s="1"/>
      <x:c r="Q1966" s="1"/>
      <x:c r="R1966" s="1"/>
      <x:c r="S1966" s="1"/>
      <x:c r="T1966" s="1"/>
      <x:c r="U1966" s="1"/>
      <x:c r="V1966" s="1"/>
    </x:row>
    <x:row r="1967">
      <x:c r="A1967" s="1"/>
      <x:c r="B1967" s="1"/>
      <x:c r="C1967" s="1"/>
      <x:c r="D1967" s="1"/>
      <x:c r="E1967" s="1"/>
      <x:c r="F1967" s="1"/>
      <x:c r="G1967" s="1"/>
      <x:c r="H1967" s="1"/>
      <x:c r="I1967" s="1"/>
      <x:c r="J1967" s="1"/>
      <x:c r="K1967" s="1"/>
      <x:c r="L1967" s="1"/>
      <x:c r="M1967" s="1"/>
      <x:c r="N1967" s="1"/>
      <x:c r="O1967" s="1"/>
      <x:c r="P1967" s="1"/>
      <x:c r="Q1967" s="1"/>
      <x:c r="R1967" s="1"/>
      <x:c r="S1967" s="1"/>
      <x:c r="T1967" s="1"/>
      <x:c r="U1967" s="1"/>
      <x:c r="V1967" s="1"/>
    </x:row>
    <x:row r="1968">
      <x:c r="A1968" s="1"/>
      <x:c r="B1968" s="1"/>
      <x:c r="C1968" s="1"/>
      <x:c r="D1968" s="1"/>
      <x:c r="E1968" s="1"/>
      <x:c r="F1968" s="1"/>
      <x:c r="G1968" s="1"/>
      <x:c r="H1968" s="1"/>
      <x:c r="I1968" s="1"/>
      <x:c r="J1968" s="1"/>
      <x:c r="K1968" s="1"/>
      <x:c r="L1968" s="1"/>
      <x:c r="M1968" s="1"/>
      <x:c r="N1968" s="1"/>
      <x:c r="O1968" s="1"/>
      <x:c r="P1968" s="1"/>
      <x:c r="Q1968" s="1"/>
      <x:c r="R1968" s="1"/>
      <x:c r="S1968" s="1"/>
      <x:c r="T1968" s="1"/>
      <x:c r="U1968" s="1"/>
      <x:c r="V1968" s="1"/>
    </x:row>
    <x:row r="1969">
      <x:c r="A1969" s="1"/>
      <x:c r="B1969" s="1"/>
      <x:c r="C1969" s="1"/>
      <x:c r="D1969" s="1"/>
      <x:c r="E1969" s="1"/>
      <x:c r="F1969" s="1"/>
      <x:c r="G1969" s="1"/>
      <x:c r="H1969" s="1"/>
      <x:c r="I1969" s="1"/>
      <x:c r="J1969" s="1"/>
      <x:c r="K1969" s="1"/>
      <x:c r="L1969" s="1"/>
      <x:c r="M1969" s="1"/>
      <x:c r="N1969" s="1"/>
      <x:c r="O1969" s="1"/>
      <x:c r="P1969" s="1"/>
      <x:c r="Q1969" s="1"/>
      <x:c r="R1969" s="1"/>
      <x:c r="S1969" s="1"/>
      <x:c r="T1969" s="1"/>
      <x:c r="U1969" s="1"/>
      <x:c r="V1969" s="1"/>
    </x:row>
    <x:row r="1970">
      <x:c r="A1970" s="1"/>
      <x:c r="B1970" s="1"/>
      <x:c r="C1970" s="1"/>
      <x:c r="D1970" s="1"/>
      <x:c r="E1970" s="1"/>
      <x:c r="F1970" s="1"/>
      <x:c r="G1970" s="1"/>
      <x:c r="H1970" s="1"/>
      <x:c r="I1970" s="1"/>
      <x:c r="J1970" s="1"/>
      <x:c r="K1970" s="1"/>
      <x:c r="L1970" s="1"/>
      <x:c r="M1970" s="1"/>
      <x:c r="N1970" s="1"/>
      <x:c r="O1970" s="1"/>
      <x:c r="P1970" s="1"/>
      <x:c r="Q1970" s="1"/>
      <x:c r="R1970" s="1"/>
      <x:c r="S1970" s="1"/>
      <x:c r="T1970" s="1"/>
      <x:c r="U1970" s="1"/>
      <x:c r="V1970" s="1"/>
    </x:row>
    <x:row r="1971">
      <x:c r="A1971" s="1"/>
      <x:c r="B1971" s="1"/>
      <x:c r="C1971" s="1"/>
      <x:c r="D1971" s="1"/>
      <x:c r="E1971" s="1"/>
      <x:c r="F1971" s="1"/>
      <x:c r="G1971" s="1"/>
      <x:c r="H1971" s="1"/>
      <x:c r="I1971" s="1"/>
      <x:c r="J1971" s="1"/>
      <x:c r="K1971" s="1"/>
      <x:c r="L1971" s="1"/>
      <x:c r="M1971" s="1"/>
      <x:c r="N1971" s="1"/>
      <x:c r="O1971" s="1"/>
      <x:c r="P1971" s="1"/>
      <x:c r="Q1971" s="1"/>
      <x:c r="R1971" s="1"/>
      <x:c r="S1971" s="1"/>
      <x:c r="T1971" s="1"/>
      <x:c r="U1971" s="1"/>
      <x:c r="V1971" s="1"/>
    </x:row>
    <x:row r="1972">
      <x:c r="A1972" s="1"/>
      <x:c r="B1972" s="1"/>
      <x:c r="C1972" s="1"/>
      <x:c r="D1972" s="1"/>
      <x:c r="E1972" s="1"/>
      <x:c r="F1972" s="1"/>
      <x:c r="G1972" s="1"/>
      <x:c r="H1972" s="1"/>
      <x:c r="I1972" s="1"/>
      <x:c r="J1972" s="1"/>
      <x:c r="K1972" s="1"/>
      <x:c r="L1972" s="1"/>
      <x:c r="M1972" s="1"/>
      <x:c r="N1972" s="1"/>
      <x:c r="O1972" s="1"/>
      <x:c r="P1972" s="1"/>
      <x:c r="Q1972" s="1"/>
      <x:c r="R1972" s="1"/>
      <x:c r="S1972" s="1"/>
      <x:c r="T1972" s="1"/>
      <x:c r="U1972" s="1"/>
      <x:c r="V1972" s="1"/>
    </x:row>
    <x:row r="1973">
      <x:c r="A1973" s="1"/>
      <x:c r="B1973" s="1"/>
      <x:c r="C1973" s="1"/>
      <x:c r="D1973" s="1"/>
      <x:c r="E1973" s="1"/>
      <x:c r="F1973" s="1"/>
      <x:c r="G1973" s="1"/>
      <x:c r="H1973" s="1"/>
      <x:c r="I1973" s="1"/>
      <x:c r="J1973" s="1"/>
      <x:c r="K1973" s="1"/>
      <x:c r="L1973" s="1"/>
      <x:c r="M1973" s="1"/>
      <x:c r="N1973" s="1"/>
      <x:c r="O1973" s="1"/>
      <x:c r="P1973" s="1"/>
      <x:c r="Q1973" s="1"/>
      <x:c r="R1973" s="1"/>
      <x:c r="S1973" s="1"/>
      <x:c r="T1973" s="1"/>
      <x:c r="U1973" s="1"/>
      <x:c r="V1973" s="1"/>
    </x:row>
    <x:row r="1974">
      <x:c r="A1974" s="1"/>
      <x:c r="B1974" s="1"/>
      <x:c r="C1974" s="1"/>
      <x:c r="D1974" s="1"/>
      <x:c r="E1974" s="1"/>
      <x:c r="F1974" s="1"/>
      <x:c r="G1974" s="1"/>
      <x:c r="H1974" s="1"/>
      <x:c r="I1974" s="1"/>
      <x:c r="J1974" s="1"/>
      <x:c r="K1974" s="1"/>
      <x:c r="L1974" s="1"/>
      <x:c r="M1974" s="1"/>
      <x:c r="N1974" s="1"/>
      <x:c r="O1974" s="1"/>
      <x:c r="P1974" s="1"/>
      <x:c r="Q1974" s="1"/>
      <x:c r="R1974" s="1"/>
      <x:c r="S1974" s="1"/>
      <x:c r="T1974" s="1"/>
      <x:c r="U1974" s="1"/>
      <x:c r="V1974" s="1"/>
    </x:row>
    <x:row r="1975">
      <x:c r="A1975" s="1"/>
      <x:c r="B1975" s="1"/>
      <x:c r="C1975" s="1"/>
      <x:c r="D1975" s="1"/>
      <x:c r="E1975" s="1"/>
      <x:c r="F1975" s="1"/>
      <x:c r="G1975" s="1"/>
      <x:c r="H1975" s="1"/>
      <x:c r="I1975" s="1"/>
      <x:c r="J1975" s="1"/>
      <x:c r="K1975" s="1"/>
      <x:c r="L1975" s="1"/>
      <x:c r="M1975" s="1"/>
      <x:c r="N1975" s="1"/>
      <x:c r="O1975" s="1"/>
      <x:c r="P1975" s="1"/>
      <x:c r="Q1975" s="1"/>
      <x:c r="R1975" s="1"/>
      <x:c r="S1975" s="1"/>
      <x:c r="T1975" s="1"/>
      <x:c r="U1975" s="1"/>
      <x:c r="V1975" s="1"/>
    </x:row>
    <x:row r="1976">
      <x:c r="A1976" s="1"/>
      <x:c r="B1976" s="1"/>
      <x:c r="C1976" s="1"/>
      <x:c r="D1976" s="1"/>
      <x:c r="E1976" s="1"/>
      <x:c r="F1976" s="1"/>
      <x:c r="G1976" s="1"/>
      <x:c r="H1976" s="1"/>
      <x:c r="I1976" s="1"/>
      <x:c r="J1976" s="1"/>
      <x:c r="K1976" s="1"/>
      <x:c r="L1976" s="1"/>
      <x:c r="M1976" s="1"/>
      <x:c r="N1976" s="1"/>
      <x:c r="O1976" s="1"/>
      <x:c r="P1976" s="1"/>
      <x:c r="Q1976" s="1"/>
      <x:c r="R1976" s="1"/>
      <x:c r="S1976" s="1"/>
      <x:c r="T1976" s="1"/>
      <x:c r="U1976" s="1"/>
      <x:c r="V1976" s="1"/>
    </x:row>
    <x:row r="1977">
      <x:c r="A1977" s="1"/>
      <x:c r="B1977" s="1"/>
      <x:c r="C1977" s="1"/>
      <x:c r="D1977" s="1"/>
      <x:c r="E1977" s="1"/>
      <x:c r="F1977" s="1"/>
      <x:c r="G1977" s="1"/>
      <x:c r="H1977" s="1"/>
      <x:c r="I1977" s="1"/>
      <x:c r="J1977" s="1"/>
      <x:c r="K1977" s="1"/>
      <x:c r="L1977" s="1"/>
      <x:c r="M1977" s="1"/>
      <x:c r="N1977" s="1"/>
      <x:c r="O1977" s="1"/>
      <x:c r="P1977" s="1"/>
      <x:c r="Q1977" s="1"/>
      <x:c r="R1977" s="1"/>
      <x:c r="S1977" s="1"/>
      <x:c r="T1977" s="1"/>
      <x:c r="U1977" s="1"/>
      <x:c r="V1977" s="1"/>
    </x:row>
    <x:row r="1978">
      <x:c r="A1978" s="1"/>
      <x:c r="B1978" s="1"/>
      <x:c r="C1978" s="1"/>
      <x:c r="D1978" s="1"/>
      <x:c r="E1978" s="1"/>
      <x:c r="F1978" s="1"/>
      <x:c r="G1978" s="1"/>
      <x:c r="H1978" s="1"/>
      <x:c r="I1978" s="1"/>
      <x:c r="J1978" s="1"/>
      <x:c r="K1978" s="1"/>
      <x:c r="L1978" s="1"/>
      <x:c r="M1978" s="1"/>
      <x:c r="N1978" s="1"/>
      <x:c r="O1978" s="1"/>
      <x:c r="P1978" s="1"/>
      <x:c r="Q1978" s="1"/>
      <x:c r="R1978" s="1"/>
      <x:c r="S1978" s="1"/>
      <x:c r="T1978" s="1"/>
      <x:c r="U1978" s="1"/>
      <x:c r="V1978" s="1"/>
    </x:row>
    <x:row r="1979">
      <x:c r="A1979" s="1"/>
      <x:c r="B1979" s="1"/>
      <x:c r="C1979" s="1"/>
      <x:c r="D1979" s="1"/>
      <x:c r="E1979" s="1"/>
      <x:c r="F1979" s="1"/>
      <x:c r="G1979" s="1"/>
      <x:c r="H1979" s="1"/>
      <x:c r="I1979" s="1"/>
      <x:c r="J1979" s="1"/>
      <x:c r="K1979" s="1"/>
      <x:c r="L1979" s="1"/>
      <x:c r="M1979" s="1"/>
      <x:c r="N1979" s="1"/>
      <x:c r="O1979" s="1"/>
      <x:c r="P1979" s="1"/>
      <x:c r="Q1979" s="1"/>
      <x:c r="R1979" s="1"/>
      <x:c r="S1979" s="1"/>
      <x:c r="T1979" s="1"/>
      <x:c r="U1979" s="1"/>
      <x:c r="V1979" s="1"/>
    </x:row>
    <x:row r="1980">
      <x:c r="A1980" s="1"/>
      <x:c r="B1980" s="1"/>
      <x:c r="C1980" s="1"/>
      <x:c r="D1980" s="1"/>
      <x:c r="E1980" s="1"/>
      <x:c r="F1980" s="1"/>
      <x:c r="G1980" s="1"/>
      <x:c r="H1980" s="1"/>
      <x:c r="I1980" s="1"/>
      <x:c r="J1980" s="1"/>
      <x:c r="K1980" s="1"/>
      <x:c r="L1980" s="1"/>
      <x:c r="M1980" s="1"/>
      <x:c r="N1980" s="1"/>
      <x:c r="O1980" s="1"/>
      <x:c r="P1980" s="1"/>
      <x:c r="Q1980" s="1"/>
      <x:c r="R1980" s="1"/>
      <x:c r="S1980" s="1"/>
      <x:c r="T1980" s="1"/>
      <x:c r="U1980" s="1"/>
      <x:c r="V1980" s="1"/>
    </x:row>
    <x:row r="1981">
      <x:c r="A1981" s="1"/>
      <x:c r="B1981" s="1"/>
      <x:c r="C1981" s="1"/>
      <x:c r="D1981" s="1"/>
      <x:c r="E1981" s="1"/>
      <x:c r="F1981" s="1"/>
      <x:c r="G1981" s="1"/>
      <x:c r="H1981" s="1"/>
      <x:c r="I1981" s="1"/>
      <x:c r="J1981" s="1"/>
      <x:c r="K1981" s="1"/>
      <x:c r="L1981" s="1"/>
      <x:c r="M1981" s="1"/>
      <x:c r="N1981" s="1"/>
      <x:c r="O1981" s="1"/>
      <x:c r="P1981" s="1"/>
      <x:c r="Q1981" s="1"/>
      <x:c r="R1981" s="1"/>
      <x:c r="S1981" s="1"/>
      <x:c r="T1981" s="1"/>
      <x:c r="U1981" s="1"/>
      <x:c r="V1981" s="1"/>
    </x:row>
    <x:row r="1982">
      <x:c r="A1982" s="1"/>
      <x:c r="B1982" s="1"/>
      <x:c r="C1982" s="1"/>
      <x:c r="D1982" s="1"/>
      <x:c r="E1982" s="1"/>
      <x:c r="F1982" s="1"/>
      <x:c r="G1982" s="1"/>
      <x:c r="H1982" s="1"/>
      <x:c r="I1982" s="1"/>
      <x:c r="J1982" s="1"/>
      <x:c r="K1982" s="1"/>
      <x:c r="L1982" s="1"/>
      <x:c r="M1982" s="1"/>
      <x:c r="N1982" s="1"/>
      <x:c r="O1982" s="1"/>
      <x:c r="P1982" s="1"/>
      <x:c r="Q1982" s="1"/>
      <x:c r="R1982" s="1"/>
      <x:c r="S1982" s="1"/>
      <x:c r="T1982" s="1"/>
      <x:c r="U1982" s="1"/>
      <x:c r="V1982" s="1"/>
    </x:row>
    <x:row r="1983">
      <x:c r="A1983" s="1"/>
      <x:c r="B1983" s="1"/>
      <x:c r="C1983" s="1"/>
      <x:c r="D1983" s="1"/>
      <x:c r="E1983" s="1"/>
      <x:c r="F1983" s="1"/>
      <x:c r="G1983" s="1"/>
      <x:c r="H1983" s="1"/>
      <x:c r="I1983" s="1"/>
      <x:c r="J1983" s="1"/>
      <x:c r="K1983" s="1"/>
      <x:c r="L1983" s="1"/>
      <x:c r="M1983" s="1"/>
      <x:c r="N1983" s="1"/>
      <x:c r="O1983" s="1"/>
      <x:c r="P1983" s="1"/>
      <x:c r="Q1983" s="1"/>
      <x:c r="R1983" s="1"/>
      <x:c r="S1983" s="1"/>
      <x:c r="T1983" s="1"/>
      <x:c r="U1983" s="1"/>
      <x:c r="V1983" s="1"/>
    </x:row>
    <x:row r="1984">
      <x:c r="A1984" s="1"/>
      <x:c r="B1984" s="1"/>
      <x:c r="C1984" s="1"/>
      <x:c r="D1984" s="1"/>
      <x:c r="E1984" s="1"/>
      <x:c r="F1984" s="1"/>
      <x:c r="G1984" s="1"/>
      <x:c r="H1984" s="1"/>
      <x:c r="I1984" s="1"/>
      <x:c r="J1984" s="1"/>
      <x:c r="K1984" s="1"/>
      <x:c r="L1984" s="1"/>
      <x:c r="M1984" s="1"/>
      <x:c r="N1984" s="1"/>
      <x:c r="O1984" s="1"/>
      <x:c r="P1984" s="1"/>
      <x:c r="Q1984" s="1"/>
      <x:c r="R1984" s="1"/>
      <x:c r="S1984" s="1"/>
      <x:c r="T1984" s="1"/>
      <x:c r="U1984" s="1"/>
      <x:c r="V1984" s="1"/>
    </x:row>
    <x:row r="1985">
      <x:c r="A1985" s="1"/>
      <x:c r="B1985" s="1"/>
      <x:c r="C1985" s="1"/>
      <x:c r="D1985" s="1"/>
      <x:c r="E1985" s="1"/>
      <x:c r="F1985" s="1"/>
      <x:c r="G1985" s="1"/>
      <x:c r="H1985" s="1"/>
      <x:c r="I1985" s="1"/>
      <x:c r="J1985" s="1"/>
      <x:c r="K1985" s="1"/>
      <x:c r="L1985" s="1"/>
      <x:c r="M1985" s="1"/>
      <x:c r="N1985" s="1"/>
      <x:c r="O1985" s="1"/>
      <x:c r="P1985" s="1"/>
      <x:c r="Q1985" s="1"/>
      <x:c r="R1985" s="1"/>
      <x:c r="S1985" s="1"/>
      <x:c r="T1985" s="1"/>
      <x:c r="U1985" s="1"/>
      <x:c r="V1985" s="1"/>
    </x:row>
    <x:row r="1986">
      <x:c r="A1986" s="1"/>
      <x:c r="B1986" s="1"/>
      <x:c r="C1986" s="1"/>
      <x:c r="D1986" s="1"/>
      <x:c r="E1986" s="1"/>
      <x:c r="F1986" s="1"/>
      <x:c r="G1986" s="1"/>
      <x:c r="H1986" s="1"/>
      <x:c r="I1986" s="1"/>
      <x:c r="J1986" s="1"/>
      <x:c r="K1986" s="1"/>
      <x:c r="L1986" s="1"/>
      <x:c r="M1986" s="1"/>
      <x:c r="N1986" s="1"/>
      <x:c r="O1986" s="1"/>
      <x:c r="P1986" s="1"/>
      <x:c r="Q1986" s="1"/>
      <x:c r="R1986" s="1"/>
      <x:c r="S1986" s="1"/>
      <x:c r="T1986" s="1"/>
      <x:c r="U1986" s="1"/>
      <x:c r="V1986" s="1"/>
    </x:row>
    <x:row r="1987">
      <x:c r="A1987" s="1"/>
      <x:c r="B1987" s="1"/>
      <x:c r="C1987" s="1"/>
      <x:c r="D1987" s="1"/>
      <x:c r="E1987" s="1"/>
      <x:c r="F1987" s="1"/>
      <x:c r="G1987" s="1"/>
      <x:c r="H1987" s="1"/>
      <x:c r="I1987" s="1"/>
      <x:c r="J1987" s="1"/>
      <x:c r="K1987" s="1"/>
      <x:c r="L1987" s="1"/>
      <x:c r="M1987" s="1"/>
      <x:c r="N1987" s="1"/>
      <x:c r="O1987" s="1"/>
      <x:c r="P1987" s="1"/>
      <x:c r="Q1987" s="1"/>
      <x:c r="R1987" s="1"/>
      <x:c r="S1987" s="1"/>
      <x:c r="T1987" s="1"/>
      <x:c r="U1987" s="1"/>
      <x:c r="V1987" s="1"/>
    </x:row>
    <x:row r="1988">
      <x:c r="A1988" s="1"/>
      <x:c r="B1988" s="1"/>
      <x:c r="C1988" s="1"/>
      <x:c r="D1988" s="1"/>
      <x:c r="E1988" s="1"/>
      <x:c r="F1988" s="1"/>
      <x:c r="G1988" s="1"/>
      <x:c r="H1988" s="1"/>
      <x:c r="I1988" s="1"/>
      <x:c r="J1988" s="1"/>
      <x:c r="K1988" s="1"/>
      <x:c r="L1988" s="1"/>
      <x:c r="M1988" s="1"/>
      <x:c r="N1988" s="1"/>
      <x:c r="O1988" s="1"/>
      <x:c r="P1988" s="1"/>
      <x:c r="Q1988" s="1"/>
      <x:c r="R1988" s="1"/>
      <x:c r="S1988" s="1"/>
      <x:c r="T1988" s="1"/>
      <x:c r="U1988" s="1"/>
      <x:c r="V1988" s="1"/>
    </x:row>
    <x:row r="1989">
      <x:c r="A1989" s="1"/>
      <x:c r="B1989" s="1"/>
      <x:c r="C1989" s="1"/>
      <x:c r="D1989" s="1"/>
      <x:c r="E1989" s="1"/>
      <x:c r="F1989" s="1"/>
      <x:c r="G1989" s="1"/>
      <x:c r="H1989" s="1"/>
      <x:c r="I1989" s="1"/>
      <x:c r="J1989" s="1"/>
      <x:c r="K1989" s="1"/>
      <x:c r="L1989" s="1"/>
      <x:c r="M1989" s="1"/>
      <x:c r="N1989" s="1"/>
      <x:c r="O1989" s="1"/>
      <x:c r="P1989" s="1"/>
      <x:c r="Q1989" s="1"/>
      <x:c r="R1989" s="1"/>
      <x:c r="S1989" s="1"/>
      <x:c r="T1989" s="1"/>
      <x:c r="U1989" s="1"/>
      <x:c r="V1989" s="1"/>
    </x:row>
    <x:row r="1990">
      <x:c r="A1990" s="1"/>
      <x:c r="B1990" s="1"/>
      <x:c r="C1990" s="1"/>
      <x:c r="D1990" s="1"/>
      <x:c r="E1990" s="1"/>
      <x:c r="F1990" s="1"/>
      <x:c r="G1990" s="1"/>
      <x:c r="H1990" s="1"/>
      <x:c r="I1990" s="1"/>
      <x:c r="J1990" s="1"/>
      <x:c r="K1990" s="1"/>
      <x:c r="L1990" s="1"/>
      <x:c r="M1990" s="1"/>
      <x:c r="N1990" s="1"/>
      <x:c r="O1990" s="1"/>
      <x:c r="P1990" s="1"/>
      <x:c r="Q1990" s="1"/>
      <x:c r="R1990" s="1"/>
      <x:c r="S1990" s="1"/>
      <x:c r="T1990" s="1"/>
      <x:c r="U1990" s="1"/>
      <x:c r="V1990" s="1"/>
    </x:row>
    <x:row r="1991">
      <x:c r="A1991" s="1"/>
      <x:c r="B1991" s="1"/>
      <x:c r="C1991" s="1"/>
      <x:c r="D1991" s="1"/>
      <x:c r="E1991" s="1"/>
      <x:c r="F1991" s="1"/>
      <x:c r="G1991" s="1"/>
      <x:c r="H1991" s="1"/>
      <x:c r="I1991" s="1"/>
      <x:c r="J1991" s="1"/>
      <x:c r="K1991" s="1"/>
      <x:c r="L1991" s="1"/>
      <x:c r="M1991" s="1"/>
      <x:c r="N1991" s="1"/>
      <x:c r="O1991" s="1"/>
      <x:c r="P1991" s="1"/>
      <x:c r="Q1991" s="1"/>
      <x:c r="R1991" s="1"/>
      <x:c r="S1991" s="1"/>
      <x:c r="T1991" s="1"/>
      <x:c r="U1991" s="1"/>
      <x:c r="V1991" s="1"/>
    </x:row>
    <x:row r="1992">
      <x:c r="A1992" s="1"/>
      <x:c r="B1992" s="1"/>
      <x:c r="C1992" s="1"/>
      <x:c r="D1992" s="1"/>
      <x:c r="E1992" s="1"/>
      <x:c r="F1992" s="1"/>
      <x:c r="G1992" s="1"/>
      <x:c r="H1992" s="1"/>
      <x:c r="I1992" s="1"/>
      <x:c r="J1992" s="1"/>
      <x:c r="K1992" s="1"/>
      <x:c r="L1992" s="1"/>
      <x:c r="M1992" s="1"/>
      <x:c r="N1992" s="1"/>
      <x:c r="O1992" s="1"/>
      <x:c r="P1992" s="1"/>
      <x:c r="Q1992" s="1"/>
      <x:c r="R1992" s="1"/>
      <x:c r="S1992" s="1"/>
      <x:c r="T1992" s="1"/>
      <x:c r="U1992" s="1"/>
      <x:c r="V1992" s="1"/>
    </x:row>
    <x:row r="1993">
      <x:c r="A1993" s="1"/>
      <x:c r="B1993" s="1"/>
      <x:c r="C1993" s="1"/>
      <x:c r="D1993" s="1"/>
      <x:c r="E1993" s="1"/>
      <x:c r="F1993" s="1"/>
      <x:c r="G1993" s="1"/>
      <x:c r="H1993" s="1"/>
      <x:c r="I1993" s="1"/>
      <x:c r="J1993" s="1"/>
      <x:c r="K1993" s="1"/>
      <x:c r="L1993" s="1"/>
      <x:c r="M1993" s="1"/>
      <x:c r="N1993" s="1"/>
      <x:c r="O1993" s="1"/>
      <x:c r="P1993" s="1"/>
      <x:c r="Q1993" s="1"/>
      <x:c r="R1993" s="1"/>
      <x:c r="S1993" s="1"/>
      <x:c r="T1993" s="1"/>
      <x:c r="U1993" s="1"/>
      <x:c r="V1993" s="1"/>
    </x:row>
    <x:row r="1994">
      <x:c r="A1994" s="1"/>
      <x:c r="B1994" s="1"/>
      <x:c r="C1994" s="1"/>
      <x:c r="D1994" s="1"/>
      <x:c r="E1994" s="1"/>
      <x:c r="F1994" s="1"/>
      <x:c r="G1994" s="1"/>
      <x:c r="H1994" s="1"/>
      <x:c r="I1994" s="1"/>
      <x:c r="J1994" s="1"/>
      <x:c r="K1994" s="1"/>
      <x:c r="L1994" s="1"/>
      <x:c r="M1994" s="1"/>
      <x:c r="N1994" s="1"/>
      <x:c r="O1994" s="1"/>
      <x:c r="P1994" s="1"/>
      <x:c r="Q1994" s="1"/>
      <x:c r="R1994" s="1"/>
      <x:c r="S1994" s="1"/>
      <x:c r="T1994" s="1"/>
      <x:c r="U1994" s="1"/>
      <x:c r="V1994" s="1"/>
    </x:row>
    <x:row r="1995">
      <x:c r="A1995" s="1"/>
      <x:c r="B1995" s="1"/>
      <x:c r="C1995" s="1"/>
      <x:c r="D1995" s="1"/>
      <x:c r="E1995" s="1"/>
      <x:c r="F1995" s="1"/>
      <x:c r="G1995" s="1"/>
      <x:c r="H1995" s="1"/>
      <x:c r="I1995" s="1"/>
      <x:c r="J1995" s="1"/>
      <x:c r="K1995" s="1"/>
      <x:c r="L1995" s="1"/>
      <x:c r="M1995" s="1"/>
      <x:c r="N1995" s="1"/>
      <x:c r="O1995" s="1"/>
      <x:c r="P1995" s="1"/>
      <x:c r="Q1995" s="1"/>
      <x:c r="R1995" s="1"/>
      <x:c r="S1995" s="1"/>
      <x:c r="T1995" s="1"/>
      <x:c r="U1995" s="1"/>
      <x:c r="V1995" s="1"/>
    </x:row>
    <x:row r="1996">
      <x:c r="A1996" s="1"/>
      <x:c r="B1996" s="1"/>
      <x:c r="C1996" s="1"/>
      <x:c r="D1996" s="1"/>
      <x:c r="E1996" s="1"/>
      <x:c r="F1996" s="1"/>
      <x:c r="G1996" s="1"/>
      <x:c r="H1996" s="1"/>
      <x:c r="I1996" s="1"/>
      <x:c r="J1996" s="1"/>
      <x:c r="K1996" s="1"/>
      <x:c r="L1996" s="1"/>
      <x:c r="M1996" s="1"/>
      <x:c r="N1996" s="1"/>
      <x:c r="O1996" s="1"/>
      <x:c r="P1996" s="1"/>
      <x:c r="Q1996" s="1"/>
      <x:c r="R1996" s="1"/>
      <x:c r="S1996" s="1"/>
      <x:c r="T1996" s="1"/>
      <x:c r="U1996" s="1"/>
      <x:c r="V1996" s="1"/>
    </x:row>
    <x:row r="1997">
      <x:c r="A1997" s="1"/>
      <x:c r="B1997" s="1"/>
      <x:c r="C1997" s="1"/>
      <x:c r="D1997" s="1"/>
      <x:c r="E1997" s="1"/>
      <x:c r="F1997" s="1"/>
      <x:c r="G1997" s="1"/>
      <x:c r="H1997" s="1"/>
      <x:c r="I1997" s="1"/>
      <x:c r="J1997" s="1"/>
      <x:c r="K1997" s="1"/>
      <x:c r="L1997" s="1"/>
      <x:c r="M1997" s="1"/>
      <x:c r="N1997" s="1"/>
      <x:c r="O1997" s="1"/>
      <x:c r="P1997" s="1"/>
      <x:c r="Q1997" s="1"/>
      <x:c r="R1997" s="1"/>
      <x:c r="S1997" s="1"/>
      <x:c r="T1997" s="1"/>
      <x:c r="U1997" s="1"/>
      <x:c r="V1997" s="1"/>
    </x:row>
    <x:row r="1998">
      <x:c r="A1998" s="1"/>
      <x:c r="B1998" s="1"/>
      <x:c r="C1998" s="1"/>
      <x:c r="D1998" s="1"/>
      <x:c r="E1998" s="1"/>
      <x:c r="F1998" s="1"/>
      <x:c r="G1998" s="1"/>
      <x:c r="H1998" s="1"/>
      <x:c r="I1998" s="1"/>
      <x:c r="J1998" s="1"/>
      <x:c r="K1998" s="1"/>
      <x:c r="L1998" s="1"/>
      <x:c r="M1998" s="1"/>
      <x:c r="N1998" s="1"/>
      <x:c r="O1998" s="1"/>
      <x:c r="P1998" s="1"/>
      <x:c r="Q1998" s="1"/>
      <x:c r="R1998" s="1"/>
      <x:c r="S1998" s="1"/>
      <x:c r="T1998" s="1"/>
      <x:c r="U1998" s="1"/>
      <x:c r="V1998" s="1"/>
    </x:row>
    <x:row r="1999">
      <x:c r="A1999" s="1"/>
      <x:c r="B1999" s="1"/>
      <x:c r="C1999" s="1"/>
      <x:c r="D1999" s="1"/>
      <x:c r="E1999" s="1"/>
      <x:c r="F1999" s="1"/>
      <x:c r="G1999" s="1"/>
      <x:c r="H1999" s="1"/>
      <x:c r="I1999" s="1"/>
      <x:c r="J1999" s="1"/>
      <x:c r="K1999" s="1"/>
      <x:c r="L1999" s="1"/>
      <x:c r="M1999" s="1"/>
      <x:c r="N1999" s="1"/>
      <x:c r="O1999" s="1"/>
      <x:c r="P1999" s="1"/>
      <x:c r="Q1999" s="1"/>
      <x:c r="R1999" s="1"/>
      <x:c r="S1999" s="1"/>
      <x:c r="T1999" s="1"/>
      <x:c r="U1999" s="1"/>
      <x:c r="V1999" s="1"/>
    </x:row>
    <x:row r="2000">
      <x:c r="A2000" s="1"/>
      <x:c r="B2000" s="1"/>
      <x:c r="C2000" s="1"/>
      <x:c r="D2000" s="1"/>
      <x:c r="E2000" s="1"/>
      <x:c r="F2000" s="1"/>
      <x:c r="G2000" s="1"/>
      <x:c r="H2000" s="1"/>
      <x:c r="I2000" s="1"/>
      <x:c r="J2000" s="1"/>
      <x:c r="K2000" s="1"/>
      <x:c r="L2000" s="1"/>
      <x:c r="M2000" s="1"/>
      <x:c r="N2000" s="1"/>
      <x:c r="O2000" s="1"/>
      <x:c r="P2000" s="1"/>
      <x:c r="Q2000" s="1"/>
      <x:c r="R2000" s="1"/>
      <x:c r="S2000" s="1"/>
      <x:c r="T2000" s="1"/>
      <x:c r="U2000" s="1"/>
      <x:c r="V2000" s="1"/>
    </x:row>
  </x:sheetData>
  <x:conditionalFormatting sqref="H5:H190">
    <x:cfRule type="containsText" dxfId="8" priority="1" operator="containsText" text="Completed"/>
    <x:cfRule type="containsText" dxfId="9" priority="2" operator="containsText" text="Partially Completed"/>
    <x:cfRule type="containsText" dxfId="10" priority="3" operator="containsText" text="Blocked"/>
    <x:cfRule type="containsText" dxfId="11" priority="4" operator="containsText" text="Not Started"/>
    <x:cfRule type="containsText" dxfId="12" priority="5" operator="containsText" text="Not Verified"/>
    <x:cfRule type="containsText" dxfId="13" priority="6" operator="containsText" text="External/Human Gate"/>
    <x:cfRule type="containsText" dxfId="14" priority="7" operator="containsText" text="Not Applicable"/>
  </x:conditionalFormatting>
  <x:pageMargins left="0.7" right="0.7" top="0.75" bottom="0.75" header="0.3" footer="0.3"/>
  <x:tableParts count="1">
    <x:tablePart xmlns:r="http://schemas.openxmlformats.org/officeDocument/2006/relationships" r:id="Rcbe2144f1cb449cb"/>
  </x:tableParts>
</x:worksheet>
</file>

<file path=xl/worksheets/sheet3.xml><?xml version="1.0" encoding="utf-8"?>
<x:worksheet xmlns:x="http://schemas.openxmlformats.org/spreadsheetml/2006/main">
  <x:sheetViews>
    <x:sheetView showGridLines="0" workbookViewId="0">
      <x:pane xSplit="5" ySplit="4" topLeftCell="F5" activePane="bottomRight" state="frozen"/>
    </x:sheetView>
  </x:sheetViews>
  <x:sheetFormatPr defaultRowHeight="15"/>
  <x:cols>
    <x:col min="1" max="1" width="10" hidden="0" customWidth="1"/>
    <x:col min="2" max="2" width="18" hidden="0" customWidth="1"/>
    <x:col min="3" max="3" width="14" hidden="0" customWidth="1"/>
    <x:col min="4" max="4" width="30" hidden="0" customWidth="1"/>
    <x:col min="5" max="5" width="10" hidden="0" customWidth="1"/>
    <x:col min="6" max="6" width="48" hidden="0" customWidth="1"/>
    <x:col min="7" max="7" width="25" hidden="0" customWidth="1"/>
    <x:col min="8" max="8" width="23" hidden="0" customWidth="1"/>
    <x:col min="9" max="9" width="21" hidden="0" customWidth="1"/>
    <x:col min="10" max="10" width="11" hidden="0" customWidth="1"/>
    <x:col min="11" max="11" width="18" hidden="0" customWidth="1"/>
    <x:col min="12" max="12" width="46" hidden="0" customWidth="1"/>
    <x:col min="13" max="13" width="24" hidden="0" customWidth="1"/>
    <x:col min="14" max="14" width="48" hidden="0" customWidth="1"/>
    <x:col min="15" max="15" width="13" hidden="0" customWidth="1"/>
    <x:col min="16" max="16" width="38" hidden="0" customWidth="1"/>
    <x:col min="17" max="17" width="34" hidden="0" customWidth="1"/>
    <x:col min="18" max="18" width="44" hidden="0" customWidth="1"/>
    <x:col min="19" max="19" width="18" hidden="0" customWidth="1"/>
    <x:col min="20" max="20" width="13" hidden="0" customWidth="1"/>
    <x:col min="21" max="21" width="42" hidden="0" customWidth="1"/>
  </x:cols>
  <x:sheetData>
    <x:row r="1" ht="26" customHeight="1">
      <x:c r="A1" s="4" t="str">
        <x:v>FeDril MVP Task Tracker</x:v>
      </x:c>
      <x:c r="B1" s="4"/>
      <x:c r="C1" s="4"/>
      <x:c r="D1" s="4"/>
      <x:c r="E1" s="4"/>
      <x:c r="F1" s="4"/>
      <x:c r="G1" s="4"/>
      <x:c r="H1" s="4"/>
      <x:c r="I1" s="4"/>
      <x:c r="J1" s="4"/>
      <x:c r="K1" s="4"/>
      <x:c r="L1" s="4"/>
      <x:c r="M1" s="4"/>
      <x:c r="N1" s="4"/>
      <x:c r="O1" s="4"/>
      <x:c r="P1" s="4"/>
      <x:c r="Q1" s="4"/>
      <x:c r="R1" s="4"/>
      <x:c r="S1" s="4"/>
      <x:c r="T1" s="4"/>
      <x:c r="U1" s="4"/>
      <x:c r="V1" s="1"/>
    </x:row>
    <x:row r="2" ht="34" customHeight="1">
      <x:c r="A2" s="7" t="str">
        <x:v>Unique canonical tasks; evidence reviewed as of 2026-09-07. Amber cells are editable planning/status inputs.</x:v>
      </x:c>
      <x:c r="B2" s="7"/>
      <x:c r="C2" s="7"/>
      <x:c r="D2" s="7"/>
      <x:c r="E2" s="7"/>
      <x:c r="F2" s="7"/>
      <x:c r="G2" s="7"/>
      <x:c r="H2" s="7"/>
      <x:c r="I2" s="7"/>
      <x:c r="J2" s="7"/>
      <x:c r="K2" s="7"/>
      <x:c r="L2" s="7"/>
      <x:c r="M2" s="7"/>
      <x:c r="N2" s="7"/>
      <x:c r="O2" s="7"/>
      <x:c r="P2" s="7"/>
      <x:c r="Q2" s="7"/>
      <x:c r="R2" s="7"/>
      <x:c r="S2" s="7"/>
      <x:c r="T2" s="7"/>
      <x:c r="U2" s="7"/>
      <x:c r="V2" s="1"/>
    </x:row>
    <x:row r="3">
      <x:c r="A3" s="1"/>
      <x:c r="B3" s="1"/>
      <x:c r="C3" s="1"/>
      <x:c r="D3" s="1"/>
      <x:c r="E3" s="1"/>
      <x:c r="F3" s="1"/>
      <x:c r="G3" s="1"/>
      <x:c r="H3" s="1"/>
      <x:c r="I3" s="1"/>
      <x:c r="J3" s="1"/>
      <x:c r="K3" s="1"/>
      <x:c r="L3" s="1"/>
      <x:c r="M3" s="1"/>
      <x:c r="N3" s="1"/>
      <x:c r="O3" s="1"/>
      <x:c r="P3" s="1"/>
      <x:c r="Q3" s="1"/>
      <x:c r="R3" s="1"/>
      <x:c r="S3" s="1"/>
      <x:c r="T3" s="1"/>
      <x:c r="U3" s="1"/>
      <x:c r="V3" s="1"/>
    </x:row>
    <x:row r="4" ht="32" customHeight="1">
      <x:c r="A4" s="16" t="str">
        <x:v>Overall sequence</x:v>
      </x:c>
      <x:c r="B4" s="16" t="str">
        <x:v>Phase/track</x:v>
      </x:c>
      <x:c r="C4" s="16" t="str">
        <x:v>Story/gate ID</x:v>
      </x:c>
      <x:c r="D4" s="16" t="str">
        <x:v>Exact story title</x:v>
      </x:c>
      <x:c r="E4" s="16" t="str">
        <x:v>Task sequence within story</x:v>
      </x:c>
      <x:c r="F4" s="16" t="str">
        <x:v>Task description</x:v>
      </x:c>
      <x:c r="G4" s="16" t="str">
        <x:v>Outcome type</x:v>
      </x:c>
      <x:c r="H4" s="16" t="str">
        <x:v>Roadmap classification</x:v>
      </x:c>
      <x:c r="I4" s="16" t="str">
        <x:v>Task status</x:v>
      </x:c>
      <x:c r="J4" s="16" t="str">
        <x:v>Remaining?</x:v>
      </x:c>
      <x:c r="K4" s="16" t="str">
        <x:v>Dependency/predecessor</x:v>
      </x:c>
      <x:c r="L4" s="16" t="str">
        <x:v>Completion evidence</x:v>
      </x:c>
      <x:c r="M4" s="16" t="str">
        <x:v>Evidence type</x:v>
      </x:c>
      <x:c r="N4" s="16" t="str">
        <x:v>Evidence source and locator</x:v>
      </x:c>
      <x:c r="O4" s="16" t="str">
        <x:v>Verification date</x:v>
      </x:c>
      <x:c r="P4" s="16" t="str">
        <x:v>Acceptance/test references</x:v>
      </x:c>
      <x:c r="Q4" s="16" t="str">
        <x:v>Blocker or external dependency</x:v>
      </x:c>
      <x:c r="R4" s="16" t="str">
        <x:v>Next action</x:v>
      </x:c>
      <x:c r="S4" s="16" t="str">
        <x:v>Owner</x:v>
      </x:c>
      <x:c r="T4" s="16" t="str">
        <x:v>Target date</x:v>
      </x:c>
      <x:c r="U4" s="16" t="str">
        <x:v>Notes/limitations</x:v>
      </x:c>
      <x:c r="V4" s="1"/>
    </x:row>
    <x:row r="5" ht="46" customHeight="1">
      <x:c r="A5" s="17" t="n">
        <x:v>1</x:v>
      </x:c>
      <x:c r="B5" s="17" t="str">
        <x:v>Phase 0</x:v>
      </x:c>
      <x:c r="C5" s="17" t="str">
        <x:v>0.1</x:v>
      </x:c>
      <x:c r="D5" s="21" t="str">
        <x:v>Persona Map</x:v>
      </x:c>
      <x:c r="E5" s="17" t="n">
        <x:v>1</x:v>
      </x:c>
      <x:c r="F5" s="21" t="str">
        <x:v>Define persona roles, company context, jobs, pains, desired outcomes, authority, and data-handling constraints.</x:v>
      </x:c>
      <x:c r="G5" s="17" t="str">
        <x:v>Research / governed decision</x:v>
      </x:c>
      <x:c r="H5" s="17" t="str">
        <x:v>Planned</x:v>
      </x:c>
      <x:c r="I5" s="18" t="str">
        <x:v>External/Human Gate</x:v>
      </x:c>
      <x:c r="J5" s="17" t="str">
        <x:f>IF(OR(I5="Completed",I5="Not Applicable"),"No","Yes")</x:f>
        <x:v>Yes</x:v>
      </x:c>
      <x:c r="K5" s="17" t="str"/>
      <x:c r="L5" s="21" t="str"/>
      <x:c r="M5" s="17" t="str">
        <x:v>Human/external evidence required</x:v>
      </x:c>
      <x:c r="N5" s="21" t="str">
        <x:v>/Users/devups/Development/CodexProjects/Gccs/docs/development-phase-use-cases.md (line 72)</x:v>
      </x:c>
      <x:c r="O5" s="19"/>
      <x:c r="P5" s="21" t="str">
        <x:v>4 acceptance criteria; 4 TC references; implementation=no; smoke=no; automated=no; Story-level regression template</x:v>
      </x:c>
      <x:c r="Q5" s="21" t="str">
        <x:v>Governed human evidence, reviewer qualifications/conflicts, dated disposition, owner, and follow-up.</x:v>
      </x:c>
      <x:c r="R5" s="21" t="str">
        <x:v>Execute the governed human-evidence review for Story 0.1; record artifact, reviewer, date, findings, and disposition.</x:v>
      </x:c>
      <x:c r="S5" s="18" t="str"/>
      <x:c r="T5" s="20"/>
      <x:c r="U5" s="21" t="str">
        <x:v>A document draft or internal analysis cannot substitute for qualified review and recorded gate disposition.</x:v>
      </x:c>
      <x:c r="V5" s="1"/>
    </x:row>
    <x:row r="6" ht="46" customHeight="1">
      <x:c r="A6" s="17" t="n">
        <x:v>2</x:v>
      </x:c>
      <x:c r="B6" s="17" t="str">
        <x:v>Phase 0</x:v>
      </x:c>
      <x:c r="C6" s="17" t="str">
        <x:v>0.1</x:v>
      </x:c>
      <x:c r="D6" s="21" t="str">
        <x:v>Persona Map</x:v>
      </x:c>
      <x:c r="E6" s="17" t="n">
        <x:v>2</x:v>
      </x:c>
      <x:c r="F6" s="21" t="str">
        <x:v>Link persona claims to interview or source evidence and record confidence.</x:v>
      </x:c>
      <x:c r="G6" s="17" t="str">
        <x:v>Research / governed decision</x:v>
      </x:c>
      <x:c r="H6" s="17" t="str">
        <x:v>Planned</x:v>
      </x:c>
      <x:c r="I6" s="18" t="str">
        <x:v>External/Human Gate</x:v>
      </x:c>
      <x:c r="J6" s="17" t="str">
        <x:f>IF(OR(I6="Completed",I6="Not Applicable"),"No","Yes")</x:f>
        <x:v>Yes</x:v>
      </x:c>
      <x:c r="K6" s="17" t="str">
        <x:v>0.1 task 1</x:v>
      </x:c>
      <x:c r="L6" s="21" t="str"/>
      <x:c r="M6" s="17" t="str">
        <x:v>Human/external evidence required</x:v>
      </x:c>
      <x:c r="N6" s="21" t="str">
        <x:v>/Users/devups/Development/CodexProjects/Gccs/docs/development-phase-use-cases.md (line 72)</x:v>
      </x:c>
      <x:c r="O6" s="19"/>
      <x:c r="P6" s="21" t="str">
        <x:v>4 acceptance criteria; 4 TC references; implementation=no; smoke=no; automated=no; Story-level regression template</x:v>
      </x:c>
      <x:c r="Q6" s="21" t="str">
        <x:v>Governed human evidence, reviewer qualifications/conflicts, dated disposition, owner, and follow-up.</x:v>
      </x:c>
      <x:c r="R6" s="21" t="str">
        <x:v>Execute the governed human-evidence review for Story 0.1; record artifact, reviewer, date, findings, and disposition.</x:v>
      </x:c>
      <x:c r="S6" s="18" t="str"/>
      <x:c r="T6" s="20"/>
      <x:c r="U6" s="21" t="str">
        <x:v>A document draft or internal analysis cannot substitute for qualified review and recorded gate disposition.</x:v>
      </x:c>
      <x:c r="V6" s="1"/>
    </x:row>
    <x:row r="7" ht="46" customHeight="1">
      <x:c r="A7" s="17" t="n">
        <x:v>3</x:v>
      </x:c>
      <x:c r="B7" s="17" t="str">
        <x:v>Phase 0</x:v>
      </x:c>
      <x:c r="C7" s="17" t="str">
        <x:v>0.1</x:v>
      </x:c>
      <x:c r="D7" s="21" t="str">
        <x:v>Persona Map</x:v>
      </x:c>
      <x:c r="E7" s="17" t="n">
        <x:v>3</x:v>
      </x:c>
      <x:c r="F7" s="21" t="str">
        <x:v>Record conflicts between buyer, operator, and reviewer needs.</x:v>
      </x:c>
      <x:c r="G7" s="17" t="str">
        <x:v>Research / governed decision</x:v>
      </x:c>
      <x:c r="H7" s="17" t="str">
        <x:v>Planned</x:v>
      </x:c>
      <x:c r="I7" s="18" t="str">
        <x:v>External/Human Gate</x:v>
      </x:c>
      <x:c r="J7" s="17" t="str">
        <x:f>IF(OR(I7="Completed",I7="Not Applicable"),"No","Yes")</x:f>
        <x:v>Yes</x:v>
      </x:c>
      <x:c r="K7" s="17" t="str">
        <x:v>0.1 task 2</x:v>
      </x:c>
      <x:c r="L7" s="21" t="str"/>
      <x:c r="M7" s="17" t="str">
        <x:v>Human/external evidence required</x:v>
      </x:c>
      <x:c r="N7" s="21" t="str">
        <x:v>/Users/devups/Development/CodexProjects/Gccs/docs/development-phase-use-cases.md (line 72)</x:v>
      </x:c>
      <x:c r="O7" s="19"/>
      <x:c r="P7" s="21" t="str">
        <x:v>4 acceptance criteria; 4 TC references; implementation=no; smoke=no; automated=no; Story-level regression template</x:v>
      </x:c>
      <x:c r="Q7" s="21" t="str">
        <x:v>Governed human evidence, reviewer qualifications/conflicts, dated disposition, owner, and follow-up.</x:v>
      </x:c>
      <x:c r="R7" s="21" t="str">
        <x:v>Execute the governed human-evidence review for Story 0.1; record artifact, reviewer, date, findings, and disposition.</x:v>
      </x:c>
      <x:c r="S7" s="18" t="str"/>
      <x:c r="T7" s="20"/>
      <x:c r="U7" s="21" t="str">
        <x:v>A document draft or internal analysis cannot substitute for qualified review and recorded gate disposition.</x:v>
      </x:c>
      <x:c r="V7" s="1"/>
    </x:row>
    <x:row r="8" ht="46" customHeight="1">
      <x:c r="A8" s="17" t="n">
        <x:v>4</x:v>
      </x:c>
      <x:c r="B8" s="17" t="str">
        <x:v>Phase 0</x:v>
      </x:c>
      <x:c r="C8" s="17" t="str">
        <x:v>0.2</x:v>
      </x:c>
      <x:c r="D8" s="21" t="str">
        <x:v>Regulatory Obligation Map</x:v>
      </x:c>
      <x:c r="E8" s="17" t="n">
        <x:v>1</x:v>
      </x:c>
      <x:c r="F8" s="21" t="str">
        <x:v>Inventory candidate FAR, DFARS, CMMC, SBA, and other high-frequency sources.</x:v>
      </x:c>
      <x:c r="G8" s="17" t="str">
        <x:v>Research / governed decision</x:v>
      </x:c>
      <x:c r="H8" s="17" t="str">
        <x:v>Planned</x:v>
      </x:c>
      <x:c r="I8" s="18" t="str">
        <x:v>External/Human Gate</x:v>
      </x:c>
      <x:c r="J8" s="17" t="str">
        <x:f>IF(OR(I8="Completed",I8="Not Applicable"),"No","Yes")</x:f>
        <x:v>Yes</x:v>
      </x:c>
      <x:c r="K8" s="17" t="str">
        <x:v>0.1</x:v>
      </x:c>
      <x:c r="L8" s="21" t="str"/>
      <x:c r="M8" s="17" t="str">
        <x:v>Human/external evidence required</x:v>
      </x:c>
      <x:c r="N8" s="21" t="str">
        <x:v>/Users/devups/Development/CodexProjects/Gccs/docs/development-phase-use-cases.md (line 91)</x:v>
      </x:c>
      <x:c r="O8" s="19"/>
      <x:c r="P8" s="21" t="str">
        <x:v>4 acceptance criteria; 4 TC references; implementation=no; smoke=no; automated=no; Story-level regression template</x:v>
      </x:c>
      <x:c r="Q8" s="21" t="str">
        <x:v>Governed human evidence, reviewer qualifications/conflicts, dated disposition, owner, and follow-up.</x:v>
      </x:c>
      <x:c r="R8" s="21" t="str">
        <x:v>Execute the governed human-evidence review for Story 0.2; record artifact, reviewer, date, findings, and disposition.</x:v>
      </x:c>
      <x:c r="S8" s="18" t="str"/>
      <x:c r="T8" s="20"/>
      <x:c r="U8" s="21" t="str">
        <x:v>A document draft or internal analysis cannot substitute for qualified review and recorded gate disposition.</x:v>
      </x:c>
      <x:c r="V8" s="1"/>
    </x:row>
    <x:row r="9" ht="46" customHeight="1">
      <x:c r="A9" s="17" t="n">
        <x:v>5</x:v>
      </x:c>
      <x:c r="B9" s="17" t="str">
        <x:v>Phase 0</x:v>
      </x:c>
      <x:c r="C9" s="17" t="str">
        <x:v>0.2</x:v>
      </x:c>
      <x:c r="D9" s="21" t="str">
        <x:v>Regulatory Obligation Map</x:v>
      </x:c>
      <x:c r="E9" s="17" t="n">
        <x:v>2</x:v>
      </x:c>
      <x:c r="F9" s="21" t="str">
        <x:v>Record source URL, version/date, applicability hypothesis, workflow impact, owner, reviewer, and review status.</x:v>
      </x:c>
      <x:c r="G9" s="17" t="str">
        <x:v>Research / governed decision</x:v>
      </x:c>
      <x:c r="H9" s="17" t="str">
        <x:v>Planned</x:v>
      </x:c>
      <x:c r="I9" s="18" t="str">
        <x:v>External/Human Gate</x:v>
      </x:c>
      <x:c r="J9" s="17" t="str">
        <x:f>IF(OR(I9="Completed",I9="Not Applicable"),"No","Yes")</x:f>
        <x:v>Yes</x:v>
      </x:c>
      <x:c r="K9" s="17" t="str">
        <x:v>0.2 task 1</x:v>
      </x:c>
      <x:c r="L9" s="21" t="str"/>
      <x:c r="M9" s="17" t="str">
        <x:v>Human/external evidence required</x:v>
      </x:c>
      <x:c r="N9" s="21" t="str">
        <x:v>/Users/devups/Development/CodexProjects/Gccs/docs/development-phase-use-cases.md (line 91)</x:v>
      </x:c>
      <x:c r="O9" s="19"/>
      <x:c r="P9" s="21" t="str">
        <x:v>4 acceptance criteria; 4 TC references; implementation=no; smoke=no; automated=no; Story-level regression template</x:v>
      </x:c>
      <x:c r="Q9" s="21" t="str">
        <x:v>Governed human evidence, reviewer qualifications/conflicts, dated disposition, owner, and follow-up.</x:v>
      </x:c>
      <x:c r="R9" s="21" t="str">
        <x:v>Execute the governed human-evidence review for Story 0.2; record artifact, reviewer, date, findings, and disposition.</x:v>
      </x:c>
      <x:c r="S9" s="18" t="str"/>
      <x:c r="T9" s="20"/>
      <x:c r="U9" s="21" t="str">
        <x:v>A document draft or internal analysis cannot substitute for qualified review and recorded gate disposition.</x:v>
      </x:c>
      <x:c r="V9" s="1"/>
    </x:row>
    <x:row r="10" ht="46" customHeight="1">
      <x:c r="A10" s="17" t="n">
        <x:v>6</x:v>
      </x:c>
      <x:c r="B10" s="17" t="str">
        <x:v>Phase 0</x:v>
      </x:c>
      <x:c r="C10" s="17" t="str">
        <x:v>0.2</x:v>
      </x:c>
      <x:c r="D10" s="21" t="str">
        <x:v>Regulatory Obligation Map</x:v>
      </x:c>
      <x:c r="E10" s="17" t="n">
        <x:v>3</x:v>
      </x:c>
      <x:c r="F10" s="21" t="str">
        <x:v>Separate authoritative requirements from guidance, product interpretation, and future scope.</x:v>
      </x:c>
      <x:c r="G10" s="17" t="str">
        <x:v>Research / governed decision</x:v>
      </x:c>
      <x:c r="H10" s="17" t="str">
        <x:v>Planned</x:v>
      </x:c>
      <x:c r="I10" s="18" t="str">
        <x:v>External/Human Gate</x:v>
      </x:c>
      <x:c r="J10" s="17" t="str">
        <x:f>IF(OR(I10="Completed",I10="Not Applicable"),"No","Yes")</x:f>
        <x:v>Yes</x:v>
      </x:c>
      <x:c r="K10" s="17" t="str">
        <x:v>0.2 task 2</x:v>
      </x:c>
      <x:c r="L10" s="21" t="str"/>
      <x:c r="M10" s="17" t="str">
        <x:v>Human/external evidence required</x:v>
      </x:c>
      <x:c r="N10" s="21" t="str">
        <x:v>/Users/devups/Development/CodexProjects/Gccs/docs/development-phase-use-cases.md (line 91)</x:v>
      </x:c>
      <x:c r="O10" s="19"/>
      <x:c r="P10" s="21" t="str">
        <x:v>4 acceptance criteria; 4 TC references; implementation=no; smoke=no; automated=no; Story-level regression template</x:v>
      </x:c>
      <x:c r="Q10" s="21" t="str">
        <x:v>Governed human evidence, reviewer qualifications/conflicts, dated disposition, owner, and follow-up.</x:v>
      </x:c>
      <x:c r="R10" s="21" t="str">
        <x:v>Execute the governed human-evidence review for Story 0.2; record artifact, reviewer, date, findings, and disposition.</x:v>
      </x:c>
      <x:c r="S10" s="18" t="str"/>
      <x:c r="T10" s="20"/>
      <x:c r="U10" s="21" t="str">
        <x:v>A document draft or internal analysis cannot substitute for qualified review and recorded gate disposition.</x:v>
      </x:c>
      <x:c r="V10" s="1"/>
    </x:row>
    <x:row r="11" ht="46" customHeight="1">
      <x:c r="A11" s="17" t="n">
        <x:v>7</x:v>
      </x:c>
      <x:c r="B11" s="17" t="str">
        <x:v>Phase 0</x:v>
      </x:c>
      <x:c r="C11" s="17" t="str">
        <x:v>0.3</x:v>
      </x:c>
      <x:c r="D11" s="21" t="str">
        <x:v>Competitive Matrix</x:v>
      </x:c>
      <x:c r="E11" s="17" t="n">
        <x:v>1</x:v>
      </x:c>
      <x:c r="F11" s="21" t="str">
        <x:v>Define comparison dimensions tied to target-persona jobs and buying constraints.</x:v>
      </x:c>
      <x:c r="G11" s="17" t="str">
        <x:v>Research / governed decision</x:v>
      </x:c>
      <x:c r="H11" s="17" t="str">
        <x:v>Planned</x:v>
      </x:c>
      <x:c r="I11" s="18" t="str">
        <x:v>External/Human Gate</x:v>
      </x:c>
      <x:c r="J11" s="17" t="str">
        <x:f>IF(OR(I11="Completed",I11="Not Applicable"),"No","Yes")</x:f>
        <x:v>Yes</x:v>
      </x:c>
      <x:c r="K11" s="17" t="str">
        <x:v>0.2</x:v>
      </x:c>
      <x:c r="L11" s="21" t="str"/>
      <x:c r="M11" s="17" t="str">
        <x:v>Human/external evidence required</x:v>
      </x:c>
      <x:c r="N11" s="21" t="str">
        <x:v>/Users/devups/Development/CodexProjects/Gccs/docs/development-phase-use-cases.md (line 110)</x:v>
      </x:c>
      <x:c r="O11" s="19"/>
      <x:c r="P11" s="21" t="str">
        <x:v>4 acceptance criteria; 4 TC references; implementation=no; smoke=no; automated=no; Story-level regression template</x:v>
      </x:c>
      <x:c r="Q11" s="21" t="str">
        <x:v>Governed human evidence, reviewer qualifications/conflicts, dated disposition, owner, and follow-up.</x:v>
      </x:c>
      <x:c r="R11" s="21" t="str">
        <x:v>Execute the governed human-evidence review for Story 0.3; record artifact, reviewer, date, findings, and disposition.</x:v>
      </x:c>
      <x:c r="S11" s="18" t="str"/>
      <x:c r="T11" s="20"/>
      <x:c r="U11" s="21" t="str">
        <x:v>A document draft or internal analysis cannot substitute for qualified review and recorded gate disposition.</x:v>
      </x:c>
      <x:c r="V11" s="1"/>
    </x:row>
    <x:row r="12" ht="46" customHeight="1">
      <x:c r="A12" s="17" t="n">
        <x:v>8</x:v>
      </x:c>
      <x:c r="B12" s="17" t="str">
        <x:v>Phase 0</x:v>
      </x:c>
      <x:c r="C12" s="17" t="str">
        <x:v>0.3</x:v>
      </x:c>
      <x:c r="D12" s="21" t="str">
        <x:v>Competitive Matrix</x:v>
      </x:c>
      <x:c r="E12" s="17" t="n">
        <x:v>2</x:v>
      </x:c>
      <x:c r="F12" s="21" t="str">
        <x:v>Capture source URLs, access dates, product tier, and uncertainty for each comparison.</x:v>
      </x:c>
      <x:c r="G12" s="17" t="str">
        <x:v>Research / governed decision</x:v>
      </x:c>
      <x:c r="H12" s="17" t="str">
        <x:v>Planned</x:v>
      </x:c>
      <x:c r="I12" s="18" t="str">
        <x:v>External/Human Gate</x:v>
      </x:c>
      <x:c r="J12" s="17" t="str">
        <x:f>IF(OR(I12="Completed",I12="Not Applicable"),"No","Yes")</x:f>
        <x:v>Yes</x:v>
      </x:c>
      <x:c r="K12" s="17" t="str">
        <x:v>0.3 task 1</x:v>
      </x:c>
      <x:c r="L12" s="21" t="str"/>
      <x:c r="M12" s="17" t="str">
        <x:v>Human/external evidence required</x:v>
      </x:c>
      <x:c r="N12" s="21" t="str">
        <x:v>/Users/devups/Development/CodexProjects/Gccs/docs/development-phase-use-cases.md (line 110)</x:v>
      </x:c>
      <x:c r="O12" s="19"/>
      <x:c r="P12" s="21" t="str">
        <x:v>4 acceptance criteria; 4 TC references; implementation=no; smoke=no; automated=no; Story-level regression template</x:v>
      </x:c>
      <x:c r="Q12" s="21" t="str">
        <x:v>Governed human evidence, reviewer qualifications/conflicts, dated disposition, owner, and follow-up.</x:v>
      </x:c>
      <x:c r="R12" s="21" t="str">
        <x:v>Execute the governed human-evidence review for Story 0.3; record artifact, reviewer, date, findings, and disposition.</x:v>
      </x:c>
      <x:c r="S12" s="18" t="str"/>
      <x:c r="T12" s="20"/>
      <x:c r="U12" s="21" t="str">
        <x:v>A document draft or internal analysis cannot substitute for qualified review and recorded gate disposition.</x:v>
      </x:c>
      <x:c r="V12" s="1"/>
    </x:row>
    <x:row r="13" ht="46" customHeight="1">
      <x:c r="A13" s="17" t="n">
        <x:v>9</x:v>
      </x:c>
      <x:c r="B13" s="17" t="str">
        <x:v>Phase 0</x:v>
      </x:c>
      <x:c r="C13" s="17" t="str">
        <x:v>0.3</x:v>
      </x:c>
      <x:c r="D13" s="21" t="str">
        <x:v>Competitive Matrix</x:v>
      </x:c>
      <x:c r="E13" s="17" t="n">
        <x:v>3</x:v>
      </x:c>
      <x:c r="F13" s="21" t="str">
        <x:v>Distinguish observed capability, vendor claim, inference, and unknown.</x:v>
      </x:c>
      <x:c r="G13" s="17" t="str">
        <x:v>Research / governed decision</x:v>
      </x:c>
      <x:c r="H13" s="17" t="str">
        <x:v>Planned</x:v>
      </x:c>
      <x:c r="I13" s="18" t="str">
        <x:v>External/Human Gate</x:v>
      </x:c>
      <x:c r="J13" s="17" t="str">
        <x:f>IF(OR(I13="Completed",I13="Not Applicable"),"No","Yes")</x:f>
        <x:v>Yes</x:v>
      </x:c>
      <x:c r="K13" s="17" t="str">
        <x:v>0.3 task 2</x:v>
      </x:c>
      <x:c r="L13" s="21" t="str"/>
      <x:c r="M13" s="17" t="str">
        <x:v>Human/external evidence required</x:v>
      </x:c>
      <x:c r="N13" s="21" t="str">
        <x:v>/Users/devups/Development/CodexProjects/Gccs/docs/development-phase-use-cases.md (line 110)</x:v>
      </x:c>
      <x:c r="O13" s="19"/>
      <x:c r="P13" s="21" t="str">
        <x:v>4 acceptance criteria; 4 TC references; implementation=no; smoke=no; automated=no; Story-level regression template</x:v>
      </x:c>
      <x:c r="Q13" s="21" t="str">
        <x:v>Governed human evidence, reviewer qualifications/conflicts, dated disposition, owner, and follow-up.</x:v>
      </x:c>
      <x:c r="R13" s="21" t="str">
        <x:v>Execute the governed human-evidence review for Story 0.3; record artifact, reviewer, date, findings, and disposition.</x:v>
      </x:c>
      <x:c r="S13" s="18" t="str"/>
      <x:c r="T13" s="20"/>
      <x:c r="U13" s="21" t="str">
        <x:v>A document draft or internal analysis cannot substitute for qualified review and recorded gate disposition.</x:v>
      </x:c>
      <x:c r="V13" s="1"/>
    </x:row>
    <x:row r="14" ht="46" customHeight="1">
      <x:c r="A14" s="17" t="n">
        <x:v>10</x:v>
      </x:c>
      <x:c r="B14" s="17" t="str">
        <x:v>Phase 0</x:v>
      </x:c>
      <x:c r="C14" s="17" t="str">
        <x:v>0.4</x:v>
      </x:c>
      <x:c r="D14" s="21" t="str">
        <x:v>Clickable Prototype Validation</x:v>
      </x:c>
      <x:c r="E14" s="17" t="n">
        <x:v>1</x:v>
      </x:c>
      <x:c r="F14" s="21" t="str">
        <x:v>Prototype onboarding, contract intake, obligation review, evidence linking, and reporting with synthetic data.</x:v>
      </x:c>
      <x:c r="G14" s="17" t="str">
        <x:v>Research / governed decision</x:v>
      </x:c>
      <x:c r="H14" s="17" t="str">
        <x:v>Planned</x:v>
      </x:c>
      <x:c r="I14" s="18" t="str">
        <x:v>External/Human Gate</x:v>
      </x:c>
      <x:c r="J14" s="17" t="str">
        <x:f>IF(OR(I14="Completed",I14="Not Applicable"),"No","Yes")</x:f>
        <x:v>Yes</x:v>
      </x:c>
      <x:c r="K14" s="17" t="str">
        <x:v>0.3</x:v>
      </x:c>
      <x:c r="L14" s="21" t="str"/>
      <x:c r="M14" s="17" t="str">
        <x:v>Human/external evidence required</x:v>
      </x:c>
      <x:c r="N14" s="21" t="str">
        <x:v>/Users/devups/Development/CodexProjects/Gccs/docs/development-phase-use-cases.md (line 129)</x:v>
      </x:c>
      <x:c r="O14" s="19"/>
      <x:c r="P14" s="21" t="str">
        <x:v>4 acceptance criteria; 4 TC references; implementation=no; smoke=no; automated=no; Story-level regression template</x:v>
      </x:c>
      <x:c r="Q14" s="21" t="str">
        <x:v>Governed human evidence, reviewer qualifications/conflicts, dated disposition, owner, and follow-up.</x:v>
      </x:c>
      <x:c r="R14" s="21" t="str">
        <x:v>Execute the governed human-evidence review for Story 0.4; record artifact, reviewer, date, findings, and disposition.</x:v>
      </x:c>
      <x:c r="S14" s="18" t="str"/>
      <x:c r="T14" s="20"/>
      <x:c r="U14" s="21" t="str">
        <x:v>A document draft or internal analysis cannot substitute for qualified review and recorded gate disposition.</x:v>
      </x:c>
      <x:c r="V14" s="1"/>
    </x:row>
    <x:row r="15" ht="46" customHeight="1">
      <x:c r="A15" s="17" t="n">
        <x:v>11</x:v>
      </x:c>
      <x:c r="B15" s="17" t="str">
        <x:v>Phase 0</x:v>
      </x:c>
      <x:c r="C15" s="17" t="str">
        <x:v>0.4</x:v>
      </x:c>
      <x:c r="D15" s="21" t="str">
        <x:v>Clickable Prototype Validation</x:v>
      </x:c>
      <x:c r="E15" s="17" t="n">
        <x:v>2</x:v>
      </x:c>
      <x:c r="F15" s="21" t="str">
        <x:v>Define scenario scripts and observable usability measures.</x:v>
      </x:c>
      <x:c r="G15" s="17" t="str">
        <x:v>Research / governed decision</x:v>
      </x:c>
      <x:c r="H15" s="17" t="str">
        <x:v>Planned</x:v>
      </x:c>
      <x:c r="I15" s="18" t="str">
        <x:v>External/Human Gate</x:v>
      </x:c>
      <x:c r="J15" s="17" t="str">
        <x:f>IF(OR(I15="Completed",I15="Not Applicable"),"No","Yes")</x:f>
        <x:v>Yes</x:v>
      </x:c>
      <x:c r="K15" s="17" t="str">
        <x:v>0.4 task 1</x:v>
      </x:c>
      <x:c r="L15" s="21" t="str"/>
      <x:c r="M15" s="17" t="str">
        <x:v>Human/external evidence required</x:v>
      </x:c>
      <x:c r="N15" s="21" t="str">
        <x:v>/Users/devups/Development/CodexProjects/Gccs/docs/development-phase-use-cases.md (line 129)</x:v>
      </x:c>
      <x:c r="O15" s="19"/>
      <x:c r="P15" s="21" t="str">
        <x:v>4 acceptance criteria; 4 TC references; implementation=no; smoke=no; automated=no; Story-level regression template</x:v>
      </x:c>
      <x:c r="Q15" s="21" t="str">
        <x:v>Governed human evidence, reviewer qualifications/conflicts, dated disposition, owner, and follow-up.</x:v>
      </x:c>
      <x:c r="R15" s="21" t="str">
        <x:v>Execute the governed human-evidence review for Story 0.4; record artifact, reviewer, date, findings, and disposition.</x:v>
      </x:c>
      <x:c r="S15" s="18" t="str"/>
      <x:c r="T15" s="20"/>
      <x:c r="U15" s="21" t="str">
        <x:v>A document draft or internal analysis cannot substitute for qualified review and recorded gate disposition.</x:v>
      </x:c>
      <x:c r="V15" s="1"/>
    </x:row>
    <x:row r="16" ht="46" customHeight="1">
      <x:c r="A16" s="17" t="n">
        <x:v>12</x:v>
      </x:c>
      <x:c r="B16" s="17" t="str">
        <x:v>Phase 0</x:v>
      </x:c>
      <x:c r="C16" s="17" t="str">
        <x:v>0.4</x:v>
      </x:c>
      <x:c r="D16" s="21" t="str">
        <x:v>Clickable Prototype Validation</x:v>
      </x:c>
      <x:c r="E16" s="17" t="n">
        <x:v>3</x:v>
      </x:c>
      <x:c r="F16" s="21" t="str">
        <x:v>Record participant feedback, failures, revisions, and unresolved accessibility issues.</x:v>
      </x:c>
      <x:c r="G16" s="17" t="str">
        <x:v>Research / governed decision</x:v>
      </x:c>
      <x:c r="H16" s="17" t="str">
        <x:v>Planned</x:v>
      </x:c>
      <x:c r="I16" s="18" t="str">
        <x:v>External/Human Gate</x:v>
      </x:c>
      <x:c r="J16" s="17" t="str">
        <x:f>IF(OR(I16="Completed",I16="Not Applicable"),"No","Yes")</x:f>
        <x:v>Yes</x:v>
      </x:c>
      <x:c r="K16" s="17" t="str">
        <x:v>0.4 task 2</x:v>
      </x:c>
      <x:c r="L16" s="21" t="str"/>
      <x:c r="M16" s="17" t="str">
        <x:v>Human/external evidence required</x:v>
      </x:c>
      <x:c r="N16" s="21" t="str">
        <x:v>/Users/devups/Development/CodexProjects/Gccs/docs/development-phase-use-cases.md (line 129)</x:v>
      </x:c>
      <x:c r="O16" s="19"/>
      <x:c r="P16" s="21" t="str">
        <x:v>4 acceptance criteria; 4 TC references; implementation=no; smoke=no; automated=no; Story-level regression template</x:v>
      </x:c>
      <x:c r="Q16" s="21" t="str">
        <x:v>Governed human evidence, reviewer qualifications/conflicts, dated disposition, owner, and follow-up.</x:v>
      </x:c>
      <x:c r="R16" s="21" t="str">
        <x:v>Execute the governed human-evidence review for Story 0.4; record artifact, reviewer, date, findings, and disposition.</x:v>
      </x:c>
      <x:c r="S16" s="18" t="str"/>
      <x:c r="T16" s="20"/>
      <x:c r="U16" s="21" t="str">
        <x:v>A document draft or internal analysis cannot substitute for qualified review and recorded gate disposition.</x:v>
      </x:c>
      <x:c r="V16" s="1"/>
    </x:row>
    <x:row r="17" ht="46" customHeight="1">
      <x:c r="A17" s="17" t="n">
        <x:v>13</x:v>
      </x:c>
      <x:c r="B17" s="17" t="str">
        <x:v>Phase 0</x:v>
      </x:c>
      <x:c r="C17" s="17" t="str">
        <x:v>0.5</x:v>
      </x:c>
      <x:c r="D17" s="21" t="str">
        <x:v>Customer And Expert Interviews</x:v>
      </x:c>
      <x:c r="E17" s="17" t="n">
        <x:v>1</x:v>
      </x:c>
      <x:c r="F17" s="21" t="str">
        <x:v>Define recruitment segments, consent script, interview guide, and secure note-taking rules.</x:v>
      </x:c>
      <x:c r="G17" s="17" t="str">
        <x:v>Research / governed decision</x:v>
      </x:c>
      <x:c r="H17" s="17" t="str">
        <x:v>Planned</x:v>
      </x:c>
      <x:c r="I17" s="18" t="str">
        <x:v>External/Human Gate</x:v>
      </x:c>
      <x:c r="J17" s="17" t="str">
        <x:f>IF(OR(I17="Completed",I17="Not Applicable"),"No","Yes")</x:f>
        <x:v>Yes</x:v>
      </x:c>
      <x:c r="K17" s="17" t="str">
        <x:v>0.4</x:v>
      </x:c>
      <x:c r="L17" s="21" t="str"/>
      <x:c r="M17" s="17" t="str">
        <x:v>Human/external evidence required</x:v>
      </x:c>
      <x:c r="N17" s="21" t="str">
        <x:v>/Users/devups/Development/CodexProjects/Gccs/docs/development-phase-use-cases.md (line 148)</x:v>
      </x:c>
      <x:c r="O17" s="19"/>
      <x:c r="P17" s="21" t="str">
        <x:v>4 acceptance criteria; 4 TC references; implementation=no; smoke=no; automated=no; Story-level regression template</x:v>
      </x:c>
      <x:c r="Q17" s="21" t="str">
        <x:v>Governed human evidence, reviewer qualifications/conflicts, dated disposition, owner, and follow-up.</x:v>
      </x:c>
      <x:c r="R17" s="21" t="str">
        <x:v>Execute the governed human-evidence review for Story 0.5; record artifact, reviewer, date, findings, and disposition.</x:v>
      </x:c>
      <x:c r="S17" s="18" t="str"/>
      <x:c r="T17" s="20"/>
      <x:c r="U17" s="21" t="str">
        <x:v>A document draft or internal analysis cannot substitute for qualified review and recorded gate disposition.</x:v>
      </x:c>
      <x:c r="V17" s="1"/>
    </x:row>
    <x:row r="18" ht="46" customHeight="1">
      <x:c r="A18" s="17" t="n">
        <x:v>14</x:v>
      </x:c>
      <x:c r="B18" s="17" t="str">
        <x:v>Phase 0</x:v>
      </x:c>
      <x:c r="C18" s="17" t="str">
        <x:v>0.5</x:v>
      </x:c>
      <x:c r="D18" s="21" t="str">
        <x:v>Customer And Expert Interviews</x:v>
      </x:c>
      <x:c r="E18" s="17" t="n">
        <x:v>2</x:v>
      </x:c>
      <x:c r="F18" s="21" t="str">
        <x:v>Track completed interviews without storing unnecessary sensitive data.</x:v>
      </x:c>
      <x:c r="G18" s="17" t="str">
        <x:v>Research / governed decision</x:v>
      </x:c>
      <x:c r="H18" s="17" t="str">
        <x:v>Planned</x:v>
      </x:c>
      <x:c r="I18" s="18" t="str">
        <x:v>External/Human Gate</x:v>
      </x:c>
      <x:c r="J18" s="17" t="str">
        <x:f>IF(OR(I18="Completed",I18="Not Applicable"),"No","Yes")</x:f>
        <x:v>Yes</x:v>
      </x:c>
      <x:c r="K18" s="17" t="str">
        <x:v>0.5 task 1</x:v>
      </x:c>
      <x:c r="L18" s="21" t="str"/>
      <x:c r="M18" s="17" t="str">
        <x:v>Human/external evidence required</x:v>
      </x:c>
      <x:c r="N18" s="21" t="str">
        <x:v>/Users/devups/Development/CodexProjects/Gccs/docs/development-phase-use-cases.md (line 148)</x:v>
      </x:c>
      <x:c r="O18" s="19"/>
      <x:c r="P18" s="21" t="str">
        <x:v>4 acceptance criteria; 4 TC references; implementation=no; smoke=no; automated=no; Story-level regression template</x:v>
      </x:c>
      <x:c r="Q18" s="21" t="str">
        <x:v>Governed human evidence, reviewer qualifications/conflicts, dated disposition, owner, and follow-up.</x:v>
      </x:c>
      <x:c r="R18" s="21" t="str">
        <x:v>Execute the governed human-evidence review for Story 0.5; record artifact, reviewer, date, findings, and disposition.</x:v>
      </x:c>
      <x:c r="S18" s="18" t="str"/>
      <x:c r="T18" s="20"/>
      <x:c r="U18" s="21" t="str">
        <x:v>A document draft or internal analysis cannot substitute for qualified review and recorded gate disposition.</x:v>
      </x:c>
      <x:c r="V18" s="1"/>
    </x:row>
    <x:row r="19" ht="46" customHeight="1">
      <x:c r="A19" s="17" t="n">
        <x:v>15</x:v>
      </x:c>
      <x:c r="B19" s="17" t="str">
        <x:v>Phase 0</x:v>
      </x:c>
      <x:c r="C19" s="17" t="str">
        <x:v>0.5</x:v>
      </x:c>
      <x:c r="D19" s="21" t="str">
        <x:v>Customer And Expert Interviews</x:v>
      </x:c>
      <x:c r="E19" s="17" t="n">
        <x:v>3</x:v>
      </x:c>
      <x:c r="F19" s="21" t="str">
        <x:v>Synthesize evidence by hypothesis, segment, contradiction, and confidence.</x:v>
      </x:c>
      <x:c r="G19" s="17" t="str">
        <x:v>Research / governed decision</x:v>
      </x:c>
      <x:c r="H19" s="17" t="str">
        <x:v>Planned</x:v>
      </x:c>
      <x:c r="I19" s="18" t="str">
        <x:v>External/Human Gate</x:v>
      </x:c>
      <x:c r="J19" s="17" t="str">
        <x:f>IF(OR(I19="Completed",I19="Not Applicable"),"No","Yes")</x:f>
        <x:v>Yes</x:v>
      </x:c>
      <x:c r="K19" s="17" t="str">
        <x:v>0.5 task 2</x:v>
      </x:c>
      <x:c r="L19" s="21" t="str"/>
      <x:c r="M19" s="17" t="str">
        <x:v>Human/external evidence required</x:v>
      </x:c>
      <x:c r="N19" s="21" t="str">
        <x:v>/Users/devups/Development/CodexProjects/Gccs/docs/development-phase-use-cases.md (line 148)</x:v>
      </x:c>
      <x:c r="O19" s="19"/>
      <x:c r="P19" s="21" t="str">
        <x:v>4 acceptance criteria; 4 TC references; implementation=no; smoke=no; automated=no; Story-level regression template</x:v>
      </x:c>
      <x:c r="Q19" s="21" t="str">
        <x:v>Governed human evidence, reviewer qualifications/conflicts, dated disposition, owner, and follow-up.</x:v>
      </x:c>
      <x:c r="R19" s="21" t="str">
        <x:v>Execute the governed human-evidence review for Story 0.5; record artifact, reviewer, date, findings, and disposition.</x:v>
      </x:c>
      <x:c r="S19" s="18" t="str"/>
      <x:c r="T19" s="20"/>
      <x:c r="U19" s="21" t="str">
        <x:v>A document draft or internal analysis cannot substitute for qualified review and recorded gate disposition.</x:v>
      </x:c>
      <x:c r="V19" s="1"/>
    </x:row>
    <x:row r="20" ht="46" customHeight="1">
      <x:c r="A20" s="17" t="n">
        <x:v>16</x:v>
      </x:c>
      <x:c r="B20" s="17" t="str">
        <x:v>Phase 0</x:v>
      </x:c>
      <x:c r="C20" s="17" t="str">
        <x:v>0.6</x:v>
      </x:c>
      <x:c r="D20" s="21" t="str">
        <x:v>Pricing Hypothesis</x:v>
      </x:c>
      <x:c r="E20" s="17" t="n">
        <x:v>1</x:v>
      </x:c>
      <x:c r="F20" s="21" t="str">
        <x:v>Define target segment, value metric, package boundaries, price range, and excluded services.</x:v>
      </x:c>
      <x:c r="G20" s="17" t="str">
        <x:v>Research / governed decision</x:v>
      </x:c>
      <x:c r="H20" s="17" t="str">
        <x:v>Planned</x:v>
      </x:c>
      <x:c r="I20" s="18" t="str">
        <x:v>External/Human Gate</x:v>
      </x:c>
      <x:c r="J20" s="17" t="str">
        <x:f>IF(OR(I20="Completed",I20="Not Applicable"),"No","Yes")</x:f>
        <x:v>Yes</x:v>
      </x:c>
      <x:c r="K20" s="17" t="str">
        <x:v>0.5</x:v>
      </x:c>
      <x:c r="L20" s="21" t="str"/>
      <x:c r="M20" s="17" t="str">
        <x:v>Human/external evidence required</x:v>
      </x:c>
      <x:c r="N20" s="21" t="str">
        <x:v>/Users/devups/Development/CodexProjects/Gccs/docs/development-phase-use-cases.md (line 167)</x:v>
      </x:c>
      <x:c r="O20" s="19"/>
      <x:c r="P20" s="21" t="str">
        <x:v>4 acceptance criteria; 4 TC references; implementation=no; smoke=no; automated=no; Story-level regression template</x:v>
      </x:c>
      <x:c r="Q20" s="21" t="str">
        <x:v>Governed human evidence, reviewer qualifications/conflicts, dated disposition, owner, and follow-up.</x:v>
      </x:c>
      <x:c r="R20" s="21" t="str">
        <x:v>Execute the governed human-evidence review for Story 0.6; record artifact, reviewer, date, findings, and disposition.</x:v>
      </x:c>
      <x:c r="S20" s="18" t="str"/>
      <x:c r="T20" s="20"/>
      <x:c r="U20" s="21" t="str">
        <x:v>A document draft or internal analysis cannot substitute for qualified review and recorded gate disposition.</x:v>
      </x:c>
      <x:c r="V20" s="1"/>
    </x:row>
    <x:row r="21" ht="46" customHeight="1">
      <x:c r="A21" s="17" t="n">
        <x:v>17</x:v>
      </x:c>
      <x:c r="B21" s="17" t="str">
        <x:v>Phase 0</x:v>
      </x:c>
      <x:c r="C21" s="17" t="str">
        <x:v>0.6</x:v>
      </x:c>
      <x:c r="D21" s="21" t="str">
        <x:v>Pricing Hypothesis</x:v>
      </x:c>
      <x:c r="E21" s="17" t="n">
        <x:v>2</x:v>
      </x:c>
      <x:c r="F21" s="21" t="str">
        <x:v>Record interview evidence, competitor context, cost assumptions, and falsification thresholds.</x:v>
      </x:c>
      <x:c r="G21" s="17" t="str">
        <x:v>Research / governed decision</x:v>
      </x:c>
      <x:c r="H21" s="17" t="str">
        <x:v>Planned</x:v>
      </x:c>
      <x:c r="I21" s="18" t="str">
        <x:v>External/Human Gate</x:v>
      </x:c>
      <x:c r="J21" s="17" t="str">
        <x:f>IF(OR(I21="Completed",I21="Not Applicable"),"No","Yes")</x:f>
        <x:v>Yes</x:v>
      </x:c>
      <x:c r="K21" s="17" t="str">
        <x:v>0.6 task 1</x:v>
      </x:c>
      <x:c r="L21" s="21" t="str"/>
      <x:c r="M21" s="17" t="str">
        <x:v>Human/external evidence required</x:v>
      </x:c>
      <x:c r="N21" s="21" t="str">
        <x:v>/Users/devups/Development/CodexProjects/Gccs/docs/development-phase-use-cases.md (line 167)</x:v>
      </x:c>
      <x:c r="O21" s="19"/>
      <x:c r="P21" s="21" t="str">
        <x:v>4 acceptance criteria; 4 TC references; implementation=no; smoke=no; automated=no; Story-level regression template</x:v>
      </x:c>
      <x:c r="Q21" s="21" t="str">
        <x:v>Governed human evidence, reviewer qualifications/conflicts, dated disposition, owner, and follow-up.</x:v>
      </x:c>
      <x:c r="R21" s="21" t="str">
        <x:v>Execute the governed human-evidence review for Story 0.6; record artifact, reviewer, date, findings, and disposition.</x:v>
      </x:c>
      <x:c r="S21" s="18" t="str"/>
      <x:c r="T21" s="20"/>
      <x:c r="U21" s="21" t="str">
        <x:v>A document draft or internal analysis cannot substitute for qualified review and recorded gate disposition.</x:v>
      </x:c>
      <x:c r="V21" s="1"/>
    </x:row>
    <x:row r="22" ht="46" customHeight="1">
      <x:c r="A22" s="17" t="n">
        <x:v>18</x:v>
      </x:c>
      <x:c r="B22" s="17" t="str">
        <x:v>Phase 0</x:v>
      </x:c>
      <x:c r="C22" s="17" t="str">
        <x:v>0.6</x:v>
      </x:c>
      <x:c r="D22" s="21" t="str">
        <x:v>Pricing Hypothesis</x:v>
      </x:c>
      <x:c r="E22" s="17" t="n">
        <x:v>3</x:v>
      </x:c>
      <x:c r="F22" s="21" t="str">
        <x:v>Identify legal, tax, support, and payment dependencies outside product implementation.</x:v>
      </x:c>
      <x:c r="G22" s="17" t="str">
        <x:v>Research / governed decision</x:v>
      </x:c>
      <x:c r="H22" s="17" t="str">
        <x:v>Planned</x:v>
      </x:c>
      <x:c r="I22" s="18" t="str">
        <x:v>External/Human Gate</x:v>
      </x:c>
      <x:c r="J22" s="17" t="str">
        <x:f>IF(OR(I22="Completed",I22="Not Applicable"),"No","Yes")</x:f>
        <x:v>Yes</x:v>
      </x:c>
      <x:c r="K22" s="17" t="str">
        <x:v>0.6 task 2</x:v>
      </x:c>
      <x:c r="L22" s="21" t="str"/>
      <x:c r="M22" s="17" t="str">
        <x:v>Human/external evidence required</x:v>
      </x:c>
      <x:c r="N22" s="21" t="str">
        <x:v>/Users/devups/Development/CodexProjects/Gccs/docs/development-phase-use-cases.md (line 167)</x:v>
      </x:c>
      <x:c r="O22" s="19"/>
      <x:c r="P22" s="21" t="str">
        <x:v>4 acceptance criteria; 4 TC references; implementation=no; smoke=no; automated=no; Story-level regression template</x:v>
      </x:c>
      <x:c r="Q22" s="21" t="str">
        <x:v>Governed human evidence, reviewer qualifications/conflicts, dated disposition, owner, and follow-up.</x:v>
      </x:c>
      <x:c r="R22" s="21" t="str">
        <x:v>Execute the governed human-evidence review for Story 0.6; record artifact, reviewer, date, findings, and disposition.</x:v>
      </x:c>
      <x:c r="S22" s="18" t="str"/>
      <x:c r="T22" s="20"/>
      <x:c r="U22" s="21" t="str">
        <x:v>A document draft or internal analysis cannot substitute for qualified review and recorded gate disposition.</x:v>
      </x:c>
      <x:c r="V22" s="1"/>
    </x:row>
    <x:row r="23" ht="46" customHeight="1">
      <x:c r="A23" s="17" t="n">
        <x:v>19</x:v>
      </x:c>
      <x:c r="B23" s="17" t="str">
        <x:v>Phase 0</x:v>
      </x:c>
      <x:c r="C23" s="17" t="str">
        <x:v>0.7</x:v>
      </x:c>
      <x:c r="D23" s="21" t="str">
        <x:v>MVP Requirements Baseline</x:v>
      </x:c>
      <x:c r="E23" s="17" t="n">
        <x:v>1</x:v>
      </x:c>
      <x:c r="F23" s="21" t="str">
        <x:v>Map validated outcomes to epics, stories, non-functional requirements, and exclusions.</x:v>
      </x:c>
      <x:c r="G23" s="17" t="str">
        <x:v>Research / governed decision</x:v>
      </x:c>
      <x:c r="H23" s="17" t="str">
        <x:v>Planned</x:v>
      </x:c>
      <x:c r="I23" s="18" t="str">
        <x:v>External/Human Gate</x:v>
      </x:c>
      <x:c r="J23" s="17" t="str">
        <x:f>IF(OR(I23="Completed",I23="Not Applicable"),"No","Yes")</x:f>
        <x:v>Yes</x:v>
      </x:c>
      <x:c r="K23" s="17" t="str">
        <x:v>0.6</x:v>
      </x:c>
      <x:c r="L23" s="21" t="str"/>
      <x:c r="M23" s="17" t="str">
        <x:v>Human/external evidence required</x:v>
      </x:c>
      <x:c r="N23" s="21" t="str">
        <x:v>/Users/devups/Development/CodexProjects/Gccs/docs/development-phase-use-cases.md (line 186)</x:v>
      </x:c>
      <x:c r="O23" s="19"/>
      <x:c r="P23" s="21" t="str">
        <x:v>4 acceptance criteria; 4 TC references; implementation=no; smoke=no; automated=no; Story-level regression template</x:v>
      </x:c>
      <x:c r="Q23" s="21" t="str">
        <x:v>Governed human evidence, reviewer qualifications/conflicts, dated disposition, owner, and follow-up.</x:v>
      </x:c>
      <x:c r="R23" s="21" t="str">
        <x:v>Execute the governed human-evidence review for Story 0.7; record artifact, reviewer, date, findings, and disposition.</x:v>
      </x:c>
      <x:c r="S23" s="18" t="str"/>
      <x:c r="T23" s="20"/>
      <x:c r="U23" s="21" t="str">
        <x:v>A document draft or internal analysis cannot substitute for qualified review and recorded gate disposition.</x:v>
      </x:c>
      <x:c r="V23" s="1"/>
    </x:row>
    <x:row r="24" ht="46" customHeight="1">
      <x:c r="A24" s="17" t="n">
        <x:v>20</x:v>
      </x:c>
      <x:c r="B24" s="17" t="str">
        <x:v>Phase 0</x:v>
      </x:c>
      <x:c r="C24" s="17" t="str">
        <x:v>0.7</x:v>
      </x:c>
      <x:c r="D24" s="21" t="str">
        <x:v>MVP Requirements Baseline</x:v>
      </x:c>
      <x:c r="E24" s="17" t="n">
        <x:v>2</x:v>
      </x:c>
      <x:c r="F24" s="21" t="str">
        <x:v>Record tenant isolation, RBAC, audit, No-CUI, source-governance, availability, recovery, and accessibility requirements.</x:v>
      </x:c>
      <x:c r="G24" s="17" t="str">
        <x:v>Research / governed decision</x:v>
      </x:c>
      <x:c r="H24" s="17" t="str">
        <x:v>Planned</x:v>
      </x:c>
      <x:c r="I24" s="18" t="str">
        <x:v>External/Human Gate</x:v>
      </x:c>
      <x:c r="J24" s="17" t="str">
        <x:f>IF(OR(I24="Completed",I24="Not Applicable"),"No","Yes")</x:f>
        <x:v>Yes</x:v>
      </x:c>
      <x:c r="K24" s="17" t="str">
        <x:v>0.7 task 1</x:v>
      </x:c>
      <x:c r="L24" s="21" t="str"/>
      <x:c r="M24" s="17" t="str">
        <x:v>Human/external evidence required</x:v>
      </x:c>
      <x:c r="N24" s="21" t="str">
        <x:v>/Users/devups/Development/CodexProjects/Gccs/docs/development-phase-use-cases.md (line 186)</x:v>
      </x:c>
      <x:c r="O24" s="19"/>
      <x:c r="P24" s="21" t="str">
        <x:v>4 acceptance criteria; 4 TC references; implementation=no; smoke=no; automated=no; Story-level regression template</x:v>
      </x:c>
      <x:c r="Q24" s="21" t="str">
        <x:v>Governed human evidence, reviewer qualifications/conflicts, dated disposition, owner, and follow-up.</x:v>
      </x:c>
      <x:c r="R24" s="21" t="str">
        <x:v>Execute the governed human-evidence review for Story 0.7; record artifact, reviewer, date, findings, and disposition.</x:v>
      </x:c>
      <x:c r="S24" s="18" t="str"/>
      <x:c r="T24" s="20"/>
      <x:c r="U24" s="21" t="str">
        <x:v>A document draft or internal analysis cannot substitute for qualified review and recorded gate disposition.</x:v>
      </x:c>
      <x:c r="V24" s="1"/>
    </x:row>
    <x:row r="25" ht="46" customHeight="1">
      <x:c r="A25" s="17" t="n">
        <x:v>21</x:v>
      </x:c>
      <x:c r="B25" s="17" t="str">
        <x:v>Phase 0</x:v>
      </x:c>
      <x:c r="C25" s="17" t="str">
        <x:v>0.7</x:v>
      </x:c>
      <x:c r="D25" s="21" t="str">
        <x:v>MVP Requirements Baseline</x:v>
      </x:c>
      <x:c r="E25" s="17" t="n">
        <x:v>3</x:v>
      </x:c>
      <x:c r="F25" s="21" t="str">
        <x:v>Establish change control and traceability to roadmap and research evidence.</x:v>
      </x:c>
      <x:c r="G25" s="17" t="str">
        <x:v>Research / governed decision</x:v>
      </x:c>
      <x:c r="H25" s="17" t="str">
        <x:v>Planned</x:v>
      </x:c>
      <x:c r="I25" s="18" t="str">
        <x:v>External/Human Gate</x:v>
      </x:c>
      <x:c r="J25" s="17" t="str">
        <x:f>IF(OR(I25="Completed",I25="Not Applicable"),"No","Yes")</x:f>
        <x:v>Yes</x:v>
      </x:c>
      <x:c r="K25" s="17" t="str">
        <x:v>0.7 task 2</x:v>
      </x:c>
      <x:c r="L25" s="21" t="str"/>
      <x:c r="M25" s="17" t="str">
        <x:v>Human/external evidence required</x:v>
      </x:c>
      <x:c r="N25" s="21" t="str">
        <x:v>/Users/devups/Development/CodexProjects/Gccs/docs/development-phase-use-cases.md (line 186)</x:v>
      </x:c>
      <x:c r="O25" s="19"/>
      <x:c r="P25" s="21" t="str">
        <x:v>4 acceptance criteria; 4 TC references; implementation=no; smoke=no; automated=no; Story-level regression template</x:v>
      </x:c>
      <x:c r="Q25" s="21" t="str">
        <x:v>Governed human evidence, reviewer qualifications/conflicts, dated disposition, owner, and follow-up.</x:v>
      </x:c>
      <x:c r="R25" s="21" t="str">
        <x:v>Execute the governed human-evidence review for Story 0.7; record artifact, reviewer, date, findings, and disposition.</x:v>
      </x:c>
      <x:c r="S25" s="18" t="str"/>
      <x:c r="T25" s="20"/>
      <x:c r="U25" s="21" t="str">
        <x:v>A document draft or internal analysis cannot substitute for qualified review and recorded gate disposition.</x:v>
      </x:c>
      <x:c r="V25" s="1"/>
    </x:row>
    <x:row r="26" ht="46" customHeight="1">
      <x:c r="A26" s="17" t="n">
        <x:v>22</x:v>
      </x:c>
      <x:c r="B26" s="17" t="str">
        <x:v>Phase 0</x:v>
      </x:c>
      <x:c r="C26" s="17" t="str">
        <x:v>0.8</x:v>
      </x:c>
      <x:c r="D26" s="21" t="str">
        <x:v>Advisor Review And Phase Gate</x:v>
      </x:c>
      <x:c r="E26" s="17" t="n">
        <x:v>1</x:v>
      </x:c>
      <x:c r="F26" s="21" t="str">
        <x:v>Define required reviewer competencies and conflict-of-interest disclosures.</x:v>
      </x:c>
      <x:c r="G26" s="17" t="str">
        <x:v>Research / governed decision</x:v>
      </x:c>
      <x:c r="H26" s="17" t="str">
        <x:v>Planned</x:v>
      </x:c>
      <x:c r="I26" s="18" t="str">
        <x:v>External/Human Gate</x:v>
      </x:c>
      <x:c r="J26" s="17" t="str">
        <x:f>IF(OR(I26="Completed",I26="Not Applicable"),"No","Yes")</x:f>
        <x:v>Yes</x:v>
      </x:c>
      <x:c r="K26" s="17" t="str">
        <x:v>0.7</x:v>
      </x:c>
      <x:c r="L26" s="21" t="str"/>
      <x:c r="M26" s="17" t="str">
        <x:v>Human/external evidence required</x:v>
      </x:c>
      <x:c r="N26" s="21" t="str">
        <x:v>/Users/devups/Development/CodexProjects/Gccs/docs/development-phase-use-cases.md (line 205)</x:v>
      </x:c>
      <x:c r="O26" s="19"/>
      <x:c r="P26" s="21" t="str">
        <x:v>4 acceptance criteria; 4 TC references; implementation=no; smoke=no; automated=no; Story-level regression template</x:v>
      </x:c>
      <x:c r="Q26" s="21" t="str">
        <x:v>Governed human evidence, reviewer qualifications/conflicts, dated disposition, owner, and follow-up.</x:v>
      </x:c>
      <x:c r="R26" s="21" t="str">
        <x:v>Execute the governed human-evidence review for Story 0.8; record artifact, reviewer, date, findings, and disposition.</x:v>
      </x:c>
      <x:c r="S26" s="18" t="str"/>
      <x:c r="T26" s="20"/>
      <x:c r="U26" s="21" t="str">
        <x:v>A document draft or internal analysis cannot substitute for qualified review and recorded gate disposition.</x:v>
      </x:c>
      <x:c r="V26" s="1"/>
    </x:row>
    <x:row r="27" ht="46" customHeight="1">
      <x:c r="A27" s="17" t="n">
        <x:v>23</x:v>
      </x:c>
      <x:c r="B27" s="17" t="str">
        <x:v>Phase 0</x:v>
      </x:c>
      <x:c r="C27" s="17" t="str">
        <x:v>0.8</x:v>
      </x:c>
      <x:c r="D27" s="21" t="str">
        <x:v>Advisor Review And Phase Gate</x:v>
      </x:c>
      <x:c r="E27" s="17" t="n">
        <x:v>2</x:v>
      </x:c>
      <x:c r="F27" s="21" t="str">
        <x:v>Package persona, obligation, competitive, prototype, interview, pricing, and requirements evidence.</x:v>
      </x:c>
      <x:c r="G27" s="17" t="str">
        <x:v>Research / governed decision</x:v>
      </x:c>
      <x:c r="H27" s="17" t="str">
        <x:v>Planned</x:v>
      </x:c>
      <x:c r="I27" s="18" t="str">
        <x:v>External/Human Gate</x:v>
      </x:c>
      <x:c r="J27" s="17" t="str">
        <x:f>IF(OR(I27="Completed",I27="Not Applicable"),"No","Yes")</x:f>
        <x:v>Yes</x:v>
      </x:c>
      <x:c r="K27" s="17" t="str">
        <x:v>0.8 task 1</x:v>
      </x:c>
      <x:c r="L27" s="21" t="str"/>
      <x:c r="M27" s="17" t="str">
        <x:v>Human/external evidence required</x:v>
      </x:c>
      <x:c r="N27" s="21" t="str">
        <x:v>/Users/devups/Development/CodexProjects/Gccs/docs/development-phase-use-cases.md (line 205)</x:v>
      </x:c>
      <x:c r="O27" s="19"/>
      <x:c r="P27" s="21" t="str">
        <x:v>4 acceptance criteria; 4 TC references; implementation=no; smoke=no; automated=no; Story-level regression template</x:v>
      </x:c>
      <x:c r="Q27" s="21" t="str">
        <x:v>Governed human evidence, reviewer qualifications/conflicts, dated disposition, owner, and follow-up.</x:v>
      </x:c>
      <x:c r="R27" s="21" t="str">
        <x:v>Execute the governed human-evidence review for Story 0.8; record artifact, reviewer, date, findings, and disposition.</x:v>
      </x:c>
      <x:c r="S27" s="18" t="str"/>
      <x:c r="T27" s="20"/>
      <x:c r="U27" s="21" t="str">
        <x:v>A document draft or internal analysis cannot substitute for qualified review and recorded gate disposition.</x:v>
      </x:c>
      <x:c r="V27" s="1"/>
    </x:row>
    <x:row r="28" ht="46" customHeight="1">
      <x:c r="A28" s="17" t="n">
        <x:v>24</x:v>
      </x:c>
      <x:c r="B28" s="17" t="str">
        <x:v>Phase 0</x:v>
      </x:c>
      <x:c r="C28" s="17" t="str">
        <x:v>0.8</x:v>
      </x:c>
      <x:c r="D28" s="21" t="str">
        <x:v>Advisor Review And Phase Gate</x:v>
      </x:c>
      <x:c r="E28" s="17" t="n">
        <x:v>3</x:v>
      </x:c>
      <x:c r="F28" s="21" t="str">
        <x:v>Record findings, dispositions, owners, and proceed/pivot/stop decision.</x:v>
      </x:c>
      <x:c r="G28" s="17" t="str">
        <x:v>Research / governed decision</x:v>
      </x:c>
      <x:c r="H28" s="17" t="str">
        <x:v>Planned</x:v>
      </x:c>
      <x:c r="I28" s="18" t="str">
        <x:v>External/Human Gate</x:v>
      </x:c>
      <x:c r="J28" s="17" t="str">
        <x:f>IF(OR(I28="Completed",I28="Not Applicable"),"No","Yes")</x:f>
        <x:v>Yes</x:v>
      </x:c>
      <x:c r="K28" s="17" t="str">
        <x:v>0.8 task 2</x:v>
      </x:c>
      <x:c r="L28" s="21" t="str"/>
      <x:c r="M28" s="17" t="str">
        <x:v>Human/external evidence required</x:v>
      </x:c>
      <x:c r="N28" s="21" t="str">
        <x:v>/Users/devups/Development/CodexProjects/Gccs/docs/development-phase-use-cases.md (line 205)</x:v>
      </x:c>
      <x:c r="O28" s="19"/>
      <x:c r="P28" s="21" t="str">
        <x:v>4 acceptance criteria; 4 TC references; implementation=no; smoke=no; automated=no; Story-level regression template</x:v>
      </x:c>
      <x:c r="Q28" s="21" t="str">
        <x:v>Governed human evidence, reviewer qualifications/conflicts, dated disposition, owner, and follow-up.</x:v>
      </x:c>
      <x:c r="R28" s="21" t="str">
        <x:v>Execute the governed human-evidence review for Story 0.8; record artifact, reviewer, date, findings, and disposition.</x:v>
      </x:c>
      <x:c r="S28" s="18" t="str"/>
      <x:c r="T28" s="20"/>
      <x:c r="U28" s="21" t="str">
        <x:v>A document draft or internal analysis cannot substitute for qualified review and recorded gate disposition.</x:v>
      </x:c>
      <x:c r="V28" s="1"/>
    </x:row>
    <x:row r="29" ht="46" customHeight="1">
      <x:c r="A29" s="17" t="n">
        <x:v>25</x:v>
      </x:c>
      <x:c r="B29" s="17" t="str">
        <x:v>Phase 1</x:v>
      </x:c>
      <x:c r="C29" s="17" t="str">
        <x:v>1.1</x:v>
      </x:c>
      <x:c r="D29" s="21" t="str">
        <x:v>Repository And Project Structure</x:v>
      </x:c>
      <x:c r="E29" s="17" t="n">
        <x:v>1</x:v>
      </x:c>
      <x:c r="F29" s="21" t="str">
        <x:v>Confirm solution structure for apps/api, apps/web, src/Gccs.Domain, src/Gccs.Application, src/Gccs.Infrastructure, packages/compliance-content, docs, and infra.</x:v>
      </x:c>
      <x:c r="G29" s="17" t="str">
        <x:v>Software implementation</x:v>
      </x:c>
      <x:c r="H29" s="17" t="str">
        <x:v>Planned</x:v>
      </x:c>
      <x:c r="I29" s="18" t="str">
        <x:v>Completed</x:v>
      </x:c>
      <x:c r="J29" s="17" t="str">
        <x:f>IF(OR(I29="Completed",I29="Not Applicable"),"No","Yes")</x:f>
        <x:v>No</x:v>
      </x:c>
      <x:c r="K29" s="17" t="str"/>
      <x:c r="L29" s="21" t="str">
        <x:v>Story-labeled commit b536f2eb contains delivery and focused test/test-result files: Story 1.1: Repository And Project Structure</x:v>
      </x:c>
      <x:c r="M29" s="17" t="str">
        <x:v>Implementation commit + focused test artifacts</x:v>
      </x:c>
      <x:c r="N29" s="21" t="str">
        <x:v>git commit b536f2eb7dabf61c81a92c7998b4a685a638b9ae; /Users/devups/Development/CodexProjects/Gccs/docs/development-story-test-cases.md</x:v>
      </x:c>
      <x:c r="O29" s="19" t="n">
        <x:v>46184.87273148148</x:v>
      </x:c>
      <x:c r="P29" s="21" t="str">
        <x:v>4 acceptance criteria; 4 TC references; implementation=yes; smoke=yes; automated=no; Story-level regression template</x:v>
      </x:c>
      <x:c r="Q29" s="21" t="str"/>
      <x:c r="R29" s="21" t="str">
        <x:v>Retain traceability; rerun focused verification if the affected boundary changes.</x:v>
      </x:c>
      <x:c r="S29" s="18" t="str"/>
      <x:c r="T29" s="20"/>
      <x:c r="U29" s="21" t="str">
        <x:v>Completion is based on immutable repository evidence; tests were not rerun and current working-tree drift was not re-certified in this reporting-only task.</x:v>
      </x:c>
      <x:c r="V29" s="1"/>
    </x:row>
    <x:row r="30" ht="46" customHeight="1">
      <x:c r="A30" s="17" t="n">
        <x:v>26</x:v>
      </x:c>
      <x:c r="B30" s="17" t="str">
        <x:v>Phase 1</x:v>
      </x:c>
      <x:c r="C30" s="17" t="str">
        <x:v>1.1</x:v>
      </x:c>
      <x:c r="D30" s="21" t="str">
        <x:v>Repository And Project Structure</x:v>
      </x:c>
      <x:c r="E30" s="17" t="n">
        <x:v>2</x:v>
      </x:c>
      <x:c r="F30" s="21" t="str">
        <x:v>Document ownership boundaries for each project.</x:v>
      </x:c>
      <x:c r="G30" s="17" t="str">
        <x:v>Software implementation</x:v>
      </x:c>
      <x:c r="H30" s="17" t="str">
        <x:v>Planned</x:v>
      </x:c>
      <x:c r="I30" s="18" t="str">
        <x:v>Completed</x:v>
      </x:c>
      <x:c r="J30" s="17" t="str">
        <x:f>IF(OR(I30="Completed",I30="Not Applicable"),"No","Yes")</x:f>
        <x:v>No</x:v>
      </x:c>
      <x:c r="K30" s="17" t="str">
        <x:v>1.1 task 1</x:v>
      </x:c>
      <x:c r="L30" s="21" t="str">
        <x:v>Story-labeled commit b536f2eb contains delivery and focused test/test-result files: Story 1.1: Repository And Project Structure</x:v>
      </x:c>
      <x:c r="M30" s="17" t="str">
        <x:v>Implementation commit + focused test artifacts</x:v>
      </x:c>
      <x:c r="N30" s="21" t="str">
        <x:v>git commit b536f2eb7dabf61c81a92c7998b4a685a638b9ae; /Users/devups/Development/CodexProjects/Gccs/docs/development-story-test-cases.md</x:v>
      </x:c>
      <x:c r="O30" s="19" t="n">
        <x:v>46184.87273148148</x:v>
      </x:c>
      <x:c r="P30" s="21" t="str">
        <x:v>4 acceptance criteria; 4 TC references; implementation=yes; smoke=yes; automated=no; Story-level regression template</x:v>
      </x:c>
      <x:c r="Q30" s="21" t="str"/>
      <x:c r="R30" s="21" t="str">
        <x:v>Retain traceability; rerun focused verification if the affected boundary changes.</x:v>
      </x:c>
      <x:c r="S30" s="18" t="str"/>
      <x:c r="T30" s="20"/>
      <x:c r="U30" s="21" t="str">
        <x:v>Completion is based on immutable repository evidence; tests were not rerun and current working-tree drift was not re-certified in this reporting-only task.</x:v>
      </x:c>
      <x:c r="V30" s="1"/>
    </x:row>
    <x:row r="31" ht="46" customHeight="1">
      <x:c r="A31" s="17" t="n">
        <x:v>27</x:v>
      </x:c>
      <x:c r="B31" s="17" t="str">
        <x:v>Phase 1</x:v>
      </x:c>
      <x:c r="C31" s="17" t="str">
        <x:v>1.1</x:v>
      </x:c>
      <x:c r="D31" s="21" t="str">
        <x:v>Repository And Project Structure</x:v>
      </x:c>
      <x:c r="E31" s="17" t="n">
        <x:v>3</x:v>
      </x:c>
      <x:c r="F31" s="21" t="str">
        <x:v>Add or update README instructions for local setup.</x:v>
      </x:c>
      <x:c r="G31" s="17" t="str">
        <x:v>Software implementation</x:v>
      </x:c>
      <x:c r="H31" s="17" t="str">
        <x:v>Planned</x:v>
      </x:c>
      <x:c r="I31" s="18" t="str">
        <x:v>Completed</x:v>
      </x:c>
      <x:c r="J31" s="17" t="str">
        <x:f>IF(OR(I31="Completed",I31="Not Applicable"),"No","Yes")</x:f>
        <x:v>No</x:v>
      </x:c>
      <x:c r="K31" s="17" t="str">
        <x:v>1.1 task 2</x:v>
      </x:c>
      <x:c r="L31" s="21" t="str">
        <x:v>Story-labeled commit b536f2eb contains delivery and focused test/test-result files: Story 1.1: Repository And Project Structure</x:v>
      </x:c>
      <x:c r="M31" s="17" t="str">
        <x:v>Implementation commit + focused test artifacts</x:v>
      </x:c>
      <x:c r="N31" s="21" t="str">
        <x:v>git commit b536f2eb7dabf61c81a92c7998b4a685a638b9ae; /Users/devups/Development/CodexProjects/Gccs/docs/development-story-test-cases.md</x:v>
      </x:c>
      <x:c r="O31" s="19" t="n">
        <x:v>46184.87273148148</x:v>
      </x:c>
      <x:c r="P31" s="21" t="str">
        <x:v>4 acceptance criteria; 4 TC references; implementation=yes; smoke=yes; automated=no; Story-level regression template</x:v>
      </x:c>
      <x:c r="Q31" s="21" t="str"/>
      <x:c r="R31" s="21" t="str">
        <x:v>Retain traceability; rerun focused verification if the affected boundary changes.</x:v>
      </x:c>
      <x:c r="S31" s="18" t="str"/>
      <x:c r="T31" s="20"/>
      <x:c r="U31" s="21" t="str">
        <x:v>Completion is based on immutable repository evidence; tests were not rerun and current working-tree drift was not re-certified in this reporting-only task.</x:v>
      </x:c>
      <x:c r="V31" s="1"/>
    </x:row>
    <x:row r="32" ht="46" customHeight="1">
      <x:c r="A32" s="17" t="n">
        <x:v>28</x:v>
      </x:c>
      <x:c r="B32" s="17" t="str">
        <x:v>Phase 1</x:v>
      </x:c>
      <x:c r="C32" s="17" t="str">
        <x:v>1.1</x:v>
      </x:c>
      <x:c r="D32" s="21" t="str">
        <x:v>Repository And Project Structure</x:v>
      </x:c>
      <x:c r="E32" s="17" t="n">
        <x:v>4</x:v>
      </x:c>
      <x:c r="F32" s="21" t="str">
        <x:v>Verify the solution builds from a clean checkout.</x:v>
      </x:c>
      <x:c r="G32" s="17" t="str">
        <x:v>Software implementation</x:v>
      </x:c>
      <x:c r="H32" s="17" t="str">
        <x:v>Planned</x:v>
      </x:c>
      <x:c r="I32" s="18" t="str">
        <x:v>Completed</x:v>
      </x:c>
      <x:c r="J32" s="17" t="str">
        <x:f>IF(OR(I32="Completed",I32="Not Applicable"),"No","Yes")</x:f>
        <x:v>No</x:v>
      </x:c>
      <x:c r="K32" s="17" t="str">
        <x:v>1.1 task 3</x:v>
      </x:c>
      <x:c r="L32" s="21" t="str">
        <x:v>Story-labeled commit b536f2eb contains delivery and focused test/test-result files: Story 1.1: Repository And Project Structure</x:v>
      </x:c>
      <x:c r="M32" s="17" t="str">
        <x:v>Implementation commit + focused test artifacts</x:v>
      </x:c>
      <x:c r="N32" s="21" t="str">
        <x:v>git commit b536f2eb7dabf61c81a92c7998b4a685a638b9ae; /Users/devups/Development/CodexProjects/Gccs/docs/development-story-test-cases.md</x:v>
      </x:c>
      <x:c r="O32" s="19" t="n">
        <x:v>46184.87273148148</x:v>
      </x:c>
      <x:c r="P32" s="21" t="str">
        <x:v>4 acceptance criteria; 4 TC references; implementation=yes; smoke=yes; automated=no; Story-level regression template</x:v>
      </x:c>
      <x:c r="Q32" s="21" t="str"/>
      <x:c r="R32" s="21" t="str">
        <x:v>Retain traceability; rerun focused verification if the affected boundary changes.</x:v>
      </x:c>
      <x:c r="S32" s="18" t="str"/>
      <x:c r="T32" s="20"/>
      <x:c r="U32" s="21" t="str">
        <x:v>Completion is based on immutable repository evidence; tests were not rerun and current working-tree drift was not re-certified in this reporting-only task.</x:v>
      </x:c>
      <x:c r="V32" s="1"/>
    </x:row>
    <x:row r="33" ht="46" customHeight="1">
      <x:c r="A33" s="17" t="n">
        <x:v>29</x:v>
      </x:c>
      <x:c r="B33" s="17" t="str">
        <x:v>Phase 1</x:v>
      </x:c>
      <x:c r="C33" s="17" t="str">
        <x:v>1.2</x:v>
      </x:c>
      <x:c r="D33" s="21" t="str">
        <x:v>Local Development Services</x:v>
      </x:c>
      <x:c r="E33" s="17" t="n">
        <x:v>1</x:v>
      </x:c>
      <x:c r="F33" s="21" t="str">
        <x:v>Configure local PostgreSQL, Redis, object storage, and ClamAV placeholder services.</x:v>
      </x:c>
      <x:c r="G33" s="17" t="str">
        <x:v>Software implementation</x:v>
      </x:c>
      <x:c r="H33" s="17" t="str">
        <x:v>Planned</x:v>
      </x:c>
      <x:c r="I33" s="18" t="str">
        <x:v>Completed</x:v>
      </x:c>
      <x:c r="J33" s="17" t="str">
        <x:f>IF(OR(I33="Completed",I33="Not Applicable"),"No","Yes")</x:f>
        <x:v>No</x:v>
      </x:c>
      <x:c r="K33" s="17" t="str">
        <x:v>1.1</x:v>
      </x:c>
      <x:c r="L33" s="21" t="str">
        <x:v>Story-labeled commit f509193b contains delivery and focused test/test-result files: Implement Story 1.2: Local Development Services</x:v>
      </x:c>
      <x:c r="M33" s="17" t="str">
        <x:v>Implementation commit + focused test artifacts</x:v>
      </x:c>
      <x:c r="N33" s="21" t="str">
        <x:v>git commit f509193b406e5a83c56173eb4d9652a6d5677b01; /Users/devups/Development/CodexProjects/Gccs/docs/development-story-test-cases.md</x:v>
      </x:c>
      <x:c r="O33" s="19" t="n">
        <x:v>46185.95923611111</x:v>
      </x:c>
      <x:c r="P33" s="21" t="str">
        <x:v>4 acceptance criteria; 4 TC references; implementation=yes; smoke=yes; automated=no; Story-level regression template</x:v>
      </x:c>
      <x:c r="Q33" s="21" t="str"/>
      <x:c r="R33" s="21" t="str">
        <x:v>Retain traceability; rerun focused verification if the affected boundary changes.</x:v>
      </x:c>
      <x:c r="S33" s="18" t="str"/>
      <x:c r="T33" s="20"/>
      <x:c r="U33" s="21" t="str">
        <x:v>Completion is based on immutable repository evidence; tests were not rerun and current working-tree drift was not re-certified in this reporting-only task.</x:v>
      </x:c>
      <x:c r="V33" s="1"/>
    </x:row>
    <x:row r="34" ht="46" customHeight="1">
      <x:c r="A34" s="17" t="n">
        <x:v>30</x:v>
      </x:c>
      <x:c r="B34" s="17" t="str">
        <x:v>Phase 1</x:v>
      </x:c>
      <x:c r="C34" s="17" t="str">
        <x:v>1.2</x:v>
      </x:c>
      <x:c r="D34" s="21" t="str">
        <x:v>Local Development Services</x:v>
      </x:c>
      <x:c r="E34" s="17" t="n">
        <x:v>2</x:v>
      </x:c>
      <x:c r="F34" s="21" t="str">
        <x:v>Add environment variable examples.</x:v>
      </x:c>
      <x:c r="G34" s="17" t="str">
        <x:v>Software implementation</x:v>
      </x:c>
      <x:c r="H34" s="17" t="str">
        <x:v>Planned</x:v>
      </x:c>
      <x:c r="I34" s="18" t="str">
        <x:v>Completed</x:v>
      </x:c>
      <x:c r="J34" s="17" t="str">
        <x:f>IF(OR(I34="Completed",I34="Not Applicable"),"No","Yes")</x:f>
        <x:v>No</x:v>
      </x:c>
      <x:c r="K34" s="17" t="str">
        <x:v>1.2 task 1</x:v>
      </x:c>
      <x:c r="L34" s="21" t="str">
        <x:v>Story-labeled commit f509193b contains delivery and focused test/test-result files: Implement Story 1.2: Local Development Services</x:v>
      </x:c>
      <x:c r="M34" s="17" t="str">
        <x:v>Implementation commit + focused test artifacts</x:v>
      </x:c>
      <x:c r="N34" s="21" t="str">
        <x:v>git commit f509193b406e5a83c56173eb4d9652a6d5677b01; /Users/devups/Development/CodexProjects/Gccs/docs/development-story-test-cases.md</x:v>
      </x:c>
      <x:c r="O34" s="19" t="n">
        <x:v>46185.95923611111</x:v>
      </x:c>
      <x:c r="P34" s="21" t="str">
        <x:v>4 acceptance criteria; 4 TC references; implementation=yes; smoke=yes; automated=no; Story-level regression template</x:v>
      </x:c>
      <x:c r="Q34" s="21" t="str"/>
      <x:c r="R34" s="21" t="str">
        <x:v>Retain traceability; rerun focused verification if the affected boundary changes.</x:v>
      </x:c>
      <x:c r="S34" s="18" t="str"/>
      <x:c r="T34" s="20"/>
      <x:c r="U34" s="21" t="str">
        <x:v>Completion is based on immutable repository evidence; tests were not rerun and current working-tree drift was not re-certified in this reporting-only task.</x:v>
      </x:c>
      <x:c r="V34" s="1"/>
    </x:row>
    <x:row r="35" ht="46" customHeight="1">
      <x:c r="A35" s="17" t="n">
        <x:v>31</x:v>
      </x:c>
      <x:c r="B35" s="17" t="str">
        <x:v>Phase 1</x:v>
      </x:c>
      <x:c r="C35" s="17" t="str">
        <x:v>1.2</x:v>
      </x:c>
      <x:c r="D35" s="21" t="str">
        <x:v>Local Development Services</x:v>
      </x:c>
      <x:c r="E35" s="17" t="n">
        <x:v>3</x:v>
      </x:c>
      <x:c r="F35" s="21" t="str">
        <x:v>Add health checks for local service startup.</x:v>
      </x:c>
      <x:c r="G35" s="17" t="str">
        <x:v>Software implementation</x:v>
      </x:c>
      <x:c r="H35" s="17" t="str">
        <x:v>Planned</x:v>
      </x:c>
      <x:c r="I35" s="18" t="str">
        <x:v>Completed</x:v>
      </x:c>
      <x:c r="J35" s="17" t="str">
        <x:f>IF(OR(I35="Completed",I35="Not Applicable"),"No","Yes")</x:f>
        <x:v>No</x:v>
      </x:c>
      <x:c r="K35" s="17" t="str">
        <x:v>1.2 task 2</x:v>
      </x:c>
      <x:c r="L35" s="21" t="str">
        <x:v>Story-labeled commit f509193b contains delivery and focused test/test-result files: Implement Story 1.2: Local Development Services</x:v>
      </x:c>
      <x:c r="M35" s="17" t="str">
        <x:v>Implementation commit + focused test artifacts</x:v>
      </x:c>
      <x:c r="N35" s="21" t="str">
        <x:v>git commit f509193b406e5a83c56173eb4d9652a6d5677b01; /Users/devups/Development/CodexProjects/Gccs/docs/development-story-test-cases.md</x:v>
      </x:c>
      <x:c r="O35" s="19" t="n">
        <x:v>46185.95923611111</x:v>
      </x:c>
      <x:c r="P35" s="21" t="str">
        <x:v>4 acceptance criteria; 4 TC references; implementation=yes; smoke=yes; automated=no; Story-level regression template</x:v>
      </x:c>
      <x:c r="Q35" s="21" t="str"/>
      <x:c r="R35" s="21" t="str">
        <x:v>Retain traceability; rerun focused verification if the affected boundary changes.</x:v>
      </x:c>
      <x:c r="S35" s="18" t="str"/>
      <x:c r="T35" s="20"/>
      <x:c r="U35" s="21" t="str">
        <x:v>Completion is based on immutable repository evidence; tests were not rerun and current working-tree drift was not re-certified in this reporting-only task.</x:v>
      </x:c>
      <x:c r="V35" s="1"/>
    </x:row>
    <x:row r="36" ht="46" customHeight="1">
      <x:c r="A36" s="17" t="n">
        <x:v>32</x:v>
      </x:c>
      <x:c r="B36" s="17" t="str">
        <x:v>Phase 1</x:v>
      </x:c>
      <x:c r="C36" s="17" t="str">
        <x:v>1.2</x:v>
      </x:c>
      <x:c r="D36" s="21" t="str">
        <x:v>Local Development Services</x:v>
      </x:c>
      <x:c r="E36" s="17" t="n">
        <x:v>4</x:v>
      </x:c>
      <x:c r="F36" s="21" t="str">
        <x:v>Document local reset and migration steps.</x:v>
      </x:c>
      <x:c r="G36" s="17" t="str">
        <x:v>Software implementation</x:v>
      </x:c>
      <x:c r="H36" s="17" t="str">
        <x:v>Planned</x:v>
      </x:c>
      <x:c r="I36" s="18" t="str">
        <x:v>Completed</x:v>
      </x:c>
      <x:c r="J36" s="17" t="str">
        <x:f>IF(OR(I36="Completed",I36="Not Applicable"),"No","Yes")</x:f>
        <x:v>No</x:v>
      </x:c>
      <x:c r="K36" s="17" t="str">
        <x:v>1.2 task 3</x:v>
      </x:c>
      <x:c r="L36" s="21" t="str">
        <x:v>Story-labeled commit f509193b contains delivery and focused test/test-result files: Implement Story 1.2: Local Development Services</x:v>
      </x:c>
      <x:c r="M36" s="17" t="str">
        <x:v>Implementation commit + focused test artifacts</x:v>
      </x:c>
      <x:c r="N36" s="21" t="str">
        <x:v>git commit f509193b406e5a83c56173eb4d9652a6d5677b01; /Users/devups/Development/CodexProjects/Gccs/docs/development-story-test-cases.md</x:v>
      </x:c>
      <x:c r="O36" s="19" t="n">
        <x:v>46185.95923611111</x:v>
      </x:c>
      <x:c r="P36" s="21" t="str">
        <x:v>4 acceptance criteria; 4 TC references; implementation=yes; smoke=yes; automated=no; Story-level regression template</x:v>
      </x:c>
      <x:c r="Q36" s="21" t="str"/>
      <x:c r="R36" s="21" t="str">
        <x:v>Retain traceability; rerun focused verification if the affected boundary changes.</x:v>
      </x:c>
      <x:c r="S36" s="18" t="str"/>
      <x:c r="T36" s="20"/>
      <x:c r="U36" s="21" t="str">
        <x:v>Completion is based on immutable repository evidence; tests were not rerun and current working-tree drift was not re-certified in this reporting-only task.</x:v>
      </x:c>
      <x:c r="V36" s="1"/>
    </x:row>
    <x:row r="37" ht="46" customHeight="1">
      <x:c r="A37" s="17" t="n">
        <x:v>33</x:v>
      </x:c>
      <x:c r="B37" s="17" t="str">
        <x:v>Phase 1</x:v>
      </x:c>
      <x:c r="C37" s="17" t="str">
        <x:v>1.3</x:v>
      </x:c>
      <x:c r="D37" s="21" t="str">
        <x:v>Continuous Integration Baseline</x:v>
      </x:c>
      <x:c r="E37" s="17" t="n">
        <x:v>1</x:v>
      </x:c>
      <x:c r="F37" s="21" t="str">
        <x:v>Add CI steps for dependency restore, backend build, frontend build, linting, unit tests, and integration tests.</x:v>
      </x:c>
      <x:c r="G37" s="17" t="str">
        <x:v>Software implementation</x:v>
      </x:c>
      <x:c r="H37" s="17" t="str">
        <x:v>Planned</x:v>
      </x:c>
      <x:c r="I37" s="18" t="str">
        <x:v>Completed</x:v>
      </x:c>
      <x:c r="J37" s="17" t="str">
        <x:f>IF(OR(I37="Completed",I37="Not Applicable"),"No","Yes")</x:f>
        <x:v>No</x:v>
      </x:c>
      <x:c r="K37" s="17" t="str">
        <x:v>1.2</x:v>
      </x:c>
      <x:c r="L37" s="21" t="str">
        <x:v>Story-labeled commit 9ac44232 contains delivery and focused test/test-result files: Story 1.3: Continuous Integration Baseline</x:v>
      </x:c>
      <x:c r="M37" s="17" t="str">
        <x:v>Implementation commit + focused test artifacts</x:v>
      </x:c>
      <x:c r="N37" s="21" t="str">
        <x:v>git commit 9ac442321bd41e540a54943d86c4259b55d49e5b; /Users/devups/Development/CodexProjects/Gccs/docs/development-story-test-cases.md</x:v>
      </x:c>
      <x:c r="O37" s="19" t="n">
        <x:v>46186.82722222222</x:v>
      </x:c>
      <x:c r="P37" s="21" t="str">
        <x:v>4 acceptance criteria; 4 TC references; implementation=yes; smoke=yes; automated=no; Story-level regression template</x:v>
      </x:c>
      <x:c r="Q37" s="21" t="str"/>
      <x:c r="R37" s="21" t="str">
        <x:v>Retain traceability; rerun focused verification if the affected boundary changes.</x:v>
      </x:c>
      <x:c r="S37" s="18" t="str"/>
      <x:c r="T37" s="20"/>
      <x:c r="U37" s="21" t="str">
        <x:v>Completion is based on immutable repository evidence; tests were not rerun and current working-tree drift was not re-certified in this reporting-only task.</x:v>
      </x:c>
      <x:c r="V37" s="1"/>
    </x:row>
    <x:row r="38" ht="46" customHeight="1">
      <x:c r="A38" s="17" t="n">
        <x:v>34</x:v>
      </x:c>
      <x:c r="B38" s="17" t="str">
        <x:v>Phase 1</x:v>
      </x:c>
      <x:c r="C38" s="17" t="str">
        <x:v>1.3</x:v>
      </x:c>
      <x:c r="D38" s="21" t="str">
        <x:v>Continuous Integration Baseline</x:v>
      </x:c>
      <x:c r="E38" s="17" t="n">
        <x:v>2</x:v>
      </x:c>
      <x:c r="F38" s="21" t="str">
        <x:v>Add dependency and secret scanning where available.</x:v>
      </x:c>
      <x:c r="G38" s="17" t="str">
        <x:v>Software implementation</x:v>
      </x:c>
      <x:c r="H38" s="17" t="str">
        <x:v>Planned</x:v>
      </x:c>
      <x:c r="I38" s="18" t="str">
        <x:v>Completed</x:v>
      </x:c>
      <x:c r="J38" s="17" t="str">
        <x:f>IF(OR(I38="Completed",I38="Not Applicable"),"No","Yes")</x:f>
        <x:v>No</x:v>
      </x:c>
      <x:c r="K38" s="17" t="str">
        <x:v>1.3 task 1</x:v>
      </x:c>
      <x:c r="L38" s="21" t="str">
        <x:v>Story-labeled commit 9ac44232 contains delivery and focused test/test-result files: Story 1.3: Continuous Integration Baseline</x:v>
      </x:c>
      <x:c r="M38" s="17" t="str">
        <x:v>Implementation commit + focused test artifacts</x:v>
      </x:c>
      <x:c r="N38" s="21" t="str">
        <x:v>git commit 9ac442321bd41e540a54943d86c4259b55d49e5b; /Users/devups/Development/CodexProjects/Gccs/docs/development-story-test-cases.md</x:v>
      </x:c>
      <x:c r="O38" s="19" t="n">
        <x:v>46186.82722222222</x:v>
      </x:c>
      <x:c r="P38" s="21" t="str">
        <x:v>4 acceptance criteria; 4 TC references; implementation=yes; smoke=yes; automated=no; Story-level regression template</x:v>
      </x:c>
      <x:c r="Q38" s="21" t="str"/>
      <x:c r="R38" s="21" t="str">
        <x:v>Retain traceability; rerun focused verification if the affected boundary changes.</x:v>
      </x:c>
      <x:c r="S38" s="18" t="str"/>
      <x:c r="T38" s="20"/>
      <x:c r="U38" s="21" t="str">
        <x:v>Completion is based on immutable repository evidence; tests were not rerun and current working-tree drift was not re-certified in this reporting-only task.</x:v>
      </x:c>
      <x:c r="V38" s="1"/>
    </x:row>
    <x:row r="39" ht="46" customHeight="1">
      <x:c r="A39" s="17" t="n">
        <x:v>35</x:v>
      </x:c>
      <x:c r="B39" s="17" t="str">
        <x:v>Phase 1</x:v>
      </x:c>
      <x:c r="C39" s="17" t="str">
        <x:v>1.3</x:v>
      </x:c>
      <x:c r="D39" s="21" t="str">
        <x:v>Continuous Integration Baseline</x:v>
      </x:c>
      <x:c r="E39" s="17" t="n">
        <x:v>3</x:v>
      </x:c>
      <x:c r="F39" s="21" t="str">
        <x:v>Add migration validation for database changes.</x:v>
      </x:c>
      <x:c r="G39" s="17" t="str">
        <x:v>Software implementation</x:v>
      </x:c>
      <x:c r="H39" s="17" t="str">
        <x:v>Planned</x:v>
      </x:c>
      <x:c r="I39" s="18" t="str">
        <x:v>Completed</x:v>
      </x:c>
      <x:c r="J39" s="17" t="str">
        <x:f>IF(OR(I39="Completed",I39="Not Applicable"),"No","Yes")</x:f>
        <x:v>No</x:v>
      </x:c>
      <x:c r="K39" s="17" t="str">
        <x:v>1.3 task 2</x:v>
      </x:c>
      <x:c r="L39" s="21" t="str">
        <x:v>Story-labeled commit 9ac44232 contains delivery and focused test/test-result files: Story 1.3: Continuous Integration Baseline</x:v>
      </x:c>
      <x:c r="M39" s="17" t="str">
        <x:v>Implementation commit + focused test artifacts</x:v>
      </x:c>
      <x:c r="N39" s="21" t="str">
        <x:v>git commit 9ac442321bd41e540a54943d86c4259b55d49e5b; /Users/devups/Development/CodexProjects/Gccs/docs/development-story-test-cases.md</x:v>
      </x:c>
      <x:c r="O39" s="19" t="n">
        <x:v>46186.82722222222</x:v>
      </x:c>
      <x:c r="P39" s="21" t="str">
        <x:v>4 acceptance criteria; 4 TC references; implementation=yes; smoke=yes; automated=no; Story-level regression template</x:v>
      </x:c>
      <x:c r="Q39" s="21" t="str"/>
      <x:c r="R39" s="21" t="str">
        <x:v>Retain traceability; rerun focused verification if the affected boundary changes.</x:v>
      </x:c>
      <x:c r="S39" s="18" t="str"/>
      <x:c r="T39" s="20"/>
      <x:c r="U39" s="21" t="str">
        <x:v>Completion is based on immutable repository evidence; tests were not rerun and current working-tree drift was not re-certified in this reporting-only task.</x:v>
      </x:c>
      <x:c r="V39" s="1"/>
    </x:row>
    <x:row r="40" ht="46" customHeight="1">
      <x:c r="A40" s="17" t="n">
        <x:v>36</x:v>
      </x:c>
      <x:c r="B40" s="17" t="str">
        <x:v>Phase 1</x:v>
      </x:c>
      <x:c r="C40" s="17" t="str">
        <x:v>1.3</x:v>
      </x:c>
      <x:c r="D40" s="21" t="str">
        <x:v>Continuous Integration Baseline</x:v>
      </x:c>
      <x:c r="E40" s="17" t="n">
        <x:v>4</x:v>
      </x:c>
      <x:c r="F40" s="21" t="str">
        <x:v>Publish build artifacts or test summaries.</x:v>
      </x:c>
      <x:c r="G40" s="17" t="str">
        <x:v>Software implementation</x:v>
      </x:c>
      <x:c r="H40" s="17" t="str">
        <x:v>Planned</x:v>
      </x:c>
      <x:c r="I40" s="18" t="str">
        <x:v>Completed</x:v>
      </x:c>
      <x:c r="J40" s="17" t="str">
        <x:f>IF(OR(I40="Completed",I40="Not Applicable"),"No","Yes")</x:f>
        <x:v>No</x:v>
      </x:c>
      <x:c r="K40" s="17" t="str">
        <x:v>1.3 task 3</x:v>
      </x:c>
      <x:c r="L40" s="21" t="str">
        <x:v>Story-labeled commit 9ac44232 contains delivery and focused test/test-result files: Story 1.3: Continuous Integration Baseline</x:v>
      </x:c>
      <x:c r="M40" s="17" t="str">
        <x:v>Implementation commit + focused test artifacts</x:v>
      </x:c>
      <x:c r="N40" s="21" t="str">
        <x:v>git commit 9ac442321bd41e540a54943d86c4259b55d49e5b; /Users/devups/Development/CodexProjects/Gccs/docs/development-story-test-cases.md</x:v>
      </x:c>
      <x:c r="O40" s="19" t="n">
        <x:v>46186.82722222222</x:v>
      </x:c>
      <x:c r="P40" s="21" t="str">
        <x:v>4 acceptance criteria; 4 TC references; implementation=yes; smoke=yes; automated=no; Story-level regression template</x:v>
      </x:c>
      <x:c r="Q40" s="21" t="str"/>
      <x:c r="R40" s="21" t="str">
        <x:v>Retain traceability; rerun focused verification if the affected boundary changes.</x:v>
      </x:c>
      <x:c r="S40" s="18" t="str"/>
      <x:c r="T40" s="20"/>
      <x:c r="U40" s="21" t="str">
        <x:v>Completion is based on immutable repository evidence; tests were not rerun and current working-tree drift was not re-certified in this reporting-only task.</x:v>
      </x:c>
      <x:c r="V40" s="1"/>
    </x:row>
    <x:row r="41" ht="46" customHeight="1">
      <x:c r="A41" s="17" t="n">
        <x:v>37</x:v>
      </x:c>
      <x:c r="B41" s="17" t="str">
        <x:v>Phase 1</x:v>
      </x:c>
      <x:c r="C41" s="17" t="str">
        <x:v>2.1</x:v>
      </x:c>
      <x:c r="D41" s="21" t="str">
        <x:v>Tenant Creation</x:v>
      </x:c>
      <x:c r="E41" s="17" t="n">
        <x:v>1</x:v>
      </x:c>
      <x:c r="F41" s="21" t="str">
        <x:v>Create tenant persistence model and API contract.</x:v>
      </x:c>
      <x:c r="G41" s="17" t="str">
        <x:v>Software implementation</x:v>
      </x:c>
      <x:c r="H41" s="17" t="str">
        <x:v>Planned</x:v>
      </x:c>
      <x:c r="I41" s="18" t="str">
        <x:v>Completed</x:v>
      </x:c>
      <x:c r="J41" s="17" t="str">
        <x:f>IF(OR(I41="Completed",I41="Not Applicable"),"No","Yes")</x:f>
        <x:v>No</x:v>
      </x:c>
      <x:c r="K41" s="17" t="str">
        <x:v>1.3</x:v>
      </x:c>
      <x:c r="L41" s="21" t="str">
        <x:v>Story-labeled commit fcc3c399 contains delivery and focused test/test-result files: Story 2.1: Tenant Creation</x:v>
      </x:c>
      <x:c r="M41" s="17" t="str">
        <x:v>Implementation commit + focused test artifacts</x:v>
      </x:c>
      <x:c r="N41" s="21" t="str">
        <x:v>git commit fcc3c39944f096c55df1e1d73ee37a56a874ce0b; /Users/devups/Development/CodexProjects/Gccs/docs/development-story-test-cases.md</x:v>
      </x:c>
      <x:c r="O41" s="19" t="n">
        <x:v>46186.87971064815</x:v>
      </x:c>
      <x:c r="P41" s="21" t="str">
        <x:v>4 acceptance criteria; 4 TC references; implementation=yes; smoke=yes; automated=no; Story-level regression template</x:v>
      </x:c>
      <x:c r="Q41" s="21" t="str"/>
      <x:c r="R41" s="21" t="str">
        <x:v>Retain traceability; rerun focused verification if the affected boundary changes.</x:v>
      </x:c>
      <x:c r="S41" s="18" t="str"/>
      <x:c r="T41" s="20"/>
      <x:c r="U41" s="21" t="str">
        <x:v>Completion is based on immutable repository evidence; tests were not rerun and current working-tree drift was not re-certified in this reporting-only task.</x:v>
      </x:c>
      <x:c r="V41" s="1"/>
    </x:row>
    <x:row r="42" ht="46" customHeight="1">
      <x:c r="A42" s="17" t="n">
        <x:v>38</x:v>
      </x:c>
      <x:c r="B42" s="17" t="str">
        <x:v>Phase 1</x:v>
      </x:c>
      <x:c r="C42" s="17" t="str">
        <x:v>2.1</x:v>
      </x:c>
      <x:c r="D42" s="21" t="str">
        <x:v>Tenant Creation</x:v>
      </x:c>
      <x:c r="E42" s="17" t="n">
        <x:v>2</x:v>
      </x:c>
      <x:c r="F42" s="21" t="str">
        <x:v>Add tenant status values such as active, suspended, and archived.</x:v>
      </x:c>
      <x:c r="G42" s="17" t="str">
        <x:v>Software implementation</x:v>
      </x:c>
      <x:c r="H42" s="17" t="str">
        <x:v>Planned</x:v>
      </x:c>
      <x:c r="I42" s="18" t="str">
        <x:v>Completed</x:v>
      </x:c>
      <x:c r="J42" s="17" t="str">
        <x:f>IF(OR(I42="Completed",I42="Not Applicable"),"No","Yes")</x:f>
        <x:v>No</x:v>
      </x:c>
      <x:c r="K42" s="17" t="str">
        <x:v>2.1 task 1</x:v>
      </x:c>
      <x:c r="L42" s="21" t="str">
        <x:v>Story-labeled commit fcc3c399 contains delivery and focused test/test-result files: Story 2.1: Tenant Creation</x:v>
      </x:c>
      <x:c r="M42" s="17" t="str">
        <x:v>Implementation commit + focused test artifacts</x:v>
      </x:c>
      <x:c r="N42" s="21" t="str">
        <x:v>git commit fcc3c39944f096c55df1e1d73ee37a56a874ce0b; /Users/devups/Development/CodexProjects/Gccs/docs/development-story-test-cases.md</x:v>
      </x:c>
      <x:c r="O42" s="19" t="n">
        <x:v>46186.87971064815</x:v>
      </x:c>
      <x:c r="P42" s="21" t="str">
        <x:v>4 acceptance criteria; 4 TC references; implementation=yes; smoke=yes; automated=no; Story-level regression template</x:v>
      </x:c>
      <x:c r="Q42" s="21" t="str"/>
      <x:c r="R42" s="21" t="str">
        <x:v>Retain traceability; rerun focused verification if the affected boundary changes.</x:v>
      </x:c>
      <x:c r="S42" s="18" t="str"/>
      <x:c r="T42" s="20"/>
      <x:c r="U42" s="21" t="str">
        <x:v>Completion is based on immutable repository evidence; tests were not rerun and current working-tree drift was not re-certified in this reporting-only task.</x:v>
      </x:c>
      <x:c r="V42" s="1"/>
    </x:row>
    <x:row r="43" ht="46" customHeight="1">
      <x:c r="A43" s="17" t="n">
        <x:v>39</x:v>
      </x:c>
      <x:c r="B43" s="17" t="str">
        <x:v>Phase 1</x:v>
      </x:c>
      <x:c r="C43" s="17" t="str">
        <x:v>2.1</x:v>
      </x:c>
      <x:c r="D43" s="21" t="str">
        <x:v>Tenant Creation</x:v>
      </x:c>
      <x:c r="E43" s="17" t="n">
        <x:v>3</x:v>
      </x:c>
      <x:c r="F43" s="21" t="str">
        <x:v>Add tenant ID to tenant-owned entities.</x:v>
      </x:c>
      <x:c r="G43" s="17" t="str">
        <x:v>Software implementation</x:v>
      </x:c>
      <x:c r="H43" s="17" t="str">
        <x:v>Planned</x:v>
      </x:c>
      <x:c r="I43" s="18" t="str">
        <x:v>Completed</x:v>
      </x:c>
      <x:c r="J43" s="17" t="str">
        <x:f>IF(OR(I43="Completed",I43="Not Applicable"),"No","Yes")</x:f>
        <x:v>No</x:v>
      </x:c>
      <x:c r="K43" s="17" t="str">
        <x:v>2.1 task 2</x:v>
      </x:c>
      <x:c r="L43" s="21" t="str">
        <x:v>Story-labeled commit fcc3c399 contains delivery and focused test/test-result files: Story 2.1: Tenant Creation</x:v>
      </x:c>
      <x:c r="M43" s="17" t="str">
        <x:v>Implementation commit + focused test artifacts</x:v>
      </x:c>
      <x:c r="N43" s="21" t="str">
        <x:v>git commit fcc3c39944f096c55df1e1d73ee37a56a874ce0b; /Users/devups/Development/CodexProjects/Gccs/docs/development-story-test-cases.md</x:v>
      </x:c>
      <x:c r="O43" s="19" t="n">
        <x:v>46186.87971064815</x:v>
      </x:c>
      <x:c r="P43" s="21" t="str">
        <x:v>4 acceptance criteria; 4 TC references; implementation=yes; smoke=yes; automated=no; Story-level regression template</x:v>
      </x:c>
      <x:c r="Q43" s="21" t="str"/>
      <x:c r="R43" s="21" t="str">
        <x:v>Retain traceability; rerun focused verification if the affected boundary changes.</x:v>
      </x:c>
      <x:c r="S43" s="18" t="str"/>
      <x:c r="T43" s="20"/>
      <x:c r="U43" s="21" t="str">
        <x:v>Completion is based on immutable repository evidence; tests were not rerun and current working-tree drift was not re-certified in this reporting-only task.</x:v>
      </x:c>
      <x:c r="V43" s="1"/>
    </x:row>
    <x:row r="44" ht="46" customHeight="1">
      <x:c r="A44" s="17" t="n">
        <x:v>40</x:v>
      </x:c>
      <x:c r="B44" s="17" t="str">
        <x:v>Phase 1</x:v>
      </x:c>
      <x:c r="C44" s="17" t="str">
        <x:v>2.1</x:v>
      </x:c>
      <x:c r="D44" s="21" t="str">
        <x:v>Tenant Creation</x:v>
      </x:c>
      <x:c r="E44" s="17" t="n">
        <x:v>4</x:v>
      </x:c>
      <x:c r="F44" s="21" t="str">
        <x:v>Enforce tenant filtering in repositories and application services.</x:v>
      </x:c>
      <x:c r="G44" s="17" t="str">
        <x:v>Software implementation</x:v>
      </x:c>
      <x:c r="H44" s="17" t="str">
        <x:v>Planned</x:v>
      </x:c>
      <x:c r="I44" s="18" t="str">
        <x:v>Completed</x:v>
      </x:c>
      <x:c r="J44" s="17" t="str">
        <x:f>IF(OR(I44="Completed",I44="Not Applicable"),"No","Yes")</x:f>
        <x:v>No</x:v>
      </x:c>
      <x:c r="K44" s="17" t="str">
        <x:v>2.1 task 3</x:v>
      </x:c>
      <x:c r="L44" s="21" t="str">
        <x:v>Story-labeled commit fcc3c399 contains delivery and focused test/test-result files: Story 2.1: Tenant Creation</x:v>
      </x:c>
      <x:c r="M44" s="17" t="str">
        <x:v>Implementation commit + focused test artifacts</x:v>
      </x:c>
      <x:c r="N44" s="21" t="str">
        <x:v>git commit fcc3c39944f096c55df1e1d73ee37a56a874ce0b; /Users/devups/Development/CodexProjects/Gccs/docs/development-story-test-cases.md</x:v>
      </x:c>
      <x:c r="O44" s="19" t="n">
        <x:v>46186.87971064815</x:v>
      </x:c>
      <x:c r="P44" s="21" t="str">
        <x:v>4 acceptance criteria; 4 TC references; implementation=yes; smoke=yes; automated=no; Story-level regression template</x:v>
      </x:c>
      <x:c r="Q44" s="21" t="str"/>
      <x:c r="R44" s="21" t="str">
        <x:v>Retain traceability; rerun focused verification if the affected boundary changes.</x:v>
      </x:c>
      <x:c r="S44" s="18" t="str"/>
      <x:c r="T44" s="20"/>
      <x:c r="U44" s="21" t="str">
        <x:v>Completion is based on immutable repository evidence; tests were not rerun and current working-tree drift was not re-certified in this reporting-only task.</x:v>
      </x:c>
      <x:c r="V44" s="1"/>
    </x:row>
    <x:row r="45" ht="46" customHeight="1">
      <x:c r="A45" s="17" t="n">
        <x:v>41</x:v>
      </x:c>
      <x:c r="B45" s="17" t="str">
        <x:v>Phase 1</x:v>
      </x:c>
      <x:c r="C45" s="17" t="str">
        <x:v>2.1</x:v>
      </x:c>
      <x:c r="D45" s="21" t="str">
        <x:v>Tenant Creation</x:v>
      </x:c>
      <x:c r="E45" s="17" t="n">
        <x:v>5</x:v>
      </x:c>
      <x:c r="F45" s="21" t="str">
        <x:v>Add seed or admin workflow for initial tenant creation.</x:v>
      </x:c>
      <x:c r="G45" s="17" t="str">
        <x:v>Software implementation</x:v>
      </x:c>
      <x:c r="H45" s="17" t="str">
        <x:v>Planned</x:v>
      </x:c>
      <x:c r="I45" s="18" t="str">
        <x:v>Completed</x:v>
      </x:c>
      <x:c r="J45" s="17" t="str">
        <x:f>IF(OR(I45="Completed",I45="Not Applicable"),"No","Yes")</x:f>
        <x:v>No</x:v>
      </x:c>
      <x:c r="K45" s="17" t="str">
        <x:v>2.1 task 4</x:v>
      </x:c>
      <x:c r="L45" s="21" t="str">
        <x:v>Story-labeled commit fcc3c399 contains delivery and focused test/test-result files: Story 2.1: Tenant Creation</x:v>
      </x:c>
      <x:c r="M45" s="17" t="str">
        <x:v>Implementation commit + focused test artifacts</x:v>
      </x:c>
      <x:c r="N45" s="21" t="str">
        <x:v>git commit fcc3c39944f096c55df1e1d73ee37a56a874ce0b; /Users/devups/Development/CodexProjects/Gccs/docs/development-story-test-cases.md</x:v>
      </x:c>
      <x:c r="O45" s="19" t="n">
        <x:v>46186.87971064815</x:v>
      </x:c>
      <x:c r="P45" s="21" t="str">
        <x:v>4 acceptance criteria; 4 TC references; implementation=yes; smoke=yes; automated=no; Story-level regression template</x:v>
      </x:c>
      <x:c r="Q45" s="21" t="str"/>
      <x:c r="R45" s="21" t="str">
        <x:v>Retain traceability; rerun focused verification if the affected boundary changes.</x:v>
      </x:c>
      <x:c r="S45" s="18" t="str"/>
      <x:c r="T45" s="20"/>
      <x:c r="U45" s="21" t="str">
        <x:v>Completion is based on immutable repository evidence; tests were not rerun and current working-tree drift was not re-certified in this reporting-only task.</x:v>
      </x:c>
      <x:c r="V45" s="1"/>
    </x:row>
    <x:row r="46" ht="46" customHeight="1">
      <x:c r="A46" s="17" t="n">
        <x:v>42</x:v>
      </x:c>
      <x:c r="B46" s="17" t="str">
        <x:v>Phase 1</x:v>
      </x:c>
      <x:c r="C46" s="17" t="str">
        <x:v>2.2</x:v>
      </x:c>
      <x:c r="D46" s="21" t="str">
        <x:v>User Memberships</x:v>
      </x:c>
      <x:c r="E46" s="17" t="n">
        <x:v>1</x:v>
      </x:c>
      <x:c r="F46" s="21" t="str">
        <x:v>Model user, tenant membership, and membership status.</x:v>
      </x:c>
      <x:c r="G46" s="17" t="str">
        <x:v>Software implementation</x:v>
      </x:c>
      <x:c r="H46" s="17" t="str">
        <x:v>Planned</x:v>
      </x:c>
      <x:c r="I46" s="18" t="str">
        <x:v>Completed</x:v>
      </x:c>
      <x:c r="J46" s="17" t="str">
        <x:f>IF(OR(I46="Completed",I46="Not Applicable"),"No","Yes")</x:f>
        <x:v>No</x:v>
      </x:c>
      <x:c r="K46" s="17" t="str">
        <x:v>2.1</x:v>
      </x:c>
      <x:c r="L46" s="21" t="str">
        <x:v>Story-labeled commit 00f4c746 contains delivery and focused test/test-result files: Story 2.2: User Memberships</x:v>
      </x:c>
      <x:c r="M46" s="17" t="str">
        <x:v>Implementation commit + focused test artifacts</x:v>
      </x:c>
      <x:c r="N46" s="21" t="str">
        <x:v>git commit 00f4c746e1de2bf7213222c2bc6fb5ddb9d867cd; /Users/devups/Development/CodexProjects/Gccs/docs/development-story-test-cases.md</x:v>
      </x:c>
      <x:c r="O46" s="19" t="n">
        <x:v>46186.914826388886</x:v>
      </x:c>
      <x:c r="P46" s="21" t="str">
        <x:v>4 acceptance criteria; 4 TC references; implementation=yes; smoke=yes; automated=no; Story-level regression template</x:v>
      </x:c>
      <x:c r="Q46" s="21" t="str"/>
      <x:c r="R46" s="21" t="str">
        <x:v>Retain traceability; rerun focused verification if the affected boundary changes.</x:v>
      </x:c>
      <x:c r="S46" s="18" t="str"/>
      <x:c r="T46" s="20"/>
      <x:c r="U46" s="21" t="str">
        <x:v>Completion is based on immutable repository evidence; tests were not rerun and current working-tree drift was not re-certified in this reporting-only task.</x:v>
      </x:c>
      <x:c r="V46" s="1"/>
    </x:row>
    <x:row r="47" ht="46" customHeight="1">
      <x:c r="A47" s="17" t="n">
        <x:v>43</x:v>
      </x:c>
      <x:c r="B47" s="17" t="str">
        <x:v>Phase 1</x:v>
      </x:c>
      <x:c r="C47" s="17" t="str">
        <x:v>2.2</x:v>
      </x:c>
      <x:c r="D47" s="21" t="str">
        <x:v>User Memberships</x:v>
      </x:c>
      <x:c r="E47" s="17" t="n">
        <x:v>2</x:v>
      </x:c>
      <x:c r="F47" s="21" t="str">
        <x:v>Create API endpoints for listing tenant users and assigning memberships.</x:v>
      </x:c>
      <x:c r="G47" s="17" t="str">
        <x:v>Software implementation</x:v>
      </x:c>
      <x:c r="H47" s="17" t="str">
        <x:v>Planned</x:v>
      </x:c>
      <x:c r="I47" s="18" t="str">
        <x:v>Completed</x:v>
      </x:c>
      <x:c r="J47" s="17" t="str">
        <x:f>IF(OR(I47="Completed",I47="Not Applicable"),"No","Yes")</x:f>
        <x:v>No</x:v>
      </x:c>
      <x:c r="K47" s="17" t="str">
        <x:v>2.2 task 1</x:v>
      </x:c>
      <x:c r="L47" s="21" t="str">
        <x:v>Story-labeled commit 00f4c746 contains delivery and focused test/test-result files: Story 2.2: User Memberships</x:v>
      </x:c>
      <x:c r="M47" s="17" t="str">
        <x:v>Implementation commit + focused test artifacts</x:v>
      </x:c>
      <x:c r="N47" s="21" t="str">
        <x:v>git commit 00f4c746e1de2bf7213222c2bc6fb5ddb9d867cd; /Users/devups/Development/CodexProjects/Gccs/docs/development-story-test-cases.md</x:v>
      </x:c>
      <x:c r="O47" s="19" t="n">
        <x:v>46186.914826388886</x:v>
      </x:c>
      <x:c r="P47" s="21" t="str">
        <x:v>4 acceptance criteria; 4 TC references; implementation=yes; smoke=yes; automated=no; Story-level regression template</x:v>
      </x:c>
      <x:c r="Q47" s="21" t="str"/>
      <x:c r="R47" s="21" t="str">
        <x:v>Retain traceability; rerun focused verification if the affected boundary changes.</x:v>
      </x:c>
      <x:c r="S47" s="18" t="str"/>
      <x:c r="T47" s="20"/>
      <x:c r="U47" s="21" t="str">
        <x:v>Completion is based on immutable repository evidence; tests were not rerun and current working-tree drift was not re-certified in this reporting-only task.</x:v>
      </x:c>
      <x:c r="V47" s="1"/>
    </x:row>
    <x:row r="48" ht="46" customHeight="1">
      <x:c r="A48" s="17" t="n">
        <x:v>44</x:v>
      </x:c>
      <x:c r="B48" s="17" t="str">
        <x:v>Phase 1</x:v>
      </x:c>
      <x:c r="C48" s="17" t="str">
        <x:v>2.2</x:v>
      </x:c>
      <x:c r="D48" s="21" t="str">
        <x:v>User Memberships</x:v>
      </x:c>
      <x:c r="E48" s="17" t="n">
        <x:v>3</x:v>
      </x:c>
      <x:c r="F48" s="21" t="str">
        <x:v>Add validation for duplicate memberships.</x:v>
      </x:c>
      <x:c r="G48" s="17" t="str">
        <x:v>Software implementation</x:v>
      </x:c>
      <x:c r="H48" s="17" t="str">
        <x:v>Planned</x:v>
      </x:c>
      <x:c r="I48" s="18" t="str">
        <x:v>Completed</x:v>
      </x:c>
      <x:c r="J48" s="17" t="str">
        <x:f>IF(OR(I48="Completed",I48="Not Applicable"),"No","Yes")</x:f>
        <x:v>No</x:v>
      </x:c>
      <x:c r="K48" s="17" t="str">
        <x:v>2.2 task 2</x:v>
      </x:c>
      <x:c r="L48" s="21" t="str">
        <x:v>Story-labeled commit 00f4c746 contains delivery and focused test/test-result files: Story 2.2: User Memberships</x:v>
      </x:c>
      <x:c r="M48" s="17" t="str">
        <x:v>Implementation commit + focused test artifacts</x:v>
      </x:c>
      <x:c r="N48" s="21" t="str">
        <x:v>git commit 00f4c746e1de2bf7213222c2bc6fb5ddb9d867cd; /Users/devups/Development/CodexProjects/Gccs/docs/development-story-test-cases.md</x:v>
      </x:c>
      <x:c r="O48" s="19" t="n">
        <x:v>46186.914826388886</x:v>
      </x:c>
      <x:c r="P48" s="21" t="str">
        <x:v>4 acceptance criteria; 4 TC references; implementation=yes; smoke=yes; automated=no; Story-level regression template</x:v>
      </x:c>
      <x:c r="Q48" s="21" t="str"/>
      <x:c r="R48" s="21" t="str">
        <x:v>Retain traceability; rerun focused verification if the affected boundary changes.</x:v>
      </x:c>
      <x:c r="S48" s="18" t="str"/>
      <x:c r="T48" s="20"/>
      <x:c r="U48" s="21" t="str">
        <x:v>Completion is based on immutable repository evidence; tests were not rerun and current working-tree drift was not re-certified in this reporting-only task.</x:v>
      </x:c>
      <x:c r="V48" s="1"/>
    </x:row>
    <x:row r="49" ht="46" customHeight="1">
      <x:c r="A49" s="17" t="n">
        <x:v>45</x:v>
      </x:c>
      <x:c r="B49" s="17" t="str">
        <x:v>Phase 1</x:v>
      </x:c>
      <x:c r="C49" s="17" t="str">
        <x:v>2.2</x:v>
      </x:c>
      <x:c r="D49" s="21" t="str">
        <x:v>User Memberships</x:v>
      </x:c>
      <x:c r="E49" s="17" t="n">
        <x:v>4</x:v>
      </x:c>
      <x:c r="F49" s="21" t="str">
        <x:v>Add UI for viewing members.</x:v>
      </x:c>
      <x:c r="G49" s="17" t="str">
        <x:v>Software implementation</x:v>
      </x:c>
      <x:c r="H49" s="17" t="str">
        <x:v>Planned</x:v>
      </x:c>
      <x:c r="I49" s="18" t="str">
        <x:v>Completed</x:v>
      </x:c>
      <x:c r="J49" s="17" t="str">
        <x:f>IF(OR(I49="Completed",I49="Not Applicable"),"No","Yes")</x:f>
        <x:v>No</x:v>
      </x:c>
      <x:c r="K49" s="17" t="str">
        <x:v>2.2 task 3</x:v>
      </x:c>
      <x:c r="L49" s="21" t="str">
        <x:v>Story-labeled commit 00f4c746 contains delivery and focused test/test-result files: Story 2.2: User Memberships</x:v>
      </x:c>
      <x:c r="M49" s="17" t="str">
        <x:v>Implementation commit + focused test artifacts</x:v>
      </x:c>
      <x:c r="N49" s="21" t="str">
        <x:v>git commit 00f4c746e1de2bf7213222c2bc6fb5ddb9d867cd; /Users/devups/Development/CodexProjects/Gccs/docs/development-story-test-cases.md</x:v>
      </x:c>
      <x:c r="O49" s="19" t="n">
        <x:v>46186.914826388886</x:v>
      </x:c>
      <x:c r="P49" s="21" t="str">
        <x:v>4 acceptance criteria; 4 TC references; implementation=yes; smoke=yes; automated=no; Story-level regression template</x:v>
      </x:c>
      <x:c r="Q49" s="21" t="str"/>
      <x:c r="R49" s="21" t="str">
        <x:v>Retain traceability; rerun focused verification if the affected boundary changes.</x:v>
      </x:c>
      <x:c r="S49" s="18" t="str"/>
      <x:c r="T49" s="20"/>
      <x:c r="U49" s="21" t="str">
        <x:v>Completion is based on immutable repository evidence; tests were not rerun and current working-tree drift was not re-certified in this reporting-only task.</x:v>
      </x:c>
      <x:c r="V49" s="1"/>
    </x:row>
    <x:row r="50" ht="46" customHeight="1">
      <x:c r="A50" s="17" t="n">
        <x:v>46</x:v>
      </x:c>
      <x:c r="B50" s="17" t="str">
        <x:v>Phase 1</x:v>
      </x:c>
      <x:c r="C50" s="17" t="str">
        <x:v>2.3</x:v>
      </x:c>
      <x:c r="D50" s="21" t="str">
        <x:v>User Invitations</x:v>
      </x:c>
      <x:c r="E50" s="17" t="n">
        <x:v>1</x:v>
      </x:c>
      <x:c r="F50" s="21" t="str">
        <x:v>Model invitation token, role, expiration, and status.</x:v>
      </x:c>
      <x:c r="G50" s="17" t="str">
        <x:v>Software implementation</x:v>
      </x:c>
      <x:c r="H50" s="17" t="str">
        <x:v>Planned</x:v>
      </x:c>
      <x:c r="I50" s="18" t="str">
        <x:v>Completed</x:v>
      </x:c>
      <x:c r="J50" s="17" t="str">
        <x:f>IF(OR(I50="Completed",I50="Not Applicable"),"No","Yes")</x:f>
        <x:v>No</x:v>
      </x:c>
      <x:c r="K50" s="17" t="str">
        <x:v>2.2</x:v>
      </x:c>
      <x:c r="L50" s="21" t="str">
        <x:v>Story-labeled commit bc1e2aa5 contains delivery and focused test/test-result files: implement Story 2.3: User Invitations and Story 2.4: Role-Based Permissions</x:v>
      </x:c>
      <x:c r="M50" s="17" t="str">
        <x:v>Implementation commit + focused test artifacts</x:v>
      </x:c>
      <x:c r="N50" s="21" t="str">
        <x:v>git commit bc1e2aa5f6ef162225f1e60eee93f7d7117c11b7; /Users/devups/Development/CodexProjects/Gccs/docs/development-story-test-cases.md</x:v>
      </x:c>
      <x:c r="O50" s="19" t="n">
        <x:v>46186.96623842593</x:v>
      </x:c>
      <x:c r="P50" s="21" t="str">
        <x:v>5 acceptance criteria; 4 TC references; implementation=yes; smoke=yes; automated=no; Story-level regression template</x:v>
      </x:c>
      <x:c r="Q50" s="21" t="str"/>
      <x:c r="R50" s="21" t="str">
        <x:v>Retain traceability; rerun focused verification if the affected boundary changes.</x:v>
      </x:c>
      <x:c r="S50" s="18" t="str"/>
      <x:c r="T50" s="20"/>
      <x:c r="U50" s="21" t="str">
        <x:v>Completion is based on immutable repository evidence; tests were not rerun and current working-tree drift was not re-certified in this reporting-only task.</x:v>
      </x:c>
      <x:c r="V50" s="1"/>
    </x:row>
    <x:row r="51" ht="46" customHeight="1">
      <x:c r="A51" s="17" t="n">
        <x:v>47</x:v>
      </x:c>
      <x:c r="B51" s="17" t="str">
        <x:v>Phase 1</x:v>
      </x:c>
      <x:c r="C51" s="17" t="str">
        <x:v>2.3</x:v>
      </x:c>
      <x:c r="D51" s="21" t="str">
        <x:v>User Invitations</x:v>
      </x:c>
      <x:c r="E51" s="17" t="n">
        <x:v>2</x:v>
      </x:c>
      <x:c r="F51" s="21" t="str">
        <x:v>Add invitation create, accept, expire, and revoke workflows.</x:v>
      </x:c>
      <x:c r="G51" s="17" t="str">
        <x:v>Software implementation</x:v>
      </x:c>
      <x:c r="H51" s="17" t="str">
        <x:v>Planned</x:v>
      </x:c>
      <x:c r="I51" s="18" t="str">
        <x:v>Completed</x:v>
      </x:c>
      <x:c r="J51" s="17" t="str">
        <x:f>IF(OR(I51="Completed",I51="Not Applicable"),"No","Yes")</x:f>
        <x:v>No</x:v>
      </x:c>
      <x:c r="K51" s="17" t="str">
        <x:v>2.3 task 1</x:v>
      </x:c>
      <x:c r="L51" s="21" t="str">
        <x:v>Story-labeled commit bc1e2aa5 contains delivery and focused test/test-result files: implement Story 2.3: User Invitations and Story 2.4: Role-Based Permissions</x:v>
      </x:c>
      <x:c r="M51" s="17" t="str">
        <x:v>Implementation commit + focused test artifacts</x:v>
      </x:c>
      <x:c r="N51" s="21" t="str">
        <x:v>git commit bc1e2aa5f6ef162225f1e60eee93f7d7117c11b7; /Users/devups/Development/CodexProjects/Gccs/docs/development-story-test-cases.md</x:v>
      </x:c>
      <x:c r="O51" s="19" t="n">
        <x:v>46186.96623842593</x:v>
      </x:c>
      <x:c r="P51" s="21" t="str">
        <x:v>5 acceptance criteria; 4 TC references; implementation=yes; smoke=yes; automated=no; Story-level regression template</x:v>
      </x:c>
      <x:c r="Q51" s="21" t="str"/>
      <x:c r="R51" s="21" t="str">
        <x:v>Retain traceability; rerun focused verification if the affected boundary changes.</x:v>
      </x:c>
      <x:c r="S51" s="18" t="str"/>
      <x:c r="T51" s="20"/>
      <x:c r="U51" s="21" t="str">
        <x:v>Completion is based on immutable repository evidence; tests were not rerun and current working-tree drift was not re-certified in this reporting-only task.</x:v>
      </x:c>
      <x:c r="V51" s="1"/>
    </x:row>
    <x:row r="52" ht="46" customHeight="1">
      <x:c r="A52" s="17" t="n">
        <x:v>48</x:v>
      </x:c>
      <x:c r="B52" s="17" t="str">
        <x:v>Phase 1</x:v>
      </x:c>
      <x:c r="C52" s="17" t="str">
        <x:v>2.3</x:v>
      </x:c>
      <x:c r="D52" s="21" t="str">
        <x:v>User Invitations</x:v>
      </x:c>
      <x:c r="E52" s="17" t="n">
        <x:v>3</x:v>
      </x:c>
      <x:c r="F52" s="21" t="str">
        <x:v>Add email dispatch placeholder or local notification mechanism.</x:v>
      </x:c>
      <x:c r="G52" s="17" t="str">
        <x:v>Software implementation</x:v>
      </x:c>
      <x:c r="H52" s="17" t="str">
        <x:v>Planned</x:v>
      </x:c>
      <x:c r="I52" s="18" t="str">
        <x:v>Completed</x:v>
      </x:c>
      <x:c r="J52" s="17" t="str">
        <x:f>IF(OR(I52="Completed",I52="Not Applicable"),"No","Yes")</x:f>
        <x:v>No</x:v>
      </x:c>
      <x:c r="K52" s="17" t="str">
        <x:v>2.3 task 2</x:v>
      </x:c>
      <x:c r="L52" s="21" t="str">
        <x:v>Story-labeled commit bc1e2aa5 contains delivery and focused test/test-result files: implement Story 2.3: User Invitations and Story 2.4: Role-Based Permissions</x:v>
      </x:c>
      <x:c r="M52" s="17" t="str">
        <x:v>Implementation commit + focused test artifacts</x:v>
      </x:c>
      <x:c r="N52" s="21" t="str">
        <x:v>git commit bc1e2aa5f6ef162225f1e60eee93f7d7117c11b7; /Users/devups/Development/CodexProjects/Gccs/docs/development-story-test-cases.md</x:v>
      </x:c>
      <x:c r="O52" s="19" t="n">
        <x:v>46186.96623842593</x:v>
      </x:c>
      <x:c r="P52" s="21" t="str">
        <x:v>5 acceptance criteria; 4 TC references; implementation=yes; smoke=yes; automated=no; Story-level regression template</x:v>
      </x:c>
      <x:c r="Q52" s="21" t="str"/>
      <x:c r="R52" s="21" t="str">
        <x:v>Retain traceability; rerun focused verification if the affected boundary changes.</x:v>
      </x:c>
      <x:c r="S52" s="18" t="str"/>
      <x:c r="T52" s="20"/>
      <x:c r="U52" s="21" t="str">
        <x:v>Completion is based on immutable repository evidence; tests were not rerun and current working-tree drift was not re-certified in this reporting-only task.</x:v>
      </x:c>
      <x:c r="V52" s="1"/>
    </x:row>
    <x:row r="53" ht="46" customHeight="1">
      <x:c r="A53" s="17" t="n">
        <x:v>49</x:v>
      </x:c>
      <x:c r="B53" s="17" t="str">
        <x:v>Phase 1</x:v>
      </x:c>
      <x:c r="C53" s="17" t="str">
        <x:v>2.3</x:v>
      </x:c>
      <x:c r="D53" s="21" t="str">
        <x:v>User Invitations</x:v>
      </x:c>
      <x:c r="E53" s="17" t="n">
        <x:v>4</x:v>
      </x:c>
      <x:c r="F53" s="21" t="str">
        <x:v>Add invitation UI states.</x:v>
      </x:c>
      <x:c r="G53" s="17" t="str">
        <x:v>Software implementation</x:v>
      </x:c>
      <x:c r="H53" s="17" t="str">
        <x:v>Planned</x:v>
      </x:c>
      <x:c r="I53" s="18" t="str">
        <x:v>Completed</x:v>
      </x:c>
      <x:c r="J53" s="17" t="str">
        <x:f>IF(OR(I53="Completed",I53="Not Applicable"),"No","Yes")</x:f>
        <x:v>No</x:v>
      </x:c>
      <x:c r="K53" s="17" t="str">
        <x:v>2.3 task 3</x:v>
      </x:c>
      <x:c r="L53" s="21" t="str">
        <x:v>Story-labeled commit bc1e2aa5 contains delivery and focused test/test-result files: implement Story 2.3: User Invitations and Story 2.4: Role-Based Permissions</x:v>
      </x:c>
      <x:c r="M53" s="17" t="str">
        <x:v>Implementation commit + focused test artifacts</x:v>
      </x:c>
      <x:c r="N53" s="21" t="str">
        <x:v>git commit bc1e2aa5f6ef162225f1e60eee93f7d7117c11b7; /Users/devups/Development/CodexProjects/Gccs/docs/development-story-test-cases.md</x:v>
      </x:c>
      <x:c r="O53" s="19" t="n">
        <x:v>46186.96623842593</x:v>
      </x:c>
      <x:c r="P53" s="21" t="str">
        <x:v>5 acceptance criteria; 4 TC references; implementation=yes; smoke=yes; automated=no; Story-level regression template</x:v>
      </x:c>
      <x:c r="Q53" s="21" t="str"/>
      <x:c r="R53" s="21" t="str">
        <x:v>Retain traceability; rerun focused verification if the affected boundary changes.</x:v>
      </x:c>
      <x:c r="S53" s="18" t="str"/>
      <x:c r="T53" s="20"/>
      <x:c r="U53" s="21" t="str">
        <x:v>Completion is based on immutable repository evidence; tests were not rerun and current working-tree drift was not re-certified in this reporting-only task.</x:v>
      </x:c>
      <x:c r="V53" s="1"/>
    </x:row>
    <x:row r="54" ht="46" customHeight="1">
      <x:c r="A54" s="17" t="n">
        <x:v>50</x:v>
      </x:c>
      <x:c r="B54" s="17" t="str">
        <x:v>Phase 1</x:v>
      </x:c>
      <x:c r="C54" s="17" t="str">
        <x:v>2.4</x:v>
      </x:c>
      <x:c r="D54" s="21" t="str">
        <x:v>Role-Based Permissions</x:v>
      </x:c>
      <x:c r="E54" s="17" t="n">
        <x:v>1</x:v>
      </x:c>
      <x:c r="F54" s="21" t="str">
        <x:v>Define owner, admin, compliance manager, contributor, auditor, and advisor roles.</x:v>
      </x:c>
      <x:c r="G54" s="17" t="str">
        <x:v>Software implementation</x:v>
      </x:c>
      <x:c r="H54" s="17" t="str">
        <x:v>Planned</x:v>
      </x:c>
      <x:c r="I54" s="18" t="str">
        <x:v>Completed</x:v>
      </x:c>
      <x:c r="J54" s="17" t="str">
        <x:f>IF(OR(I54="Completed",I54="Not Applicable"),"No","Yes")</x:f>
        <x:v>No</x:v>
      </x:c>
      <x:c r="K54" s="17" t="str">
        <x:v>2.3</x:v>
      </x:c>
      <x:c r="L54" s="21" t="str">
        <x:v>Story-labeled commit bc1e2aa5 contains delivery and focused test/test-result files: implement Story 2.3: User Invitations and Story 2.4: Role-Based Permissions</x:v>
      </x:c>
      <x:c r="M54" s="17" t="str">
        <x:v>Implementation commit + focused test artifacts</x:v>
      </x:c>
      <x:c r="N54" s="21" t="str">
        <x:v>git commit bc1e2aa5f6ef162225f1e60eee93f7d7117c11b7; /Users/devups/Development/CodexProjects/Gccs/docs/development-story-test-cases.md</x:v>
      </x:c>
      <x:c r="O54" s="19" t="n">
        <x:v>46186.96623842593</x:v>
      </x:c>
      <x:c r="P54" s="21" t="str">
        <x:v>5 acceptance criteria; 4 TC references; implementation=yes; smoke=yes; automated=no; Story-level regression template</x:v>
      </x:c>
      <x:c r="Q54" s="21" t="str"/>
      <x:c r="R54" s="21" t="str">
        <x:v>Retain traceability; rerun focused verification if the affected boundary changes.</x:v>
      </x:c>
      <x:c r="S54" s="18" t="str"/>
      <x:c r="T54" s="20"/>
      <x:c r="U54" s="21" t="str">
        <x:v>Completion is based on immutable repository evidence; tests were not rerun and current working-tree drift was not re-certified in this reporting-only task.</x:v>
      </x:c>
      <x:c r="V54" s="1"/>
    </x:row>
    <x:row r="55" ht="46" customHeight="1">
      <x:c r="A55" s="17" t="n">
        <x:v>51</x:v>
      </x:c>
      <x:c r="B55" s="17" t="str">
        <x:v>Phase 1</x:v>
      </x:c>
      <x:c r="C55" s="17" t="str">
        <x:v>2.4</x:v>
      </x:c>
      <x:c r="D55" s="21" t="str">
        <x:v>Role-Based Permissions</x:v>
      </x:c>
      <x:c r="E55" s="17" t="n">
        <x:v>2</x:v>
      </x:c>
      <x:c r="F55" s="21" t="str">
        <x:v>Map each role to permissions for profile, contracts, obligations, tasks, evidence, reports, subcontractors, and admin actions.</x:v>
      </x:c>
      <x:c r="G55" s="17" t="str">
        <x:v>Software implementation</x:v>
      </x:c>
      <x:c r="H55" s="17" t="str">
        <x:v>Planned</x:v>
      </x:c>
      <x:c r="I55" s="18" t="str">
        <x:v>Completed</x:v>
      </x:c>
      <x:c r="J55" s="17" t="str">
        <x:f>IF(OR(I55="Completed",I55="Not Applicable"),"No","Yes")</x:f>
        <x:v>No</x:v>
      </x:c>
      <x:c r="K55" s="17" t="str">
        <x:v>2.4 task 1</x:v>
      </x:c>
      <x:c r="L55" s="21" t="str">
        <x:v>Story-labeled commit bc1e2aa5 contains delivery and focused test/test-result files: implement Story 2.3: User Invitations and Story 2.4: Role-Based Permissions</x:v>
      </x:c>
      <x:c r="M55" s="17" t="str">
        <x:v>Implementation commit + focused test artifacts</x:v>
      </x:c>
      <x:c r="N55" s="21" t="str">
        <x:v>git commit bc1e2aa5f6ef162225f1e60eee93f7d7117c11b7; /Users/devups/Development/CodexProjects/Gccs/docs/development-story-test-cases.md</x:v>
      </x:c>
      <x:c r="O55" s="19" t="n">
        <x:v>46186.96623842593</x:v>
      </x:c>
      <x:c r="P55" s="21" t="str">
        <x:v>5 acceptance criteria; 4 TC references; implementation=yes; smoke=yes; automated=no; Story-level regression template</x:v>
      </x:c>
      <x:c r="Q55" s="21" t="str"/>
      <x:c r="R55" s="21" t="str">
        <x:v>Retain traceability; rerun focused verification if the affected boundary changes.</x:v>
      </x:c>
      <x:c r="S55" s="18" t="str"/>
      <x:c r="T55" s="20"/>
      <x:c r="U55" s="21" t="str">
        <x:v>Completion is based on immutable repository evidence; tests were not rerun and current working-tree drift was not re-certified in this reporting-only task.</x:v>
      </x:c>
      <x:c r="V55" s="1"/>
    </x:row>
    <x:row r="56" ht="46" customHeight="1">
      <x:c r="A56" s="17" t="n">
        <x:v>52</x:v>
      </x:c>
      <x:c r="B56" s="17" t="str">
        <x:v>Phase 1</x:v>
      </x:c>
      <x:c r="C56" s="17" t="str">
        <x:v>2.4</x:v>
      </x:c>
      <x:c r="D56" s="21" t="str">
        <x:v>Role-Based Permissions</x:v>
      </x:c>
      <x:c r="E56" s="17" t="n">
        <x:v>3</x:v>
      </x:c>
      <x:c r="F56" s="21" t="str">
        <x:v>Enforce authorization server-side.</x:v>
      </x:c>
      <x:c r="G56" s="17" t="str">
        <x:v>Software implementation</x:v>
      </x:c>
      <x:c r="H56" s="17" t="str">
        <x:v>Planned</x:v>
      </x:c>
      <x:c r="I56" s="18" t="str">
        <x:v>Completed</x:v>
      </x:c>
      <x:c r="J56" s="17" t="str">
        <x:f>IF(OR(I56="Completed",I56="Not Applicable"),"No","Yes")</x:f>
        <x:v>No</x:v>
      </x:c>
      <x:c r="K56" s="17" t="str">
        <x:v>2.4 task 2</x:v>
      </x:c>
      <x:c r="L56" s="21" t="str">
        <x:v>Story-labeled commit bc1e2aa5 contains delivery and focused test/test-result files: implement Story 2.3: User Invitations and Story 2.4: Role-Based Permissions</x:v>
      </x:c>
      <x:c r="M56" s="17" t="str">
        <x:v>Implementation commit + focused test artifacts</x:v>
      </x:c>
      <x:c r="N56" s="21" t="str">
        <x:v>git commit bc1e2aa5f6ef162225f1e60eee93f7d7117c11b7; /Users/devups/Development/CodexProjects/Gccs/docs/development-story-test-cases.md</x:v>
      </x:c>
      <x:c r="O56" s="19" t="n">
        <x:v>46186.96623842593</x:v>
      </x:c>
      <x:c r="P56" s="21" t="str">
        <x:v>5 acceptance criteria; 4 TC references; implementation=yes; smoke=yes; automated=no; Story-level regression template</x:v>
      </x:c>
      <x:c r="Q56" s="21" t="str"/>
      <x:c r="R56" s="21" t="str">
        <x:v>Retain traceability; rerun focused verification if the affected boundary changes.</x:v>
      </x:c>
      <x:c r="S56" s="18" t="str"/>
      <x:c r="T56" s="20"/>
      <x:c r="U56" s="21" t="str">
        <x:v>Completion is based on immutable repository evidence; tests were not rerun and current working-tree drift was not re-certified in this reporting-only task.</x:v>
      </x:c>
      <x:c r="V56" s="1"/>
    </x:row>
    <x:row r="57" ht="46" customHeight="1">
      <x:c r="A57" s="17" t="n">
        <x:v>53</x:v>
      </x:c>
      <x:c r="B57" s="17" t="str">
        <x:v>Phase 1</x:v>
      </x:c>
      <x:c r="C57" s="17" t="str">
        <x:v>2.4</x:v>
      </x:c>
      <x:c r="D57" s="21" t="str">
        <x:v>Role-Based Permissions</x:v>
      </x:c>
      <x:c r="E57" s="17" t="n">
        <x:v>4</x:v>
      </x:c>
      <x:c r="F57" s="21" t="str">
        <x:v>Hide restricted actions in the UI.</x:v>
      </x:c>
      <x:c r="G57" s="17" t="str">
        <x:v>Software implementation</x:v>
      </x:c>
      <x:c r="H57" s="17" t="str">
        <x:v>Planned</x:v>
      </x:c>
      <x:c r="I57" s="18" t="str">
        <x:v>Completed</x:v>
      </x:c>
      <x:c r="J57" s="17" t="str">
        <x:f>IF(OR(I57="Completed",I57="Not Applicable"),"No","Yes")</x:f>
        <x:v>No</x:v>
      </x:c>
      <x:c r="K57" s="17" t="str">
        <x:v>2.4 task 3</x:v>
      </x:c>
      <x:c r="L57" s="21" t="str">
        <x:v>Story-labeled commit bc1e2aa5 contains delivery and focused test/test-result files: implement Story 2.3: User Invitations and Story 2.4: Role-Based Permissions</x:v>
      </x:c>
      <x:c r="M57" s="17" t="str">
        <x:v>Implementation commit + focused test artifacts</x:v>
      </x:c>
      <x:c r="N57" s="21" t="str">
        <x:v>git commit bc1e2aa5f6ef162225f1e60eee93f7d7117c11b7; /Users/devups/Development/CodexProjects/Gccs/docs/development-story-test-cases.md</x:v>
      </x:c>
      <x:c r="O57" s="19" t="n">
        <x:v>46186.96623842593</x:v>
      </x:c>
      <x:c r="P57" s="21" t="str">
        <x:v>5 acceptance criteria; 4 TC references; implementation=yes; smoke=yes; automated=no; Story-level regression template</x:v>
      </x:c>
      <x:c r="Q57" s="21" t="str"/>
      <x:c r="R57" s="21" t="str">
        <x:v>Retain traceability; rerun focused verification if the affected boundary changes.</x:v>
      </x:c>
      <x:c r="S57" s="18" t="str"/>
      <x:c r="T57" s="20"/>
      <x:c r="U57" s="21" t="str">
        <x:v>Completion is based on immutable repository evidence; tests were not rerun and current working-tree drift was not re-certified in this reporting-only task.</x:v>
      </x:c>
      <x:c r="V57" s="1"/>
    </x:row>
    <x:row r="58" ht="46" customHeight="1">
      <x:c r="A58" s="17" t="n">
        <x:v>54</x:v>
      </x:c>
      <x:c r="B58" s="17" t="str">
        <x:v>Phase 1</x:v>
      </x:c>
      <x:c r="C58" s="17" t="str">
        <x:v>2.4</x:v>
      </x:c>
      <x:c r="D58" s="21" t="str">
        <x:v>Role-Based Permissions</x:v>
      </x:c>
      <x:c r="E58" s="17" t="n">
        <x:v>5</x:v>
      </x:c>
      <x:c r="F58" s="21" t="str">
        <x:v>Add permission tests.</x:v>
      </x:c>
      <x:c r="G58" s="17" t="str">
        <x:v>Software implementation</x:v>
      </x:c>
      <x:c r="H58" s="17" t="str">
        <x:v>Planned</x:v>
      </x:c>
      <x:c r="I58" s="18" t="str">
        <x:v>Completed</x:v>
      </x:c>
      <x:c r="J58" s="17" t="str">
        <x:f>IF(OR(I58="Completed",I58="Not Applicable"),"No","Yes")</x:f>
        <x:v>No</x:v>
      </x:c>
      <x:c r="K58" s="17" t="str">
        <x:v>2.4 task 4</x:v>
      </x:c>
      <x:c r="L58" s="21" t="str">
        <x:v>Story-labeled commit bc1e2aa5 contains delivery and focused test/test-result files: implement Story 2.3: User Invitations and Story 2.4: Role-Based Permissions</x:v>
      </x:c>
      <x:c r="M58" s="17" t="str">
        <x:v>Implementation commit + focused test artifacts</x:v>
      </x:c>
      <x:c r="N58" s="21" t="str">
        <x:v>git commit bc1e2aa5f6ef162225f1e60eee93f7d7117c11b7; /Users/devups/Development/CodexProjects/Gccs/docs/development-story-test-cases.md</x:v>
      </x:c>
      <x:c r="O58" s="19" t="n">
        <x:v>46186.96623842593</x:v>
      </x:c>
      <x:c r="P58" s="21" t="str">
        <x:v>5 acceptance criteria; 4 TC references; implementation=yes; smoke=yes; automated=no; Story-level regression template</x:v>
      </x:c>
      <x:c r="Q58" s="21" t="str"/>
      <x:c r="R58" s="21" t="str">
        <x:v>Retain traceability; rerun focused verification if the affected boundary changes.</x:v>
      </x:c>
      <x:c r="S58" s="18" t="str"/>
      <x:c r="T58" s="20"/>
      <x:c r="U58" s="21" t="str">
        <x:v>Completion is based on immutable repository evidence; tests were not rerun and current working-tree drift was not re-certified in this reporting-only task.</x:v>
      </x:c>
      <x:c r="V58" s="1"/>
    </x:row>
    <x:row r="59" ht="46" customHeight="1">
      <x:c r="A59" s="17" t="n">
        <x:v>55</x:v>
      </x:c>
      <x:c r="B59" s="17" t="str">
        <x:v>Phase 1</x:v>
      </x:c>
      <x:c r="C59" s="17" t="str">
        <x:v>3.1</x:v>
      </x:c>
      <x:c r="D59" s="21" t="str">
        <x:v>Protected API Access</x:v>
      </x:c>
      <x:c r="E59" s="17" t="n">
        <x:v>1</x:v>
      </x:c>
      <x:c r="F59" s="21" t="str">
        <x:v>Add authentication middleware or development auth shim.</x:v>
      </x:c>
      <x:c r="G59" s="17" t="str">
        <x:v>Software implementation</x:v>
      </x:c>
      <x:c r="H59" s="17" t="str">
        <x:v>Planned</x:v>
      </x:c>
      <x:c r="I59" s="18" t="str">
        <x:v>Not Verified</x:v>
      </x:c>
      <x:c r="J59" s="17" t="str">
        <x:f>IF(OR(I59="Completed",I59="Not Applicable"),"No","Yes")</x:f>
        <x:v>Yes</x:v>
      </x:c>
      <x:c r="K59" s="17" t="str">
        <x:v>2.4</x:v>
      </x:c>
      <x:c r="L59" s="21" t="str"/>
      <x:c r="M59" s="17" t="str">
        <x:v>Insufficient evidence</x:v>
      </x:c>
      <x:c r="N59" s="21" t="str">
        <x:v>/Users/devups/Development/CodexProjects/Gccs/apps/api/Program.cs; /Users/devups/Development/CodexProjects/Gccs/docs/development-story-prompts.md</x:v>
      </x:c>
      <x:c r="O59" s="19"/>
      <x:c r="P59" s="21" t="str">
        <x:v>4 acceptance criteria; 4 TC references; implementation=yes; smoke=yes; automated=no; Story-level regression template</x:v>
      </x:c>
      <x:c r="Q59" s="21" t="str"/>
      <x:c r="R59" s="21" t="str">
        <x:v>Run Story 3.1 smoke, automated, and regression prompts; attach passing results or fix gaps before changing status.</x:v>
      </x:c>
      <x:c r="S59" s="18" t="str"/>
      <x:c r="T59" s="20"/>
      <x:c r="U59" s="21" t="str">
        <x:v>Current behavior and focused test results were not rerun for this reporting-only review.</x:v>
      </x:c>
      <x:c r="V59" s="1"/>
    </x:row>
    <x:row r="60" ht="46" customHeight="1">
      <x:c r="A60" s="17" t="n">
        <x:v>56</x:v>
      </x:c>
      <x:c r="B60" s="17" t="str">
        <x:v>Phase 1</x:v>
      </x:c>
      <x:c r="C60" s="17" t="str">
        <x:v>3.1</x:v>
      </x:c>
      <x:c r="D60" s="21" t="str">
        <x:v>Protected API Access</x:v>
      </x:c>
      <x:c r="E60" s="17" t="n">
        <x:v>2</x:v>
      </x:c>
      <x:c r="F60" s="21" t="str">
        <x:v>Resolve current tenant and current user for each request.</x:v>
      </x:c>
      <x:c r="G60" s="17" t="str">
        <x:v>Software implementation</x:v>
      </x:c>
      <x:c r="H60" s="17" t="str">
        <x:v>Planned</x:v>
      </x:c>
      <x:c r="I60" s="18" t="str">
        <x:v>Not Verified</x:v>
      </x:c>
      <x:c r="J60" s="17" t="str">
        <x:f>IF(OR(I60="Completed",I60="Not Applicable"),"No","Yes")</x:f>
        <x:v>Yes</x:v>
      </x:c>
      <x:c r="K60" s="17" t="str">
        <x:v>3.1 task 1</x:v>
      </x:c>
      <x:c r="L60" s="21" t="str"/>
      <x:c r="M60" s="17" t="str">
        <x:v>Insufficient evidence</x:v>
      </x:c>
      <x:c r="N60" s="21" t="str">
        <x:v>/Users/devups/Development/CodexProjects/Gccs/apps/api/Program.cs; /Users/devups/Development/CodexProjects/Gccs/docs/development-story-prompts.md</x:v>
      </x:c>
      <x:c r="O60" s="19"/>
      <x:c r="P60" s="21" t="str">
        <x:v>4 acceptance criteria; 4 TC references; implementation=yes; smoke=yes; automated=no; Story-level regression template</x:v>
      </x:c>
      <x:c r="Q60" s="21" t="str"/>
      <x:c r="R60" s="21" t="str">
        <x:v>Run Story 3.1 smoke, automated, and regression prompts; attach passing results or fix gaps before changing status.</x:v>
      </x:c>
      <x:c r="S60" s="18" t="str"/>
      <x:c r="T60" s="20"/>
      <x:c r="U60" s="21" t="str">
        <x:v>Current behavior and focused test results were not rerun for this reporting-only review.</x:v>
      </x:c>
      <x:c r="V60" s="1"/>
    </x:row>
    <x:row r="61" ht="46" customHeight="1">
      <x:c r="A61" s="17" t="n">
        <x:v>57</x:v>
      </x:c>
      <x:c r="B61" s="17" t="str">
        <x:v>Phase 1</x:v>
      </x:c>
      <x:c r="C61" s="17" t="str">
        <x:v>3.1</x:v>
      </x:c>
      <x:c r="D61" s="21" t="str">
        <x:v>Protected API Access</x:v>
      </x:c>
      <x:c r="E61" s="17" t="n">
        <x:v>3</x:v>
      </x:c>
      <x:c r="F61" s="21" t="str">
        <x:v>Add standard API error responses.</x:v>
      </x:c>
      <x:c r="G61" s="17" t="str">
        <x:v>Software implementation</x:v>
      </x:c>
      <x:c r="H61" s="17" t="str">
        <x:v>Planned</x:v>
      </x:c>
      <x:c r="I61" s="18" t="str">
        <x:v>Not Verified</x:v>
      </x:c>
      <x:c r="J61" s="17" t="str">
        <x:f>IF(OR(I61="Completed",I61="Not Applicable"),"No","Yes")</x:f>
        <x:v>Yes</x:v>
      </x:c>
      <x:c r="K61" s="17" t="str">
        <x:v>3.1 task 2</x:v>
      </x:c>
      <x:c r="L61" s="21" t="str"/>
      <x:c r="M61" s="17" t="str">
        <x:v>Insufficient evidence</x:v>
      </x:c>
      <x:c r="N61" s="21" t="str">
        <x:v>/Users/devups/Development/CodexProjects/Gccs/apps/api/Program.cs; /Users/devups/Development/CodexProjects/Gccs/docs/development-story-prompts.md</x:v>
      </x:c>
      <x:c r="O61" s="19"/>
      <x:c r="P61" s="21" t="str">
        <x:v>4 acceptance criteria; 4 TC references; implementation=yes; smoke=yes; automated=no; Story-level regression template</x:v>
      </x:c>
      <x:c r="Q61" s="21" t="str"/>
      <x:c r="R61" s="21" t="str">
        <x:v>Run Story 3.1 smoke, automated, and regression prompts; attach passing results or fix gaps before changing status.</x:v>
      </x:c>
      <x:c r="S61" s="18" t="str"/>
      <x:c r="T61" s="20"/>
      <x:c r="U61" s="21" t="str">
        <x:v>Current behavior and focused test results were not rerun for this reporting-only review.</x:v>
      </x:c>
      <x:c r="V61" s="1"/>
    </x:row>
    <x:row r="62" ht="46" customHeight="1">
      <x:c r="A62" s="17" t="n">
        <x:v>58</x:v>
      </x:c>
      <x:c r="B62" s="17" t="str">
        <x:v>Phase 1</x:v>
      </x:c>
      <x:c r="C62" s="17" t="str">
        <x:v>3.1</x:v>
      </x:c>
      <x:c r="D62" s="21" t="str">
        <x:v>Protected API Access</x:v>
      </x:c>
      <x:c r="E62" s="17" t="n">
        <x:v>4</x:v>
      </x:c>
      <x:c r="F62" s="21" t="str">
        <x:v>Add request correlation IDs.</x:v>
      </x:c>
      <x:c r="G62" s="17" t="str">
        <x:v>Software implementation</x:v>
      </x:c>
      <x:c r="H62" s="17" t="str">
        <x:v>Planned</x:v>
      </x:c>
      <x:c r="I62" s="18" t="str">
        <x:v>Not Verified</x:v>
      </x:c>
      <x:c r="J62" s="17" t="str">
        <x:f>IF(OR(I62="Completed",I62="Not Applicable"),"No","Yes")</x:f>
        <x:v>Yes</x:v>
      </x:c>
      <x:c r="K62" s="17" t="str">
        <x:v>3.1 task 3</x:v>
      </x:c>
      <x:c r="L62" s="21" t="str"/>
      <x:c r="M62" s="17" t="str">
        <x:v>Insufficient evidence</x:v>
      </x:c>
      <x:c r="N62" s="21" t="str">
        <x:v>/Users/devups/Development/CodexProjects/Gccs/apps/api/Program.cs; /Users/devups/Development/CodexProjects/Gccs/docs/development-story-prompts.md</x:v>
      </x:c>
      <x:c r="O62" s="19"/>
      <x:c r="P62" s="21" t="str">
        <x:v>4 acceptance criteria; 4 TC references; implementation=yes; smoke=yes; automated=no; Story-level regression template</x:v>
      </x:c>
      <x:c r="Q62" s="21" t="str"/>
      <x:c r="R62" s="21" t="str">
        <x:v>Run Story 3.1 smoke, automated, and regression prompts; attach passing results or fix gaps before changing status.</x:v>
      </x:c>
      <x:c r="S62" s="18" t="str"/>
      <x:c r="T62" s="20"/>
      <x:c r="U62" s="21" t="str">
        <x:v>Current behavior and focused test results were not rerun for this reporting-only review.</x:v>
      </x:c>
      <x:c r="V62" s="1"/>
    </x:row>
    <x:row r="63" ht="46" customHeight="1">
      <x:c r="A63" s="17" t="n">
        <x:v>59</x:v>
      </x:c>
      <x:c r="B63" s="17" t="str">
        <x:v>Phase 1</x:v>
      </x:c>
      <x:c r="C63" s="17" t="str">
        <x:v>3.2</x:v>
      </x:c>
      <x:c r="D63" s="21" t="str">
        <x:v>SaaS Navigation Shell</x:v>
      </x:c>
      <x:c r="E63" s="17" t="n">
        <x:v>1</x:v>
      </x:c>
      <x:c r="F63" s="21" t="str">
        <x:v>Build authenticated layout with primary navigation.</x:v>
      </x:c>
      <x:c r="G63" s="17" t="str">
        <x:v>Software implementation</x:v>
      </x:c>
      <x:c r="H63" s="17" t="str">
        <x:v>Planned</x:v>
      </x:c>
      <x:c r="I63" s="18" t="str">
        <x:v>Completed</x:v>
      </x:c>
      <x:c r="J63" s="17" t="str">
        <x:f>IF(OR(I63="Completed",I63="Not Applicable"),"No","Yes")</x:f>
        <x:v>No</x:v>
      </x:c>
      <x:c r="K63" s="17" t="str">
        <x:v>3.1</x:v>
      </x:c>
      <x:c r="L63" s="21" t="str">
        <x:v>Story-labeled commit 8d87aab8 contains delivery and focused test/test-result files: feat: implement story 3.2 saas navigation shell</x:v>
      </x:c>
      <x:c r="M63" s="17" t="str">
        <x:v>Implementation commit + focused test artifacts</x:v>
      </x:c>
      <x:c r="N63" s="21" t="str">
        <x:v>git commit 8d87aab866f6a87650ab9d9f92357a383e8f9339; /Users/devups/Development/CodexProjects/Gccs/docs/development-story-test-cases.md</x:v>
      </x:c>
      <x:c r="O63" s="19" t="n">
        <x:v>46188.01664351852</x:v>
      </x:c>
      <x:c r="P63" s="21" t="str">
        <x:v>4 acceptance criteria; 4 TC references; implementation=yes; smoke=yes; automated=no; Story-level regression template</x:v>
      </x:c>
      <x:c r="Q63" s="21" t="str"/>
      <x:c r="R63" s="21" t="str">
        <x:v>Retain traceability; rerun focused verification if the affected boundary changes.</x:v>
      </x:c>
      <x:c r="S63" s="18" t="str"/>
      <x:c r="T63" s="20"/>
      <x:c r="U63" s="21" t="str">
        <x:v>Completion is based on immutable repository evidence; tests were not rerun and current working-tree drift was not re-certified in this reporting-only task.</x:v>
      </x:c>
      <x:c r="V63" s="1"/>
    </x:row>
    <x:row r="64" ht="46" customHeight="1">
      <x:c r="A64" s="17" t="n">
        <x:v>60</x:v>
      </x:c>
      <x:c r="B64" s="17" t="str">
        <x:v>Phase 1</x:v>
      </x:c>
      <x:c r="C64" s="17" t="str">
        <x:v>3.2</x:v>
      </x:c>
      <x:c r="D64" s="21" t="str">
        <x:v>SaaS Navigation Shell</x:v>
      </x:c>
      <x:c r="E64" s="17" t="n">
        <x:v>2</x:v>
      </x:c>
      <x:c r="F64" s="21" t="str">
        <x:v>Add route placeholders for dashboard, profile, contracts, obligations, calendar, evidence, CMMC, subcontractors, reports, and settings.</x:v>
      </x:c>
      <x:c r="G64" s="17" t="str">
        <x:v>Software implementation</x:v>
      </x:c>
      <x:c r="H64" s="17" t="str">
        <x:v>Planned</x:v>
      </x:c>
      <x:c r="I64" s="18" t="str">
        <x:v>Completed</x:v>
      </x:c>
      <x:c r="J64" s="17" t="str">
        <x:f>IF(OR(I64="Completed",I64="Not Applicable"),"No","Yes")</x:f>
        <x:v>No</x:v>
      </x:c>
      <x:c r="K64" s="17" t="str">
        <x:v>3.2 task 1</x:v>
      </x:c>
      <x:c r="L64" s="21" t="str">
        <x:v>Story-labeled commit 8d87aab8 contains delivery and focused test/test-result files: feat: implement story 3.2 saas navigation shell</x:v>
      </x:c>
      <x:c r="M64" s="17" t="str">
        <x:v>Implementation commit + focused test artifacts</x:v>
      </x:c>
      <x:c r="N64" s="21" t="str">
        <x:v>git commit 8d87aab866f6a87650ab9d9f92357a383e8f9339; /Users/devups/Development/CodexProjects/Gccs/docs/development-story-test-cases.md</x:v>
      </x:c>
      <x:c r="O64" s="19" t="n">
        <x:v>46188.01664351852</x:v>
      </x:c>
      <x:c r="P64" s="21" t="str">
        <x:v>4 acceptance criteria; 4 TC references; implementation=yes; smoke=yes; automated=no; Story-level regression template</x:v>
      </x:c>
      <x:c r="Q64" s="21" t="str"/>
      <x:c r="R64" s="21" t="str">
        <x:v>Retain traceability; rerun focused verification if the affected boundary changes.</x:v>
      </x:c>
      <x:c r="S64" s="18" t="str"/>
      <x:c r="T64" s="20"/>
      <x:c r="U64" s="21" t="str">
        <x:v>Completion is based on immutable repository evidence; tests were not rerun and current working-tree drift was not re-certified in this reporting-only task.</x:v>
      </x:c>
      <x:c r="V64" s="1"/>
    </x:row>
    <x:row r="65" ht="46" customHeight="1">
      <x:c r="A65" s="17" t="n">
        <x:v>61</x:v>
      </x:c>
      <x:c r="B65" s="17" t="str">
        <x:v>Phase 1</x:v>
      </x:c>
      <x:c r="C65" s="17" t="str">
        <x:v>3.2</x:v>
      </x:c>
      <x:c r="D65" s="21" t="str">
        <x:v>SaaS Navigation Shell</x:v>
      </x:c>
      <x:c r="E65" s="17" t="n">
        <x:v>3</x:v>
      </x:c>
      <x:c r="F65" s="21" t="str">
        <x:v>Add loading, empty, and error states.</x:v>
      </x:c>
      <x:c r="G65" s="17" t="str">
        <x:v>Software implementation</x:v>
      </x:c>
      <x:c r="H65" s="17" t="str">
        <x:v>Planned</x:v>
      </x:c>
      <x:c r="I65" s="18" t="str">
        <x:v>Completed</x:v>
      </x:c>
      <x:c r="J65" s="17" t="str">
        <x:f>IF(OR(I65="Completed",I65="Not Applicable"),"No","Yes")</x:f>
        <x:v>No</x:v>
      </x:c>
      <x:c r="K65" s="17" t="str">
        <x:v>3.2 task 2</x:v>
      </x:c>
      <x:c r="L65" s="21" t="str">
        <x:v>Story-labeled commit 8d87aab8 contains delivery and focused test/test-result files: feat: implement story 3.2 saas navigation shell</x:v>
      </x:c>
      <x:c r="M65" s="17" t="str">
        <x:v>Implementation commit + focused test artifacts</x:v>
      </x:c>
      <x:c r="N65" s="21" t="str">
        <x:v>git commit 8d87aab866f6a87650ab9d9f92357a383e8f9339; /Users/devups/Development/CodexProjects/Gccs/docs/development-story-test-cases.md</x:v>
      </x:c>
      <x:c r="O65" s="19" t="n">
        <x:v>46188.01664351852</x:v>
      </x:c>
      <x:c r="P65" s="21" t="str">
        <x:v>4 acceptance criteria; 4 TC references; implementation=yes; smoke=yes; automated=no; Story-level regression template</x:v>
      </x:c>
      <x:c r="Q65" s="21" t="str"/>
      <x:c r="R65" s="21" t="str">
        <x:v>Retain traceability; rerun focused verification if the affected boundary changes.</x:v>
      </x:c>
      <x:c r="S65" s="18" t="str"/>
      <x:c r="T65" s="20"/>
      <x:c r="U65" s="21" t="str">
        <x:v>Completion is based on immutable repository evidence; tests were not rerun and current working-tree drift was not re-certified in this reporting-only task.</x:v>
      </x:c>
      <x:c r="V65" s="1"/>
    </x:row>
    <x:row r="66" ht="46" customHeight="1">
      <x:c r="A66" s="17" t="n">
        <x:v>62</x:v>
      </x:c>
      <x:c r="B66" s="17" t="str">
        <x:v>Phase 1</x:v>
      </x:c>
      <x:c r="C66" s="17" t="str">
        <x:v>3.2</x:v>
      </x:c>
      <x:c r="D66" s="21" t="str">
        <x:v>SaaS Navigation Shell</x:v>
      </x:c>
      <x:c r="E66" s="17" t="n">
        <x:v>4</x:v>
      </x:c>
      <x:c r="F66" s="21" t="str">
        <x:v>Add role-aware navigation visibility.</x:v>
      </x:c>
      <x:c r="G66" s="17" t="str">
        <x:v>Software implementation</x:v>
      </x:c>
      <x:c r="H66" s="17" t="str">
        <x:v>Planned</x:v>
      </x:c>
      <x:c r="I66" s="18" t="str">
        <x:v>Completed</x:v>
      </x:c>
      <x:c r="J66" s="17" t="str">
        <x:f>IF(OR(I66="Completed",I66="Not Applicable"),"No","Yes")</x:f>
        <x:v>No</x:v>
      </x:c>
      <x:c r="K66" s="17" t="str">
        <x:v>3.2 task 3</x:v>
      </x:c>
      <x:c r="L66" s="21" t="str">
        <x:v>Story-labeled commit 8d87aab8 contains delivery and focused test/test-result files: feat: implement story 3.2 saas navigation shell</x:v>
      </x:c>
      <x:c r="M66" s="17" t="str">
        <x:v>Implementation commit + focused test artifacts</x:v>
      </x:c>
      <x:c r="N66" s="21" t="str">
        <x:v>git commit 8d87aab866f6a87650ab9d9f92357a383e8f9339; /Users/devups/Development/CodexProjects/Gccs/docs/development-story-test-cases.md</x:v>
      </x:c>
      <x:c r="O66" s="19" t="n">
        <x:v>46188.01664351852</x:v>
      </x:c>
      <x:c r="P66" s="21" t="str">
        <x:v>4 acceptance criteria; 4 TC references; implementation=yes; smoke=yes; automated=no; Story-level regression template</x:v>
      </x:c>
      <x:c r="Q66" s="21" t="str"/>
      <x:c r="R66" s="21" t="str">
        <x:v>Retain traceability; rerun focused verification if the affected boundary changes.</x:v>
      </x:c>
      <x:c r="S66" s="18" t="str"/>
      <x:c r="T66" s="20"/>
      <x:c r="U66" s="21" t="str">
        <x:v>Completion is based on immutable repository evidence; tests were not rerun and current working-tree drift was not re-certified in this reporting-only task.</x:v>
      </x:c>
      <x:c r="V66" s="1"/>
    </x:row>
    <x:row r="67" ht="46" customHeight="1">
      <x:c r="A67" s="17" t="n">
        <x:v>63</x:v>
      </x:c>
      <x:c r="B67" s="17" t="str">
        <x:v>Phase 1</x:v>
      </x:c>
      <x:c r="C67" s="17" t="str">
        <x:v>4.1</x:v>
      </x:c>
      <x:c r="D67" s="21" t="str">
        <x:v>Data Handling Acknowledgement</x:v>
      </x:c>
      <x:c r="E67" s="17" t="n">
        <x:v>1</x:v>
      </x:c>
      <x:c r="F67" s="21" t="str">
        <x:v>Add data handling notice content to onboarding and upload workflows.</x:v>
      </x:c>
      <x:c r="G67" s="17" t="str">
        <x:v>Software implementation</x:v>
      </x:c>
      <x:c r="H67" s="17" t="str">
        <x:v>Planned</x:v>
      </x:c>
      <x:c r="I67" s="18" t="str">
        <x:v>Completed</x:v>
      </x:c>
      <x:c r="J67" s="17" t="str">
        <x:f>IF(OR(I67="Completed",I67="Not Applicable"),"No","Yes")</x:f>
        <x:v>No</x:v>
      </x:c>
      <x:c r="K67" s="17" t="str">
        <x:v>3.2</x:v>
      </x:c>
      <x:c r="L67" s="21" t="str">
        <x:v>Story-labeled commit 6d080359 contains delivery and focused test/test-result files: feat: implement story 4.1 no-cui acknowledgement</x:v>
      </x:c>
      <x:c r="M67" s="17" t="str">
        <x:v>Implementation commit + focused test artifacts</x:v>
      </x:c>
      <x:c r="N67" s="21" t="str">
        <x:v>git commit 6d08035916af367a523b4e10f72be07d04b81e54; /Users/devups/Development/CodexProjects/Gccs/docs/development-story-test-cases.md</x:v>
      </x:c>
      <x:c r="O67" s="19" t="n">
        <x:v>46188.02856481481</x:v>
      </x:c>
      <x:c r="P67" s="21" t="str">
        <x:v>4 acceptance criteria; 4 TC references; implementation=yes; smoke=yes; automated=no; Story-level regression template</x:v>
      </x:c>
      <x:c r="Q67" s="21" t="str"/>
      <x:c r="R67" s="21" t="str">
        <x:v>Retain traceability; rerun focused verification if the affected boundary changes.</x:v>
      </x:c>
      <x:c r="S67" s="18" t="str"/>
      <x:c r="T67" s="20"/>
      <x:c r="U67" s="21" t="str">
        <x:v>Completion is based on immutable repository evidence; tests were not rerun and current working-tree drift was not re-certified in this reporting-only task.</x:v>
      </x:c>
      <x:c r="V67" s="1"/>
    </x:row>
    <x:row r="68" ht="46" customHeight="1">
      <x:c r="A68" s="17" t="n">
        <x:v>64</x:v>
      </x:c>
      <x:c r="B68" s="17" t="str">
        <x:v>Phase 1</x:v>
      </x:c>
      <x:c r="C68" s="17" t="str">
        <x:v>4.1</x:v>
      </x:c>
      <x:c r="D68" s="21" t="str">
        <x:v>Data Handling Acknowledgement</x:v>
      </x:c>
      <x:c r="E68" s="17" t="n">
        <x:v>2</x:v>
      </x:c>
      <x:c r="F68" s="21" t="str">
        <x:v>Record acknowledgement with user, tenant, timestamp, and notice version.</x:v>
      </x:c>
      <x:c r="G68" s="17" t="str">
        <x:v>Software implementation</x:v>
      </x:c>
      <x:c r="H68" s="17" t="str">
        <x:v>Planned</x:v>
      </x:c>
      <x:c r="I68" s="18" t="str">
        <x:v>Completed</x:v>
      </x:c>
      <x:c r="J68" s="17" t="str">
        <x:f>IF(OR(I68="Completed",I68="Not Applicable"),"No","Yes")</x:f>
        <x:v>No</x:v>
      </x:c>
      <x:c r="K68" s="17" t="str">
        <x:v>4.1 task 1</x:v>
      </x:c>
      <x:c r="L68" s="21" t="str">
        <x:v>Story-labeled commit 6d080359 contains delivery and focused test/test-result files: feat: implement story 4.1 no-cui acknowledgement</x:v>
      </x:c>
      <x:c r="M68" s="17" t="str">
        <x:v>Implementation commit + focused test artifacts</x:v>
      </x:c>
      <x:c r="N68" s="21" t="str">
        <x:v>git commit 6d08035916af367a523b4e10f72be07d04b81e54; /Users/devups/Development/CodexProjects/Gccs/docs/development-story-test-cases.md</x:v>
      </x:c>
      <x:c r="O68" s="19" t="n">
        <x:v>46188.02856481481</x:v>
      </x:c>
      <x:c r="P68" s="21" t="str">
        <x:v>4 acceptance criteria; 4 TC references; implementation=yes; smoke=yes; automated=no; Story-level regression template</x:v>
      </x:c>
      <x:c r="Q68" s="21" t="str"/>
      <x:c r="R68" s="21" t="str">
        <x:v>Retain traceability; rerun focused verification if the affected boundary changes.</x:v>
      </x:c>
      <x:c r="S68" s="18" t="str"/>
      <x:c r="T68" s="20"/>
      <x:c r="U68" s="21" t="str">
        <x:v>Completion is based on immutable repository evidence; tests were not rerun and current working-tree drift was not re-certified in this reporting-only task.</x:v>
      </x:c>
      <x:c r="V68" s="1"/>
    </x:row>
    <x:row r="69" ht="46" customHeight="1">
      <x:c r="A69" s="17" t="n">
        <x:v>65</x:v>
      </x:c>
      <x:c r="B69" s="17" t="str">
        <x:v>Phase 1</x:v>
      </x:c>
      <x:c r="C69" s="17" t="str">
        <x:v>4.1</x:v>
      </x:c>
      <x:c r="D69" s="21" t="str">
        <x:v>Data Handling Acknowledgement</x:v>
      </x:c>
      <x:c r="E69" s="17" t="n">
        <x:v>3</x:v>
      </x:c>
      <x:c r="F69" s="21" t="str">
        <x:v>Add a way to retrieve current acknowledgement status.</x:v>
      </x:c>
      <x:c r="G69" s="17" t="str">
        <x:v>Software implementation</x:v>
      </x:c>
      <x:c r="H69" s="17" t="str">
        <x:v>Planned</x:v>
      </x:c>
      <x:c r="I69" s="18" t="str">
        <x:v>Completed</x:v>
      </x:c>
      <x:c r="J69" s="17" t="str">
        <x:f>IF(OR(I69="Completed",I69="Not Applicable"),"No","Yes")</x:f>
        <x:v>No</x:v>
      </x:c>
      <x:c r="K69" s="17" t="str">
        <x:v>4.1 task 2</x:v>
      </x:c>
      <x:c r="L69" s="21" t="str">
        <x:v>Story-labeled commit 6d080359 contains delivery and focused test/test-result files: feat: implement story 4.1 no-cui acknowledgement</x:v>
      </x:c>
      <x:c r="M69" s="17" t="str">
        <x:v>Implementation commit + focused test artifacts</x:v>
      </x:c>
      <x:c r="N69" s="21" t="str">
        <x:v>git commit 6d08035916af367a523b4e10f72be07d04b81e54; /Users/devups/Development/CodexProjects/Gccs/docs/development-story-test-cases.md</x:v>
      </x:c>
      <x:c r="O69" s="19" t="n">
        <x:v>46188.02856481481</x:v>
      </x:c>
      <x:c r="P69" s="21" t="str">
        <x:v>4 acceptance criteria; 4 TC references; implementation=yes; smoke=yes; automated=no; Story-level regression template</x:v>
      </x:c>
      <x:c r="Q69" s="21" t="str"/>
      <x:c r="R69" s="21" t="str">
        <x:v>Retain traceability; rerun focused verification if the affected boundary changes.</x:v>
      </x:c>
      <x:c r="S69" s="18" t="str"/>
      <x:c r="T69" s="20"/>
      <x:c r="U69" s="21" t="str">
        <x:v>Completion is based on immutable repository evidence; tests were not rerun and current working-tree drift was not re-certified in this reporting-only task.</x:v>
      </x:c>
      <x:c r="V69" s="1"/>
    </x:row>
    <x:row r="70" ht="46" customHeight="1">
      <x:c r="A70" s="17" t="n">
        <x:v>66</x:v>
      </x:c>
      <x:c r="B70" s="17" t="str">
        <x:v>Phase 1</x:v>
      </x:c>
      <x:c r="C70" s="17" t="str">
        <x:v>4.1</x:v>
      </x:c>
      <x:c r="D70" s="21" t="str">
        <x:v>Data Handling Acknowledgement</x:v>
      </x:c>
      <x:c r="E70" s="17" t="n">
        <x:v>4</x:v>
      </x:c>
      <x:c r="F70" s="21" t="str">
        <x:v>Add UI prompt when acknowledgement is missing.</x:v>
      </x:c>
      <x:c r="G70" s="17" t="str">
        <x:v>Software implementation</x:v>
      </x:c>
      <x:c r="H70" s="17" t="str">
        <x:v>Planned</x:v>
      </x:c>
      <x:c r="I70" s="18" t="str">
        <x:v>Completed</x:v>
      </x:c>
      <x:c r="J70" s="17" t="str">
        <x:f>IF(OR(I70="Completed",I70="Not Applicable"),"No","Yes")</x:f>
        <x:v>No</x:v>
      </x:c>
      <x:c r="K70" s="17" t="str">
        <x:v>4.1 task 3</x:v>
      </x:c>
      <x:c r="L70" s="21" t="str">
        <x:v>Story-labeled commit 6d080359 contains delivery and focused test/test-result files: feat: implement story 4.1 no-cui acknowledgement</x:v>
      </x:c>
      <x:c r="M70" s="17" t="str">
        <x:v>Implementation commit + focused test artifacts</x:v>
      </x:c>
      <x:c r="N70" s="21" t="str">
        <x:v>git commit 6d08035916af367a523b4e10f72be07d04b81e54; /Users/devups/Development/CodexProjects/Gccs/docs/development-story-test-cases.md</x:v>
      </x:c>
      <x:c r="O70" s="19" t="n">
        <x:v>46188.02856481481</x:v>
      </x:c>
      <x:c r="P70" s="21" t="str">
        <x:v>4 acceptance criteria; 4 TC references; implementation=yes; smoke=yes; automated=no; Story-level regression template</x:v>
      </x:c>
      <x:c r="Q70" s="21" t="str"/>
      <x:c r="R70" s="21" t="str">
        <x:v>Retain traceability; rerun focused verification if the affected boundary changes.</x:v>
      </x:c>
      <x:c r="S70" s="18" t="str"/>
      <x:c r="T70" s="20"/>
      <x:c r="U70" s="21" t="str">
        <x:v>Completion is based on immutable repository evidence; tests were not rerun and current working-tree drift was not re-certified in this reporting-only task.</x:v>
      </x:c>
      <x:c r="V70" s="1"/>
    </x:row>
    <x:row r="71" ht="46" customHeight="1">
      <x:c r="A71" s="17" t="n">
        <x:v>67</x:v>
      </x:c>
      <x:c r="B71" s="17" t="str">
        <x:v>Phase 1</x:v>
      </x:c>
      <x:c r="C71" s="17" t="str">
        <x:v>4.2</x:v>
      </x:c>
      <x:c r="D71" s="21" t="str">
        <x:v>Upload Guardrails</x:v>
      </x:c>
      <x:c r="E71" s="17" t="n">
        <x:v>1</x:v>
      </x:c>
      <x:c r="F71" s="21" t="str">
        <x:v>Configure allowed file types and upload size limits.</x:v>
      </x:c>
      <x:c r="G71" s="17" t="str">
        <x:v>Software implementation</x:v>
      </x:c>
      <x:c r="H71" s="17" t="str">
        <x:v>Planned</x:v>
      </x:c>
      <x:c r="I71" s="18" t="str">
        <x:v>Completed</x:v>
      </x:c>
      <x:c r="J71" s="17" t="str">
        <x:f>IF(OR(I71="Completed",I71="Not Applicable"),"No","Yes")</x:f>
        <x:v>No</x:v>
      </x:c>
      <x:c r="K71" s="17" t="str">
        <x:v>4.1</x:v>
      </x:c>
      <x:c r="L71" s="21" t="str">
        <x:v>Story-labeled commit 3d92e99c contains delivery and focused test/test-result files: feat: implement story 4.2 upload guardrails</x:v>
      </x:c>
      <x:c r="M71" s="17" t="str">
        <x:v>Implementation commit + focused test artifacts</x:v>
      </x:c>
      <x:c r="N71" s="21" t="str">
        <x:v>git commit 3d92e99cad7fd49da09db647d33e53563569dc8b; /Users/devups/Development/CodexProjects/Gccs/docs/development-story-test-cases.md</x:v>
      </x:c>
      <x:c r="O71" s="19" t="n">
        <x:v>46188.040925925925</x:v>
      </x:c>
      <x:c r="P71" s="21" t="str">
        <x:v>5 acceptance criteria; 4 TC references; implementation=yes; smoke=yes; automated=no; Story-level regression template</x:v>
      </x:c>
      <x:c r="Q71" s="21" t="str"/>
      <x:c r="R71" s="21" t="str">
        <x:v>Retain traceability; rerun focused verification if the affected boundary changes.</x:v>
      </x:c>
      <x:c r="S71" s="18" t="str"/>
      <x:c r="T71" s="20"/>
      <x:c r="U71" s="21" t="str">
        <x:v>Completion is based on immutable repository evidence; tests were not rerun and current working-tree drift was not re-certified in this reporting-only task.</x:v>
      </x:c>
      <x:c r="V71" s="1"/>
    </x:row>
    <x:row r="72" ht="46" customHeight="1">
      <x:c r="A72" s="17" t="n">
        <x:v>68</x:v>
      </x:c>
      <x:c r="B72" s="17" t="str">
        <x:v>Phase 1</x:v>
      </x:c>
      <x:c r="C72" s="17" t="str">
        <x:v>4.2</x:v>
      </x:c>
      <x:c r="D72" s="21" t="str">
        <x:v>Upload Guardrails</x:v>
      </x:c>
      <x:c r="E72" s="17" t="n">
        <x:v>2</x:v>
      </x:c>
      <x:c r="F72" s="21" t="str">
        <x:v>Add server-side validation for all uploads.</x:v>
      </x:c>
      <x:c r="G72" s="17" t="str">
        <x:v>Software implementation</x:v>
      </x:c>
      <x:c r="H72" s="17" t="str">
        <x:v>Planned</x:v>
      </x:c>
      <x:c r="I72" s="18" t="str">
        <x:v>Completed</x:v>
      </x:c>
      <x:c r="J72" s="17" t="str">
        <x:f>IF(OR(I72="Completed",I72="Not Applicable"),"No","Yes")</x:f>
        <x:v>No</x:v>
      </x:c>
      <x:c r="K72" s="17" t="str">
        <x:v>4.2 task 1</x:v>
      </x:c>
      <x:c r="L72" s="21" t="str">
        <x:v>Story-labeled commit 3d92e99c contains delivery and focused test/test-result files: feat: implement story 4.2 upload guardrails</x:v>
      </x:c>
      <x:c r="M72" s="17" t="str">
        <x:v>Implementation commit + focused test artifacts</x:v>
      </x:c>
      <x:c r="N72" s="21" t="str">
        <x:v>git commit 3d92e99cad7fd49da09db647d33e53563569dc8b; /Users/devups/Development/CodexProjects/Gccs/docs/development-story-test-cases.md</x:v>
      </x:c>
      <x:c r="O72" s="19" t="n">
        <x:v>46188.040925925925</x:v>
      </x:c>
      <x:c r="P72" s="21" t="str">
        <x:v>5 acceptance criteria; 4 TC references; implementation=yes; smoke=yes; automated=no; Story-level regression template</x:v>
      </x:c>
      <x:c r="Q72" s="21" t="str"/>
      <x:c r="R72" s="21" t="str">
        <x:v>Retain traceability; rerun focused verification if the affected boundary changes.</x:v>
      </x:c>
      <x:c r="S72" s="18" t="str"/>
      <x:c r="T72" s="20"/>
      <x:c r="U72" s="21" t="str">
        <x:v>Completion is based on immutable repository evidence; tests were not rerun and current working-tree drift was not re-certified in this reporting-only task.</x:v>
      </x:c>
      <x:c r="V72" s="1"/>
    </x:row>
    <x:row r="73" ht="46" customHeight="1">
      <x:c r="A73" s="17" t="n">
        <x:v>69</x:v>
      </x:c>
      <x:c r="B73" s="17" t="str">
        <x:v>Phase 1</x:v>
      </x:c>
      <x:c r="C73" s="17" t="str">
        <x:v>4.2</x:v>
      </x:c>
      <x:c r="D73" s="21" t="str">
        <x:v>Upload Guardrails</x:v>
      </x:c>
      <x:c r="E73" s="17" t="n">
        <x:v>3</x:v>
      </x:c>
      <x:c r="F73" s="21" t="str">
        <x:v>Add malware scanning job placeholder.</x:v>
      </x:c>
      <x:c r="G73" s="17" t="str">
        <x:v>Software implementation</x:v>
      </x:c>
      <x:c r="H73" s="17" t="str">
        <x:v>Planned</x:v>
      </x:c>
      <x:c r="I73" s="18" t="str">
        <x:v>Completed</x:v>
      </x:c>
      <x:c r="J73" s="17" t="str">
        <x:f>IF(OR(I73="Completed",I73="Not Applicable"),"No","Yes")</x:f>
        <x:v>No</x:v>
      </x:c>
      <x:c r="K73" s="17" t="str">
        <x:v>4.2 task 2</x:v>
      </x:c>
      <x:c r="L73" s="21" t="str">
        <x:v>Story-labeled commit 3d92e99c contains delivery and focused test/test-result files: feat: implement story 4.2 upload guardrails</x:v>
      </x:c>
      <x:c r="M73" s="17" t="str">
        <x:v>Implementation commit + focused test artifacts</x:v>
      </x:c>
      <x:c r="N73" s="21" t="str">
        <x:v>git commit 3d92e99cad7fd49da09db647d33e53563569dc8b; /Users/devups/Development/CodexProjects/Gccs/docs/development-story-test-cases.md</x:v>
      </x:c>
      <x:c r="O73" s="19" t="n">
        <x:v>46188.040925925925</x:v>
      </x:c>
      <x:c r="P73" s="21" t="str">
        <x:v>5 acceptance criteria; 4 TC references; implementation=yes; smoke=yes; automated=no; Story-level regression template</x:v>
      </x:c>
      <x:c r="Q73" s="21" t="str"/>
      <x:c r="R73" s="21" t="str">
        <x:v>Retain traceability; rerun focused verification if the affected boundary changes.</x:v>
      </x:c>
      <x:c r="S73" s="18" t="str"/>
      <x:c r="T73" s="20"/>
      <x:c r="U73" s="21" t="str">
        <x:v>Completion is based on immutable repository evidence; tests were not rerun and current working-tree drift was not re-certified in this reporting-only task.</x:v>
      </x:c>
      <x:c r="V73" s="1"/>
    </x:row>
    <x:row r="74" ht="46" customHeight="1">
      <x:c r="A74" s="17" t="n">
        <x:v>70</x:v>
      </x:c>
      <x:c r="B74" s="17" t="str">
        <x:v>Phase 1</x:v>
      </x:c>
      <x:c r="C74" s="17" t="str">
        <x:v>4.2</x:v>
      </x:c>
      <x:c r="D74" s="21" t="str">
        <x:v>Upload Guardrails</x:v>
      </x:c>
      <x:c r="E74" s="17" t="n">
        <x:v>4</x:v>
      </x:c>
      <x:c r="F74" s="21" t="str">
        <x:v>Add user-facing rejected upload messages.</x:v>
      </x:c>
      <x:c r="G74" s="17" t="str">
        <x:v>Software implementation</x:v>
      </x:c>
      <x:c r="H74" s="17" t="str">
        <x:v>Planned</x:v>
      </x:c>
      <x:c r="I74" s="18" t="str">
        <x:v>Completed</x:v>
      </x:c>
      <x:c r="J74" s="17" t="str">
        <x:f>IF(OR(I74="Completed",I74="Not Applicable"),"No","Yes")</x:f>
        <x:v>No</x:v>
      </x:c>
      <x:c r="K74" s="17" t="str">
        <x:v>4.2 task 3</x:v>
      </x:c>
      <x:c r="L74" s="21" t="str">
        <x:v>Story-labeled commit 3d92e99c contains delivery and focused test/test-result files: feat: implement story 4.2 upload guardrails</x:v>
      </x:c>
      <x:c r="M74" s="17" t="str">
        <x:v>Implementation commit + focused test artifacts</x:v>
      </x:c>
      <x:c r="N74" s="21" t="str">
        <x:v>git commit 3d92e99cad7fd49da09db647d33e53563569dc8b; /Users/devups/Development/CodexProjects/Gccs/docs/development-story-test-cases.md</x:v>
      </x:c>
      <x:c r="O74" s="19" t="n">
        <x:v>46188.040925925925</x:v>
      </x:c>
      <x:c r="P74" s="21" t="str">
        <x:v>5 acceptance criteria; 4 TC references; implementation=yes; smoke=yes; automated=no; Story-level regression template</x:v>
      </x:c>
      <x:c r="Q74" s="21" t="str"/>
      <x:c r="R74" s="21" t="str">
        <x:v>Retain traceability; rerun focused verification if the affected boundary changes.</x:v>
      </x:c>
      <x:c r="S74" s="18" t="str"/>
      <x:c r="T74" s="20"/>
      <x:c r="U74" s="21" t="str">
        <x:v>Completion is based on immutable repository evidence; tests were not rerun and current working-tree drift was not re-certified in this reporting-only task.</x:v>
      </x:c>
      <x:c r="V74" s="1"/>
    </x:row>
    <x:row r="75" ht="46" customHeight="1">
      <x:c r="A75" s="17" t="n">
        <x:v>71</x:v>
      </x:c>
      <x:c r="B75" s="17" t="str">
        <x:v>Phase 1</x:v>
      </x:c>
      <x:c r="C75" s="17" t="str">
        <x:v>4.2</x:v>
      </x:c>
      <x:c r="D75" s="21" t="str">
        <x:v>Upload Guardrails</x:v>
      </x:c>
      <x:c r="E75" s="17" t="n">
        <x:v>5</x:v>
      </x:c>
      <x:c r="F75" s="21" t="str">
        <x:v>Add tests for file type and file size validation.</x:v>
      </x:c>
      <x:c r="G75" s="17" t="str">
        <x:v>Software implementation</x:v>
      </x:c>
      <x:c r="H75" s="17" t="str">
        <x:v>Planned</x:v>
      </x:c>
      <x:c r="I75" s="18" t="str">
        <x:v>Completed</x:v>
      </x:c>
      <x:c r="J75" s="17" t="str">
        <x:f>IF(OR(I75="Completed",I75="Not Applicable"),"No","Yes")</x:f>
        <x:v>No</x:v>
      </x:c>
      <x:c r="K75" s="17" t="str">
        <x:v>4.2 task 4</x:v>
      </x:c>
      <x:c r="L75" s="21" t="str">
        <x:v>Story-labeled commit 3d92e99c contains delivery and focused test/test-result files: feat: implement story 4.2 upload guardrails</x:v>
      </x:c>
      <x:c r="M75" s="17" t="str">
        <x:v>Implementation commit + focused test artifacts</x:v>
      </x:c>
      <x:c r="N75" s="21" t="str">
        <x:v>git commit 3d92e99cad7fd49da09db647d33e53563569dc8b; /Users/devups/Development/CodexProjects/Gccs/docs/development-story-test-cases.md</x:v>
      </x:c>
      <x:c r="O75" s="19" t="n">
        <x:v>46188.040925925925</x:v>
      </x:c>
      <x:c r="P75" s="21" t="str">
        <x:v>5 acceptance criteria; 4 TC references; implementation=yes; smoke=yes; automated=no; Story-level regression template</x:v>
      </x:c>
      <x:c r="Q75" s="21" t="str"/>
      <x:c r="R75" s="21" t="str">
        <x:v>Retain traceability; rerun focused verification if the affected boundary changes.</x:v>
      </x:c>
      <x:c r="S75" s="18" t="str"/>
      <x:c r="T75" s="20"/>
      <x:c r="U75" s="21" t="str">
        <x:v>Completion is based on immutable repository evidence; tests were not rerun and current working-tree drift was not re-certified in this reporting-only task.</x:v>
      </x:c>
      <x:c r="V75" s="1"/>
    </x:row>
    <x:row r="76" ht="46" customHeight="1">
      <x:c r="A76" s="17" t="n">
        <x:v>72</x:v>
      </x:c>
      <x:c r="B76" s="17" t="str">
        <x:v>Phase 1</x:v>
      </x:c>
      <x:c r="C76" s="17" t="str">
        <x:v>5.1</x:v>
      </x:c>
      <x:c r="D76" s="21" t="str">
        <x:v>Append-Only Audit Events</x:v>
      </x:c>
      <x:c r="E76" s="17" t="n">
        <x:v>1</x:v>
      </x:c>
      <x:c r="F76" s="21" t="str">
        <x:v>Model audit event fields for tenant, actor, action, entity type, entity ID, timestamp, source IP or request metadata, and before/after summary where appropriate.</x:v>
      </x:c>
      <x:c r="G76" s="17" t="str">
        <x:v>Software implementation</x:v>
      </x:c>
      <x:c r="H76" s="17" t="str">
        <x:v>Planned</x:v>
      </x:c>
      <x:c r="I76" s="18" t="str">
        <x:v>Completed</x:v>
      </x:c>
      <x:c r="J76" s="17" t="str">
        <x:f>IF(OR(I76="Completed",I76="Not Applicable"),"No","Yes")</x:f>
        <x:v>No</x:v>
      </x:c>
      <x:c r="K76" s="17" t="str">
        <x:v>4.2</x:v>
      </x:c>
      <x:c r="L76" s="21" t="str">
        <x:v>Story-labeled commit ee2efa22 contains delivery and focused test/test-result files: feat: implement story 5.1 append-only audit events</x:v>
      </x:c>
      <x:c r="M76" s="17" t="str">
        <x:v>Implementation commit + focused test artifacts</x:v>
      </x:c>
      <x:c r="N76" s="21" t="str">
        <x:v>git commit ee2efa228cf31d165052bc52a0e983caebd99cc9; /Users/devups/Development/CodexProjects/Gccs/docs/development-story-test-cases.md</x:v>
      </x:c>
      <x:c r="O76" s="19" t="n">
        <x:v>46188.04445601852</x:v>
      </x:c>
      <x:c r="P76" s="21" t="str">
        <x:v>4 acceptance criteria; 4 TC references; implementation=yes; smoke=yes; automated=no; Story-level regression template</x:v>
      </x:c>
      <x:c r="Q76" s="21" t="str"/>
      <x:c r="R76" s="21" t="str">
        <x:v>Retain traceability; rerun focused verification if the affected boundary changes.</x:v>
      </x:c>
      <x:c r="S76" s="18" t="str"/>
      <x:c r="T76" s="20"/>
      <x:c r="U76" s="21" t="str">
        <x:v>Completion is based on immutable repository evidence; tests were not rerun and current working-tree drift was not re-certified in this reporting-only task.</x:v>
      </x:c>
      <x:c r="V76" s="1"/>
    </x:row>
    <x:row r="77" ht="46" customHeight="1">
      <x:c r="A77" s="17" t="n">
        <x:v>73</x:v>
      </x:c>
      <x:c r="B77" s="17" t="str">
        <x:v>Phase 1</x:v>
      </x:c>
      <x:c r="C77" s="17" t="str">
        <x:v>5.1</x:v>
      </x:c>
      <x:c r="D77" s="21" t="str">
        <x:v>Append-Only Audit Events</x:v>
      </x:c>
      <x:c r="E77" s="17" t="n">
        <x:v>2</x:v>
      </x:c>
      <x:c r="F77" s="21" t="str">
        <x:v>Add audit event writer in application services.</x:v>
      </x:c>
      <x:c r="G77" s="17" t="str">
        <x:v>Software implementation</x:v>
      </x:c>
      <x:c r="H77" s="17" t="str">
        <x:v>Planned</x:v>
      </x:c>
      <x:c r="I77" s="18" t="str">
        <x:v>Completed</x:v>
      </x:c>
      <x:c r="J77" s="17" t="str">
        <x:f>IF(OR(I77="Completed",I77="Not Applicable"),"No","Yes")</x:f>
        <x:v>No</x:v>
      </x:c>
      <x:c r="K77" s="17" t="str">
        <x:v>5.1 task 1</x:v>
      </x:c>
      <x:c r="L77" s="21" t="str">
        <x:v>Story-labeled commit ee2efa22 contains delivery and focused test/test-result files: feat: implement story 5.1 append-only audit events</x:v>
      </x:c>
      <x:c r="M77" s="17" t="str">
        <x:v>Implementation commit + focused test artifacts</x:v>
      </x:c>
      <x:c r="N77" s="21" t="str">
        <x:v>git commit ee2efa228cf31d165052bc52a0e983caebd99cc9; /Users/devups/Development/CodexProjects/Gccs/docs/development-story-test-cases.md</x:v>
      </x:c>
      <x:c r="O77" s="19" t="n">
        <x:v>46188.04445601852</x:v>
      </x:c>
      <x:c r="P77" s="21" t="str">
        <x:v>4 acceptance criteria; 4 TC references; implementation=yes; smoke=yes; automated=no; Story-level regression template</x:v>
      </x:c>
      <x:c r="Q77" s="21" t="str"/>
      <x:c r="R77" s="21" t="str">
        <x:v>Retain traceability; rerun focused verification if the affected boundary changes.</x:v>
      </x:c>
      <x:c r="S77" s="18" t="str"/>
      <x:c r="T77" s="20"/>
      <x:c r="U77" s="21" t="str">
        <x:v>Completion is based on immutable repository evidence; tests were not rerun and current working-tree drift was not re-certified in this reporting-only task.</x:v>
      </x:c>
      <x:c r="V77" s="1"/>
    </x:row>
    <x:row r="78" ht="46" customHeight="1">
      <x:c r="A78" s="17" t="n">
        <x:v>74</x:v>
      </x:c>
      <x:c r="B78" s="17" t="str">
        <x:v>Phase 1</x:v>
      </x:c>
      <x:c r="C78" s="17" t="str">
        <x:v>5.1</x:v>
      </x:c>
      <x:c r="D78" s="21" t="str">
        <x:v>Append-Only Audit Events</x:v>
      </x:c>
      <x:c r="E78" s="17" t="n">
        <x:v>3</x:v>
      </x:c>
      <x:c r="F78" s="21" t="str">
        <x:v>Add database constraints that prevent destructive updates when feasible.</x:v>
      </x:c>
      <x:c r="G78" s="17" t="str">
        <x:v>Software implementation</x:v>
      </x:c>
      <x:c r="H78" s="17" t="str">
        <x:v>Planned</x:v>
      </x:c>
      <x:c r="I78" s="18" t="str">
        <x:v>Completed</x:v>
      </x:c>
      <x:c r="J78" s="17" t="str">
        <x:f>IF(OR(I78="Completed",I78="Not Applicable"),"No","Yes")</x:f>
        <x:v>No</x:v>
      </x:c>
      <x:c r="K78" s="17" t="str">
        <x:v>5.1 task 2</x:v>
      </x:c>
      <x:c r="L78" s="21" t="str">
        <x:v>Story-labeled commit ee2efa22 contains delivery and focused test/test-result files: feat: implement story 5.1 append-only audit events</x:v>
      </x:c>
      <x:c r="M78" s="17" t="str">
        <x:v>Implementation commit + focused test artifacts</x:v>
      </x:c>
      <x:c r="N78" s="21" t="str">
        <x:v>git commit ee2efa228cf31d165052bc52a0e983caebd99cc9; /Users/devups/Development/CodexProjects/Gccs/docs/development-story-test-cases.md</x:v>
      </x:c>
      <x:c r="O78" s="19" t="n">
        <x:v>46188.04445601852</x:v>
      </x:c>
      <x:c r="P78" s="21" t="str">
        <x:v>4 acceptance criteria; 4 TC references; implementation=yes; smoke=yes; automated=no; Story-level regression template</x:v>
      </x:c>
      <x:c r="Q78" s="21" t="str"/>
      <x:c r="R78" s="21" t="str">
        <x:v>Retain traceability; rerun focused verification if the affected boundary changes.</x:v>
      </x:c>
      <x:c r="S78" s="18" t="str"/>
      <x:c r="T78" s="20"/>
      <x:c r="U78" s="21" t="str">
        <x:v>Completion is based on immutable repository evidence; tests were not rerun and current working-tree drift was not re-certified in this reporting-only task.</x:v>
      </x:c>
      <x:c r="V78" s="1"/>
    </x:row>
    <x:row r="79" ht="46" customHeight="1">
      <x:c r="A79" s="17" t="n">
        <x:v>75</x:v>
      </x:c>
      <x:c r="B79" s="17" t="str">
        <x:v>Phase 1</x:v>
      </x:c>
      <x:c r="C79" s="17" t="str">
        <x:v>5.1</x:v>
      </x:c>
      <x:c r="D79" s="21" t="str">
        <x:v>Append-Only Audit Events</x:v>
      </x:c>
      <x:c r="E79" s="17" t="n">
        <x:v>4</x:v>
      </x:c>
      <x:c r="F79" s="21" t="str">
        <x:v>Add tests for audit event creation.</x:v>
      </x:c>
      <x:c r="G79" s="17" t="str">
        <x:v>Software implementation</x:v>
      </x:c>
      <x:c r="H79" s="17" t="str">
        <x:v>Planned</x:v>
      </x:c>
      <x:c r="I79" s="18" t="str">
        <x:v>Completed</x:v>
      </x:c>
      <x:c r="J79" s="17" t="str">
        <x:f>IF(OR(I79="Completed",I79="Not Applicable"),"No","Yes")</x:f>
        <x:v>No</x:v>
      </x:c>
      <x:c r="K79" s="17" t="str">
        <x:v>5.1 task 3</x:v>
      </x:c>
      <x:c r="L79" s="21" t="str">
        <x:v>Story-labeled commit ee2efa22 contains delivery and focused test/test-result files: feat: implement story 5.1 append-only audit events</x:v>
      </x:c>
      <x:c r="M79" s="17" t="str">
        <x:v>Implementation commit + focused test artifacts</x:v>
      </x:c>
      <x:c r="N79" s="21" t="str">
        <x:v>git commit ee2efa228cf31d165052bc52a0e983caebd99cc9; /Users/devups/Development/CodexProjects/Gccs/docs/development-story-test-cases.md</x:v>
      </x:c>
      <x:c r="O79" s="19" t="n">
        <x:v>46188.04445601852</x:v>
      </x:c>
      <x:c r="P79" s="21" t="str">
        <x:v>4 acceptance criteria; 4 TC references; implementation=yes; smoke=yes; automated=no; Story-level regression template</x:v>
      </x:c>
      <x:c r="Q79" s="21" t="str"/>
      <x:c r="R79" s="21" t="str">
        <x:v>Retain traceability; rerun focused verification if the affected boundary changes.</x:v>
      </x:c>
      <x:c r="S79" s="18" t="str"/>
      <x:c r="T79" s="20"/>
      <x:c r="U79" s="21" t="str">
        <x:v>Completion is based on immutable repository evidence; tests were not rerun and current working-tree drift was not re-certified in this reporting-only task.</x:v>
      </x:c>
      <x:c r="V79" s="1"/>
    </x:row>
    <x:row r="80" ht="46" customHeight="1">
      <x:c r="A80" s="17" t="n">
        <x:v>76</x:v>
      </x:c>
      <x:c r="B80" s="17" t="str">
        <x:v>Phase 1</x:v>
      </x:c>
      <x:c r="C80" s="17" t="str">
        <x:v>5.2</x:v>
      </x:c>
      <x:c r="D80" s="21" t="str">
        <x:v>Audit Log Viewer</x:v>
      </x:c>
      <x:c r="E80" s="17" t="n">
        <x:v>1</x:v>
      </x:c>
      <x:c r="F80" s="21" t="str">
        <x:v>Add audit log query endpoint with pagination and filters.</x:v>
      </x:c>
      <x:c r="G80" s="17" t="str">
        <x:v>Software implementation</x:v>
      </x:c>
      <x:c r="H80" s="17" t="str">
        <x:v>Planned</x:v>
      </x:c>
      <x:c r="I80" s="18" t="str">
        <x:v>Completed</x:v>
      </x:c>
      <x:c r="J80" s="17" t="str">
        <x:f>IF(OR(I80="Completed",I80="Not Applicable"),"No","Yes")</x:f>
        <x:v>No</x:v>
      </x:c>
      <x:c r="K80" s="17" t="str">
        <x:v>5.1</x:v>
      </x:c>
      <x:c r="L80" s="21" t="str">
        <x:v>Story-labeled commit 091ec704 contains delivery and focused test/test-result files: feat: implement story 5.2 audit log viewer</x:v>
      </x:c>
      <x:c r="M80" s="17" t="str">
        <x:v>Implementation commit + focused test artifacts</x:v>
      </x:c>
      <x:c r="N80" s="21" t="str">
        <x:v>git commit 091ec704654a5ee20fa5646b933d2583fb049de6; /Users/devups/Development/CodexProjects/Gccs/docs/development-story-test-cases.md</x:v>
      </x:c>
      <x:c r="O80" s="19" t="n">
        <x:v>46188.04883101852</x:v>
      </x:c>
      <x:c r="P80" s="21" t="str">
        <x:v>4 acceptance criteria; 4 TC references; implementation=yes; smoke=yes; automated=no; Story-level regression template</x:v>
      </x:c>
      <x:c r="Q80" s="21" t="str"/>
      <x:c r="R80" s="21" t="str">
        <x:v>Retain traceability; rerun focused verification if the affected boundary changes.</x:v>
      </x:c>
      <x:c r="S80" s="18" t="str"/>
      <x:c r="T80" s="20"/>
      <x:c r="U80" s="21" t="str">
        <x:v>Completion is based on immutable repository evidence; tests were not rerun and current working-tree drift was not re-certified in this reporting-only task.</x:v>
      </x:c>
      <x:c r="V80" s="1"/>
    </x:row>
    <x:row r="81" ht="46" customHeight="1">
      <x:c r="A81" s="17" t="n">
        <x:v>77</x:v>
      </x:c>
      <x:c r="B81" s="17" t="str">
        <x:v>Phase 1</x:v>
      </x:c>
      <x:c r="C81" s="17" t="str">
        <x:v>5.2</x:v>
      </x:c>
      <x:c r="D81" s="21" t="str">
        <x:v>Audit Log Viewer</x:v>
      </x:c>
      <x:c r="E81" s="17" t="n">
        <x:v>2</x:v>
      </x:c>
      <x:c r="F81" s="21" t="str">
        <x:v>Add UI table with date, actor, action, entity, and summary.</x:v>
      </x:c>
      <x:c r="G81" s="17" t="str">
        <x:v>Software implementation</x:v>
      </x:c>
      <x:c r="H81" s="17" t="str">
        <x:v>Planned</x:v>
      </x:c>
      <x:c r="I81" s="18" t="str">
        <x:v>Completed</x:v>
      </x:c>
      <x:c r="J81" s="17" t="str">
        <x:f>IF(OR(I81="Completed",I81="Not Applicable"),"No","Yes")</x:f>
        <x:v>No</x:v>
      </x:c>
      <x:c r="K81" s="17" t="str">
        <x:v>5.2 task 1</x:v>
      </x:c>
      <x:c r="L81" s="21" t="str">
        <x:v>Story-labeled commit 091ec704 contains delivery and focused test/test-result files: feat: implement story 5.2 audit log viewer</x:v>
      </x:c>
      <x:c r="M81" s="17" t="str">
        <x:v>Implementation commit + focused test artifacts</x:v>
      </x:c>
      <x:c r="N81" s="21" t="str">
        <x:v>git commit 091ec704654a5ee20fa5646b933d2583fb049de6; /Users/devups/Development/CodexProjects/Gccs/docs/development-story-test-cases.md</x:v>
      </x:c>
      <x:c r="O81" s="19" t="n">
        <x:v>46188.04883101852</x:v>
      </x:c>
      <x:c r="P81" s="21" t="str">
        <x:v>4 acceptance criteria; 4 TC references; implementation=yes; smoke=yes; automated=no; Story-level regression template</x:v>
      </x:c>
      <x:c r="Q81" s="21" t="str"/>
      <x:c r="R81" s="21" t="str">
        <x:v>Retain traceability; rerun focused verification if the affected boundary changes.</x:v>
      </x:c>
      <x:c r="S81" s="18" t="str"/>
      <x:c r="T81" s="20"/>
      <x:c r="U81" s="21" t="str">
        <x:v>Completion is based on immutable repository evidence; tests were not rerun and current working-tree drift was not re-certified in this reporting-only task.</x:v>
      </x:c>
      <x:c r="V81" s="1"/>
    </x:row>
    <x:row r="82" ht="46" customHeight="1">
      <x:c r="A82" s="17" t="n">
        <x:v>78</x:v>
      </x:c>
      <x:c r="B82" s="17" t="str">
        <x:v>Phase 1</x:v>
      </x:c>
      <x:c r="C82" s="17" t="str">
        <x:v>5.2</x:v>
      </x:c>
      <x:c r="D82" s="21" t="str">
        <x:v>Audit Log Viewer</x:v>
      </x:c>
      <x:c r="E82" s="17" t="n">
        <x:v>3</x:v>
      </x:c>
      <x:c r="F82" s="21" t="str">
        <x:v>Add filters by actor, action, date range, and entity type.</x:v>
      </x:c>
      <x:c r="G82" s="17" t="str">
        <x:v>Software implementation</x:v>
      </x:c>
      <x:c r="H82" s="17" t="str">
        <x:v>Planned</x:v>
      </x:c>
      <x:c r="I82" s="18" t="str">
        <x:v>Completed</x:v>
      </x:c>
      <x:c r="J82" s="17" t="str">
        <x:f>IF(OR(I82="Completed",I82="Not Applicable"),"No","Yes")</x:f>
        <x:v>No</x:v>
      </x:c>
      <x:c r="K82" s="17" t="str">
        <x:v>5.2 task 2</x:v>
      </x:c>
      <x:c r="L82" s="21" t="str">
        <x:v>Story-labeled commit 091ec704 contains delivery and focused test/test-result files: feat: implement story 5.2 audit log viewer</x:v>
      </x:c>
      <x:c r="M82" s="17" t="str">
        <x:v>Implementation commit + focused test artifacts</x:v>
      </x:c>
      <x:c r="N82" s="21" t="str">
        <x:v>git commit 091ec704654a5ee20fa5646b933d2583fb049de6; /Users/devups/Development/CodexProjects/Gccs/docs/development-story-test-cases.md</x:v>
      </x:c>
      <x:c r="O82" s="19" t="n">
        <x:v>46188.04883101852</x:v>
      </x:c>
      <x:c r="P82" s="21" t="str">
        <x:v>4 acceptance criteria; 4 TC references; implementation=yes; smoke=yes; automated=no; Story-level regression template</x:v>
      </x:c>
      <x:c r="Q82" s="21" t="str"/>
      <x:c r="R82" s="21" t="str">
        <x:v>Retain traceability; rerun focused verification if the affected boundary changes.</x:v>
      </x:c>
      <x:c r="S82" s="18" t="str"/>
      <x:c r="T82" s="20"/>
      <x:c r="U82" s="21" t="str">
        <x:v>Completion is based on immutable repository evidence; tests were not rerun and current working-tree drift was not re-certified in this reporting-only task.</x:v>
      </x:c>
      <x:c r="V82" s="1"/>
    </x:row>
    <x:row r="83" ht="46" customHeight="1">
      <x:c r="A83" s="17" t="n">
        <x:v>79</x:v>
      </x:c>
      <x:c r="B83" s="17" t="str">
        <x:v>Phase 1</x:v>
      </x:c>
      <x:c r="C83" s="17" t="str">
        <x:v>5.2</x:v>
      </x:c>
      <x:c r="D83" s="21" t="str">
        <x:v>Audit Log Viewer</x:v>
      </x:c>
      <x:c r="E83" s="17" t="n">
        <x:v>4</x:v>
      </x:c>
      <x:c r="F83" s="21" t="str">
        <x:v>Restrict access to admin, owner, and advisor roles as configured.</x:v>
      </x:c>
      <x:c r="G83" s="17" t="str">
        <x:v>Software implementation</x:v>
      </x:c>
      <x:c r="H83" s="17" t="str">
        <x:v>Planned</x:v>
      </x:c>
      <x:c r="I83" s="18" t="str">
        <x:v>Completed</x:v>
      </x:c>
      <x:c r="J83" s="17" t="str">
        <x:f>IF(OR(I83="Completed",I83="Not Applicable"),"No","Yes")</x:f>
        <x:v>No</x:v>
      </x:c>
      <x:c r="K83" s="17" t="str">
        <x:v>5.2 task 3</x:v>
      </x:c>
      <x:c r="L83" s="21" t="str">
        <x:v>Story-labeled commit 091ec704 contains delivery and focused test/test-result files: feat: implement story 5.2 audit log viewer</x:v>
      </x:c>
      <x:c r="M83" s="17" t="str">
        <x:v>Implementation commit + focused test artifacts</x:v>
      </x:c>
      <x:c r="N83" s="21" t="str">
        <x:v>git commit 091ec704654a5ee20fa5646b933d2583fb049de6; /Users/devups/Development/CodexProjects/Gccs/docs/development-story-test-cases.md</x:v>
      </x:c>
      <x:c r="O83" s="19" t="n">
        <x:v>46188.04883101852</x:v>
      </x:c>
      <x:c r="P83" s="21" t="str">
        <x:v>4 acceptance criteria; 4 TC references; implementation=yes; smoke=yes; automated=no; Story-level regression template</x:v>
      </x:c>
      <x:c r="Q83" s="21" t="str"/>
      <x:c r="R83" s="21" t="str">
        <x:v>Retain traceability; rerun focused verification if the affected boundary changes.</x:v>
      </x:c>
      <x:c r="S83" s="18" t="str"/>
      <x:c r="T83" s="20"/>
      <x:c r="U83" s="21" t="str">
        <x:v>Completion is based on immutable repository evidence; tests were not rerun and current working-tree drift was not re-certified in this reporting-only task.</x:v>
      </x:c>
      <x:c r="V83" s="1"/>
    </x:row>
    <x:row r="84" ht="46" customHeight="1">
      <x:c r="A84" s="17" t="n">
        <x:v>80</x:v>
      </x:c>
      <x:c r="B84" s="17" t="str">
        <x:v>Phase 1</x:v>
      </x:c>
      <x:c r="C84" s="17" t="str">
        <x:v>6.1</x:v>
      </x:c>
      <x:c r="D84" s="21" t="str">
        <x:v>Obligation Schema</x:v>
      </x:c>
      <x:c r="E84" s="17" t="n">
        <x:v>1</x:v>
      </x:c>
      <x:c r="F84" s="21" t="str">
        <x:v>Define clause, source reference, obligation, evidence example, applicability dimension, and review metadata models.</x:v>
      </x:c>
      <x:c r="G84" s="17" t="str">
        <x:v>Software implementation</x:v>
      </x:c>
      <x:c r="H84" s="17" t="str">
        <x:v>Planned</x:v>
      </x:c>
      <x:c r="I84" s="18" t="str">
        <x:v>Completed</x:v>
      </x:c>
      <x:c r="J84" s="17" t="str">
        <x:f>IF(OR(I84="Completed",I84="Not Applicable"),"No","Yes")</x:f>
        <x:v>No</x:v>
      </x:c>
      <x:c r="K84" s="17" t="str">
        <x:v>5.2</x:v>
      </x:c>
      <x:c r="L84" s="21" t="str">
        <x:v>Story-labeled commit c381bcf4 contains delivery and focused test/test-result files: feat: implement story 6.1 obligation schema</x:v>
      </x:c>
      <x:c r="M84" s="17" t="str">
        <x:v>Implementation commit + focused test artifacts</x:v>
      </x:c>
      <x:c r="N84" s="21" t="str">
        <x:v>git commit c381bcf40546d4cac7cc2875225368ab5ff08c39; /Users/devups/Development/CodexProjects/Gccs/docs/development-story-test-cases.md</x:v>
      </x:c>
      <x:c r="O84" s="19" t="n">
        <x:v>46188.05206018518</x:v>
      </x:c>
      <x:c r="P84" s="21" t="str">
        <x:v>4 acceptance criteria; 4 TC references; implementation=yes; smoke=yes; automated=no; Story-level regression template</x:v>
      </x:c>
      <x:c r="Q84" s="21" t="str"/>
      <x:c r="R84" s="21" t="str">
        <x:v>Retain traceability; rerun focused verification if the affected boundary changes.</x:v>
      </x:c>
      <x:c r="S84" s="18" t="str"/>
      <x:c r="T84" s="20"/>
      <x:c r="U84" s="21" t="str">
        <x:v>Completion is based on immutable repository evidence; tests were not rerun and current working-tree drift was not re-certified in this reporting-only task.</x:v>
      </x:c>
      <x:c r="V84" s="1"/>
    </x:row>
    <x:row r="85" ht="46" customHeight="1">
      <x:c r="A85" s="17" t="n">
        <x:v>81</x:v>
      </x:c>
      <x:c r="B85" s="17" t="str">
        <x:v>Phase 1</x:v>
      </x:c>
      <x:c r="C85" s="17" t="str">
        <x:v>6.1</x:v>
      </x:c>
      <x:c r="D85" s="21" t="str">
        <x:v>Obligation Schema</x:v>
      </x:c>
      <x:c r="E85" s="17" t="n">
        <x:v>2</x:v>
      </x:c>
      <x:c r="F85" s="21" t="str">
        <x:v>Include fields for source, source URL, last reviewed date, trigger logic, required actions, owner, risk, confidence, flow-down requirement, and expert review flag.</x:v>
      </x:c>
      <x:c r="G85" s="17" t="str">
        <x:v>Software implementation</x:v>
      </x:c>
      <x:c r="H85" s="17" t="str">
        <x:v>Planned</x:v>
      </x:c>
      <x:c r="I85" s="18" t="str">
        <x:v>Completed</x:v>
      </x:c>
      <x:c r="J85" s="17" t="str">
        <x:f>IF(OR(I85="Completed",I85="Not Applicable"),"No","Yes")</x:f>
        <x:v>No</x:v>
      </x:c>
      <x:c r="K85" s="17" t="str">
        <x:v>6.1 task 1</x:v>
      </x:c>
      <x:c r="L85" s="21" t="str">
        <x:v>Story-labeled commit c381bcf4 contains delivery and focused test/test-result files: feat: implement story 6.1 obligation schema</x:v>
      </x:c>
      <x:c r="M85" s="17" t="str">
        <x:v>Implementation commit + focused test artifacts</x:v>
      </x:c>
      <x:c r="N85" s="21" t="str">
        <x:v>git commit c381bcf40546d4cac7cc2875225368ab5ff08c39; /Users/devups/Development/CodexProjects/Gccs/docs/development-story-test-cases.md</x:v>
      </x:c>
      <x:c r="O85" s="19" t="n">
        <x:v>46188.05206018518</x:v>
      </x:c>
      <x:c r="P85" s="21" t="str">
        <x:v>4 acceptance criteria; 4 TC references; implementation=yes; smoke=yes; automated=no; Story-level regression template</x:v>
      </x:c>
      <x:c r="Q85" s="21" t="str"/>
      <x:c r="R85" s="21" t="str">
        <x:v>Retain traceability; rerun focused verification if the affected boundary changes.</x:v>
      </x:c>
      <x:c r="S85" s="18" t="str"/>
      <x:c r="T85" s="20"/>
      <x:c r="U85" s="21" t="str">
        <x:v>Completion is based on immutable repository evidence; tests were not rerun and current working-tree drift was not re-certified in this reporting-only task.</x:v>
      </x:c>
      <x:c r="V85" s="1"/>
    </x:row>
    <x:row r="86" ht="46" customHeight="1">
      <x:c r="A86" s="17" t="n">
        <x:v>82</x:v>
      </x:c>
      <x:c r="B86" s="17" t="str">
        <x:v>Phase 1</x:v>
      </x:c>
      <x:c r="C86" s="17" t="str">
        <x:v>6.1</x:v>
      </x:c>
      <x:c r="D86" s="21" t="str">
        <x:v>Obligation Schema</x:v>
      </x:c>
      <x:c r="E86" s="17" t="n">
        <x:v>3</x:v>
      </x:c>
      <x:c r="F86" s="21" t="str">
        <x:v>Add validation for required source metadata.</x:v>
      </x:c>
      <x:c r="G86" s="17" t="str">
        <x:v>Software implementation</x:v>
      </x:c>
      <x:c r="H86" s="17" t="str">
        <x:v>Planned</x:v>
      </x:c>
      <x:c r="I86" s="18" t="str">
        <x:v>Completed</x:v>
      </x:c>
      <x:c r="J86" s="17" t="str">
        <x:f>IF(OR(I86="Completed",I86="Not Applicable"),"No","Yes")</x:f>
        <x:v>No</x:v>
      </x:c>
      <x:c r="K86" s="17" t="str">
        <x:v>6.1 task 2</x:v>
      </x:c>
      <x:c r="L86" s="21" t="str">
        <x:v>Story-labeled commit c381bcf4 contains delivery and focused test/test-result files: feat: implement story 6.1 obligation schema</x:v>
      </x:c>
      <x:c r="M86" s="17" t="str">
        <x:v>Implementation commit + focused test artifacts</x:v>
      </x:c>
      <x:c r="N86" s="21" t="str">
        <x:v>git commit c381bcf40546d4cac7cc2875225368ab5ff08c39; /Users/devups/Development/CodexProjects/Gccs/docs/development-story-test-cases.md</x:v>
      </x:c>
      <x:c r="O86" s="19" t="n">
        <x:v>46188.05206018518</x:v>
      </x:c>
      <x:c r="P86" s="21" t="str">
        <x:v>4 acceptance criteria; 4 TC references; implementation=yes; smoke=yes; automated=no; Story-level regression template</x:v>
      </x:c>
      <x:c r="Q86" s="21" t="str"/>
      <x:c r="R86" s="21" t="str">
        <x:v>Retain traceability; rerun focused verification if the affected boundary changes.</x:v>
      </x:c>
      <x:c r="S86" s="18" t="str"/>
      <x:c r="T86" s="20"/>
      <x:c r="U86" s="21" t="str">
        <x:v>Completion is based on immutable repository evidence; tests were not rerun and current working-tree drift was not re-certified in this reporting-only task.</x:v>
      </x:c>
      <x:c r="V86" s="1"/>
    </x:row>
    <x:row r="87" ht="46" customHeight="1">
      <x:c r="A87" s="17" t="n">
        <x:v>83</x:v>
      </x:c>
      <x:c r="B87" s="17" t="str">
        <x:v>Phase 1</x:v>
      </x:c>
      <x:c r="C87" s="17" t="str">
        <x:v>6.1</x:v>
      </x:c>
      <x:c r="D87" s="21" t="str">
        <x:v>Obligation Schema</x:v>
      </x:c>
      <x:c r="E87" s="17" t="n">
        <x:v>4</x:v>
      </x:c>
      <x:c r="F87" s="21" t="str">
        <x:v>Add tests for invalid content.</x:v>
      </x:c>
      <x:c r="G87" s="17" t="str">
        <x:v>Software implementation</x:v>
      </x:c>
      <x:c r="H87" s="17" t="str">
        <x:v>Planned</x:v>
      </x:c>
      <x:c r="I87" s="18" t="str">
        <x:v>Completed</x:v>
      </x:c>
      <x:c r="J87" s="17" t="str">
        <x:f>IF(OR(I87="Completed",I87="Not Applicable"),"No","Yes")</x:f>
        <x:v>No</x:v>
      </x:c>
      <x:c r="K87" s="17" t="str">
        <x:v>6.1 task 3</x:v>
      </x:c>
      <x:c r="L87" s="21" t="str">
        <x:v>Story-labeled commit c381bcf4 contains delivery and focused test/test-result files: feat: implement story 6.1 obligation schema</x:v>
      </x:c>
      <x:c r="M87" s="17" t="str">
        <x:v>Implementation commit + focused test artifacts</x:v>
      </x:c>
      <x:c r="N87" s="21" t="str">
        <x:v>git commit c381bcf40546d4cac7cc2875225368ab5ff08c39; /Users/devups/Development/CodexProjects/Gccs/docs/development-story-test-cases.md</x:v>
      </x:c>
      <x:c r="O87" s="19" t="n">
        <x:v>46188.05206018518</x:v>
      </x:c>
      <x:c r="P87" s="21" t="str">
        <x:v>4 acceptance criteria; 4 TC references; implementation=yes; smoke=yes; automated=no; Story-level regression template</x:v>
      </x:c>
      <x:c r="Q87" s="21" t="str"/>
      <x:c r="R87" s="21" t="str">
        <x:v>Retain traceability; rerun focused verification if the affected boundary changes.</x:v>
      </x:c>
      <x:c r="S87" s="18" t="str"/>
      <x:c r="T87" s="20"/>
      <x:c r="U87" s="21" t="str">
        <x:v>Completion is based on immutable repository evidence; tests were not rerun and current working-tree drift was not re-certified in this reporting-only task.</x:v>
      </x:c>
      <x:c r="V87" s="1"/>
    </x:row>
    <x:row r="88" ht="46" customHeight="1">
      <x:c r="A88" s="17" t="n">
        <x:v>84</x:v>
      </x:c>
      <x:c r="B88" s="17" t="str">
        <x:v>Phase 1</x:v>
      </x:c>
      <x:c r="C88" s="17" t="str">
        <x:v>6.2</x:v>
      </x:c>
      <x:c r="D88" s="21" t="str">
        <x:v>Content Import</x:v>
      </x:c>
      <x:c r="E88" s="17" t="n">
        <x:v>1</x:v>
      </x:c>
      <x:c r="F88" s="21" t="str">
        <x:v>Create seed/import process for packages/compliance-content.</x:v>
      </x:c>
      <x:c r="G88" s="17" t="str">
        <x:v>Software implementation</x:v>
      </x:c>
      <x:c r="H88" s="17" t="str">
        <x:v>Planned</x:v>
      </x:c>
      <x:c r="I88" s="18" t="str">
        <x:v>Completed</x:v>
      </x:c>
      <x:c r="J88" s="17" t="str">
        <x:f>IF(OR(I88="Completed",I88="Not Applicable"),"No","Yes")</x:f>
        <x:v>No</x:v>
      </x:c>
      <x:c r="K88" s="17" t="str">
        <x:v>6.1</x:v>
      </x:c>
      <x:c r="L88" s="21" t="str">
        <x:v>Story-labeled commit d7b64a53 contains delivery and focused test/test-result files: feat: implement story 6.2 content import</x:v>
      </x:c>
      <x:c r="M88" s="17" t="str">
        <x:v>Implementation commit + focused test artifacts</x:v>
      </x:c>
      <x:c r="N88" s="21" t="str">
        <x:v>git commit d7b64a538a8c36efebd5617b56eeb5f23831d5cd; /Users/devups/Development/CodexProjects/Gccs/docs/development-story-test-cases.md</x:v>
      </x:c>
      <x:c r="O88" s="19" t="n">
        <x:v>46188.05506944445</x:v>
      </x:c>
      <x:c r="P88" s="21" t="str">
        <x:v>4 acceptance criteria; 4 TC references; implementation=yes; smoke=yes; automated=no; Story-level regression template</x:v>
      </x:c>
      <x:c r="Q88" s="21" t="str"/>
      <x:c r="R88" s="21" t="str">
        <x:v>Retain traceability; rerun focused verification if the affected boundary changes.</x:v>
      </x:c>
      <x:c r="S88" s="18" t="str"/>
      <x:c r="T88" s="20"/>
      <x:c r="U88" s="21" t="str">
        <x:v>Completion is based on immutable repository evidence; tests were not rerun and current working-tree drift was not re-certified in this reporting-only task.</x:v>
      </x:c>
      <x:c r="V88" s="1"/>
    </x:row>
    <x:row r="89" ht="46" customHeight="1">
      <x:c r="A89" s="17" t="n">
        <x:v>85</x:v>
      </x:c>
      <x:c r="B89" s="17" t="str">
        <x:v>Phase 1</x:v>
      </x:c>
      <x:c r="C89" s="17" t="str">
        <x:v>6.2</x:v>
      </x:c>
      <x:c r="D89" s="21" t="str">
        <x:v>Content Import</x:v>
      </x:c>
      <x:c r="E89" s="17" t="n">
        <x:v>2</x:v>
      </x:c>
      <x:c r="F89" s="21" t="str">
        <x:v>Validate JSON schema before import.</x:v>
      </x:c>
      <x:c r="G89" s="17" t="str">
        <x:v>Software implementation</x:v>
      </x:c>
      <x:c r="H89" s="17" t="str">
        <x:v>Planned</x:v>
      </x:c>
      <x:c r="I89" s="18" t="str">
        <x:v>Completed</x:v>
      </x:c>
      <x:c r="J89" s="17" t="str">
        <x:f>IF(OR(I89="Completed",I89="Not Applicable"),"No","Yes")</x:f>
        <x:v>No</x:v>
      </x:c>
      <x:c r="K89" s="17" t="str">
        <x:v>6.2 task 1</x:v>
      </x:c>
      <x:c r="L89" s="21" t="str">
        <x:v>Story-labeled commit d7b64a53 contains delivery and focused test/test-result files: feat: implement story 6.2 content import</x:v>
      </x:c>
      <x:c r="M89" s="17" t="str">
        <x:v>Implementation commit + focused test artifacts</x:v>
      </x:c>
      <x:c r="N89" s="21" t="str">
        <x:v>git commit d7b64a538a8c36efebd5617b56eeb5f23831d5cd; /Users/devups/Development/CodexProjects/Gccs/docs/development-story-test-cases.md</x:v>
      </x:c>
      <x:c r="O89" s="19" t="n">
        <x:v>46188.05506944445</x:v>
      </x:c>
      <x:c r="P89" s="21" t="str">
        <x:v>4 acceptance criteria; 4 TC references; implementation=yes; smoke=yes; automated=no; Story-level regression template</x:v>
      </x:c>
      <x:c r="Q89" s="21" t="str"/>
      <x:c r="R89" s="21" t="str">
        <x:v>Retain traceability; rerun focused verification if the affected boundary changes.</x:v>
      </x:c>
      <x:c r="S89" s="18" t="str"/>
      <x:c r="T89" s="20"/>
      <x:c r="U89" s="21" t="str">
        <x:v>Completion is based on immutable repository evidence; tests were not rerun and current working-tree drift was not re-certified in this reporting-only task.</x:v>
      </x:c>
      <x:c r="V89" s="1"/>
    </x:row>
    <x:row r="90" ht="46" customHeight="1">
      <x:c r="A90" s="17" t="n">
        <x:v>86</x:v>
      </x:c>
      <x:c r="B90" s="17" t="str">
        <x:v>Phase 1</x:v>
      </x:c>
      <x:c r="C90" s="17" t="str">
        <x:v>6.2</x:v>
      </x:c>
      <x:c r="D90" s="21" t="str">
        <x:v>Content Import</x:v>
      </x:c>
      <x:c r="E90" s="17" t="n">
        <x:v>3</x:v>
      </x:c>
      <x:c r="F90" s="21" t="str">
        <x:v>Add import idempotency.</x:v>
      </x:c>
      <x:c r="G90" s="17" t="str">
        <x:v>Software implementation</x:v>
      </x:c>
      <x:c r="H90" s="17" t="str">
        <x:v>Planned</x:v>
      </x:c>
      <x:c r="I90" s="18" t="str">
        <x:v>Completed</x:v>
      </x:c>
      <x:c r="J90" s="17" t="str">
        <x:f>IF(OR(I90="Completed",I90="Not Applicable"),"No","Yes")</x:f>
        <x:v>No</x:v>
      </x:c>
      <x:c r="K90" s="17" t="str">
        <x:v>6.2 task 2</x:v>
      </x:c>
      <x:c r="L90" s="21" t="str">
        <x:v>Story-labeled commit d7b64a53 contains delivery and focused test/test-result files: feat: implement story 6.2 content import</x:v>
      </x:c>
      <x:c r="M90" s="17" t="str">
        <x:v>Implementation commit + focused test artifacts</x:v>
      </x:c>
      <x:c r="N90" s="21" t="str">
        <x:v>git commit d7b64a538a8c36efebd5617b56eeb5f23831d5cd; /Users/devups/Development/CodexProjects/Gccs/docs/development-story-test-cases.md</x:v>
      </x:c>
      <x:c r="O90" s="19" t="n">
        <x:v>46188.05506944445</x:v>
      </x:c>
      <x:c r="P90" s="21" t="str">
        <x:v>4 acceptance criteria; 4 TC references; implementation=yes; smoke=yes; automated=no; Story-level regression template</x:v>
      </x:c>
      <x:c r="Q90" s="21" t="str"/>
      <x:c r="R90" s="21" t="str">
        <x:v>Retain traceability; rerun focused verification if the affected boundary changes.</x:v>
      </x:c>
      <x:c r="S90" s="18" t="str"/>
      <x:c r="T90" s="20"/>
      <x:c r="U90" s="21" t="str">
        <x:v>Completion is based on immutable repository evidence; tests were not rerun and current working-tree drift was not re-certified in this reporting-only task.</x:v>
      </x:c>
      <x:c r="V90" s="1"/>
    </x:row>
    <x:row r="91" ht="46" customHeight="1">
      <x:c r="A91" s="17" t="n">
        <x:v>87</x:v>
      </x:c>
      <x:c r="B91" s="17" t="str">
        <x:v>Phase 1</x:v>
      </x:c>
      <x:c r="C91" s="17" t="str">
        <x:v>6.2</x:v>
      </x:c>
      <x:c r="D91" s="21" t="str">
        <x:v>Content Import</x:v>
      </x:c>
      <x:c r="E91" s="17" t="n">
        <x:v>4</x:v>
      </x:c>
      <x:c r="F91" s="21" t="str">
        <x:v>Preserve source metadata, review metadata, and the expert-review-required flag.</x:v>
      </x:c>
      <x:c r="G91" s="17" t="str">
        <x:v>Software implementation</x:v>
      </x:c>
      <x:c r="H91" s="17" t="str">
        <x:v>Planned</x:v>
      </x:c>
      <x:c r="I91" s="18" t="str">
        <x:v>Completed</x:v>
      </x:c>
      <x:c r="J91" s="17" t="str">
        <x:f>IF(OR(I91="Completed",I91="Not Applicable"),"No","Yes")</x:f>
        <x:v>No</x:v>
      </x:c>
      <x:c r="K91" s="17" t="str">
        <x:v>6.2 task 3</x:v>
      </x:c>
      <x:c r="L91" s="21" t="str">
        <x:v>Story-labeled commit d7b64a53 contains delivery and focused test/test-result files: feat: implement story 6.2 content import</x:v>
      </x:c>
      <x:c r="M91" s="17" t="str">
        <x:v>Implementation commit + focused test artifacts</x:v>
      </x:c>
      <x:c r="N91" s="21" t="str">
        <x:v>git commit d7b64a538a8c36efebd5617b56eeb5f23831d5cd; /Users/devups/Development/CodexProjects/Gccs/docs/development-story-test-cases.md</x:v>
      </x:c>
      <x:c r="O91" s="19" t="n">
        <x:v>46188.05506944445</x:v>
      </x:c>
      <x:c r="P91" s="21" t="str">
        <x:v>4 acceptance criteria; 4 TC references; implementation=yes; smoke=yes; automated=no; Story-level regression template</x:v>
      </x:c>
      <x:c r="Q91" s="21" t="str"/>
      <x:c r="R91" s="21" t="str">
        <x:v>Retain traceability; rerun focused verification if the affected boundary changes.</x:v>
      </x:c>
      <x:c r="S91" s="18" t="str"/>
      <x:c r="T91" s="20"/>
      <x:c r="U91" s="21" t="str">
        <x:v>Completion is based on immutable repository evidence; tests were not rerun and current working-tree drift was not re-certified in this reporting-only task.</x:v>
      </x:c>
      <x:c r="V91" s="1"/>
    </x:row>
    <x:row r="92" ht="46" customHeight="1">
      <x:c r="A92" s="17" t="n">
        <x:v>88</x:v>
      </x:c>
      <x:c r="B92" s="17" t="str">
        <x:v>Phase 1</x:v>
      </x:c>
      <x:c r="C92" s="17" t="str">
        <x:v>6.2</x:v>
      </x:c>
      <x:c r="D92" s="21" t="str">
        <x:v>Content Import</x:v>
      </x:c>
      <x:c r="E92" s="17" t="n">
        <x:v>5</x:v>
      </x:c>
      <x:c r="F92" s="21" t="str">
        <x:v>Add import logs and failure reporting.</x:v>
      </x:c>
      <x:c r="G92" s="17" t="str">
        <x:v>Software implementation</x:v>
      </x:c>
      <x:c r="H92" s="17" t="str">
        <x:v>Planned</x:v>
      </x:c>
      <x:c r="I92" s="18" t="str">
        <x:v>Completed</x:v>
      </x:c>
      <x:c r="J92" s="17" t="str">
        <x:f>IF(OR(I92="Completed",I92="Not Applicable"),"No","Yes")</x:f>
        <x:v>No</x:v>
      </x:c>
      <x:c r="K92" s="17" t="str">
        <x:v>6.2 task 4</x:v>
      </x:c>
      <x:c r="L92" s="21" t="str">
        <x:v>Story-labeled commit d7b64a53 contains delivery and focused test/test-result files: feat: implement story 6.2 content import</x:v>
      </x:c>
      <x:c r="M92" s="17" t="str">
        <x:v>Implementation commit + focused test artifacts</x:v>
      </x:c>
      <x:c r="N92" s="21" t="str">
        <x:v>git commit d7b64a538a8c36efebd5617b56eeb5f23831d5cd; /Users/devups/Development/CodexProjects/Gccs/docs/development-story-test-cases.md</x:v>
      </x:c>
      <x:c r="O92" s="19" t="n">
        <x:v>46188.05506944445</x:v>
      </x:c>
      <x:c r="P92" s="21" t="str">
        <x:v>4 acceptance criteria; 4 TC references; implementation=yes; smoke=yes; automated=no; Story-level regression template</x:v>
      </x:c>
      <x:c r="Q92" s="21" t="str"/>
      <x:c r="R92" s="21" t="str">
        <x:v>Retain traceability; rerun focused verification if the affected boundary changes.</x:v>
      </x:c>
      <x:c r="S92" s="18" t="str"/>
      <x:c r="T92" s="20"/>
      <x:c r="U92" s="21" t="str">
        <x:v>Completion is based on immutable repository evidence; tests were not rerun and current working-tree drift was not re-certified in this reporting-only task.</x:v>
      </x:c>
      <x:c r="V92" s="1"/>
    </x:row>
    <x:row r="93" ht="46" customHeight="1">
      <x:c r="A93" s="17" t="n">
        <x:v>89</x:v>
      </x:c>
      <x:c r="B93" s="17" t="str">
        <x:v>Phase 1</x:v>
      </x:c>
      <x:c r="C93" s="17" t="str">
        <x:v>6.3</x:v>
      </x:c>
      <x:c r="D93" s="21" t="str">
        <x:v>Content Review State</x:v>
      </x:c>
      <x:c r="E93" s="17" t="n">
        <x:v>1</x:v>
      </x:c>
      <x:c r="F93" s="21" t="str">
        <x:v>Add draft, in_review, approved, published, and retired states.</x:v>
      </x:c>
      <x:c r="G93" s="17" t="str">
        <x:v>Software implementation</x:v>
      </x:c>
      <x:c r="H93" s="17" t="str">
        <x:v>Planned</x:v>
      </x:c>
      <x:c r="I93" s="18" t="str">
        <x:v>Completed</x:v>
      </x:c>
      <x:c r="J93" s="17" t="str">
        <x:f>IF(OR(I93="Completed",I93="Not Applicable"),"No","Yes")</x:f>
        <x:v>No</x:v>
      </x:c>
      <x:c r="K93" s="17" t="str">
        <x:v>6.2</x:v>
      </x:c>
      <x:c r="L93" s="21" t="str">
        <x:v>Story-labeled commit e49522be contains delivery and focused test/test-result files: feat: implement story 6.3 content review state</x:v>
      </x:c>
      <x:c r="M93" s="17" t="str">
        <x:v>Implementation commit + focused test artifacts</x:v>
      </x:c>
      <x:c r="N93" s="21" t="str">
        <x:v>git commit e49522befb54e6a57f3cbb500f2678c9bdd1d55c; /Users/devups/Development/CodexProjects/Gccs/docs/development-story-test-cases.md</x:v>
      </x:c>
      <x:c r="O93" s="19" t="n">
        <x:v>46188.057858796295</x:v>
      </x:c>
      <x:c r="P93" s="21" t="str">
        <x:v>4 acceptance criteria; 4 TC references; implementation=yes; smoke=yes; automated=no; Story-level regression template</x:v>
      </x:c>
      <x:c r="Q93" s="21" t="str"/>
      <x:c r="R93" s="21" t="str">
        <x:v>Retain traceability; rerun focused verification if the affected boundary changes.</x:v>
      </x:c>
      <x:c r="S93" s="18" t="str"/>
      <x:c r="T93" s="20"/>
      <x:c r="U93" s="21" t="str">
        <x:v>Completion is based on immutable repository evidence; tests were not rerun and current working-tree drift was not re-certified in this reporting-only task.</x:v>
      </x:c>
      <x:c r="V93" s="1"/>
    </x:row>
    <x:row r="94" ht="46" customHeight="1">
      <x:c r="A94" s="17" t="n">
        <x:v>90</x:v>
      </x:c>
      <x:c r="B94" s="17" t="str">
        <x:v>Phase 1</x:v>
      </x:c>
      <x:c r="C94" s="17" t="str">
        <x:v>6.3</x:v>
      </x:c>
      <x:c r="D94" s="21" t="str">
        <x:v>Content Review State</x:v>
      </x:c>
      <x:c r="E94" s="17" t="n">
        <x:v>2</x:v>
      </x:c>
      <x:c r="F94" s="21" t="str">
        <x:v>Restrict customer-facing views to published content.</x:v>
      </x:c>
      <x:c r="G94" s="17" t="str">
        <x:v>Software implementation</x:v>
      </x:c>
      <x:c r="H94" s="17" t="str">
        <x:v>Planned</x:v>
      </x:c>
      <x:c r="I94" s="18" t="str">
        <x:v>Completed</x:v>
      </x:c>
      <x:c r="J94" s="17" t="str">
        <x:f>IF(OR(I94="Completed",I94="Not Applicable"),"No","Yes")</x:f>
        <x:v>No</x:v>
      </x:c>
      <x:c r="K94" s="17" t="str">
        <x:v>6.3 task 1</x:v>
      </x:c>
      <x:c r="L94" s="21" t="str">
        <x:v>Story-labeled commit e49522be contains delivery and focused test/test-result files: feat: implement story 6.3 content review state</x:v>
      </x:c>
      <x:c r="M94" s="17" t="str">
        <x:v>Implementation commit + focused test artifacts</x:v>
      </x:c>
      <x:c r="N94" s="21" t="str">
        <x:v>git commit e49522befb54e6a57f3cbb500f2678c9bdd1d55c; /Users/devups/Development/CodexProjects/Gccs/docs/development-story-test-cases.md</x:v>
      </x:c>
      <x:c r="O94" s="19" t="n">
        <x:v>46188.057858796295</x:v>
      </x:c>
      <x:c r="P94" s="21" t="str">
        <x:v>4 acceptance criteria; 4 TC references; implementation=yes; smoke=yes; automated=no; Story-level regression template</x:v>
      </x:c>
      <x:c r="Q94" s="21" t="str"/>
      <x:c r="R94" s="21" t="str">
        <x:v>Retain traceability; rerun focused verification if the affected boundary changes.</x:v>
      </x:c>
      <x:c r="S94" s="18" t="str"/>
      <x:c r="T94" s="20"/>
      <x:c r="U94" s="21" t="str">
        <x:v>Completion is based on immutable repository evidence; tests were not rerun and current working-tree drift was not re-certified in this reporting-only task.</x:v>
      </x:c>
      <x:c r="V94" s="1"/>
    </x:row>
    <x:row r="95" ht="46" customHeight="1">
      <x:c r="A95" s="17" t="n">
        <x:v>91</x:v>
      </x:c>
      <x:c r="B95" s="17" t="str">
        <x:v>Phase 1</x:v>
      </x:c>
      <x:c r="C95" s="17" t="str">
        <x:v>6.3</x:v>
      </x:c>
      <x:c r="D95" s="21" t="str">
        <x:v>Content Review State</x:v>
      </x:c>
      <x:c r="E95" s="17" t="n">
        <x:v>3</x:v>
      </x:c>
      <x:c r="F95" s="21" t="str">
        <x:v>Add reviewer identity and review date fields.</x:v>
      </x:c>
      <x:c r="G95" s="17" t="str">
        <x:v>Software implementation</x:v>
      </x:c>
      <x:c r="H95" s="17" t="str">
        <x:v>Planned</x:v>
      </x:c>
      <x:c r="I95" s="18" t="str">
        <x:v>Completed</x:v>
      </x:c>
      <x:c r="J95" s="17" t="str">
        <x:f>IF(OR(I95="Completed",I95="Not Applicable"),"No","Yes")</x:f>
        <x:v>No</x:v>
      </x:c>
      <x:c r="K95" s="17" t="str">
        <x:v>6.3 task 2</x:v>
      </x:c>
      <x:c r="L95" s="21" t="str">
        <x:v>Story-labeled commit e49522be contains delivery and focused test/test-result files: feat: implement story 6.3 content review state</x:v>
      </x:c>
      <x:c r="M95" s="17" t="str">
        <x:v>Implementation commit + focused test artifacts</x:v>
      </x:c>
      <x:c r="N95" s="21" t="str">
        <x:v>git commit e49522befb54e6a57f3cbb500f2678c9bdd1d55c; /Users/devups/Development/CodexProjects/Gccs/docs/development-story-test-cases.md</x:v>
      </x:c>
      <x:c r="O95" s="19" t="n">
        <x:v>46188.057858796295</x:v>
      </x:c>
      <x:c r="P95" s="21" t="str">
        <x:v>4 acceptance criteria; 4 TC references; implementation=yes; smoke=yes; automated=no; Story-level regression template</x:v>
      </x:c>
      <x:c r="Q95" s="21" t="str"/>
      <x:c r="R95" s="21" t="str">
        <x:v>Retain traceability; rerun focused verification if the affected boundary changes.</x:v>
      </x:c>
      <x:c r="S95" s="18" t="str"/>
      <x:c r="T95" s="20"/>
      <x:c r="U95" s="21" t="str">
        <x:v>Completion is based on immutable repository evidence; tests were not rerun and current working-tree drift was not re-certified in this reporting-only task.</x:v>
      </x:c>
      <x:c r="V95" s="1"/>
    </x:row>
    <x:row r="96" ht="46" customHeight="1">
      <x:c r="A96" s="17" t="n">
        <x:v>92</x:v>
      </x:c>
      <x:c r="B96" s="17" t="str">
        <x:v>Phase 1</x:v>
      </x:c>
      <x:c r="C96" s="17" t="str">
        <x:v>6.3</x:v>
      </x:c>
      <x:c r="D96" s="21" t="str">
        <x:v>Content Review State</x:v>
      </x:c>
      <x:c r="E96" s="17" t="n">
        <x:v>4</x:v>
      </x:c>
      <x:c r="F96" s="21" t="str">
        <x:v>Add workflow for retiring content.</x:v>
      </x:c>
      <x:c r="G96" s="17" t="str">
        <x:v>Software implementation</x:v>
      </x:c>
      <x:c r="H96" s="17" t="str">
        <x:v>Planned</x:v>
      </x:c>
      <x:c r="I96" s="18" t="str">
        <x:v>Completed</x:v>
      </x:c>
      <x:c r="J96" s="17" t="str">
        <x:f>IF(OR(I96="Completed",I96="Not Applicable"),"No","Yes")</x:f>
        <x:v>No</x:v>
      </x:c>
      <x:c r="K96" s="17" t="str">
        <x:v>6.3 task 3</x:v>
      </x:c>
      <x:c r="L96" s="21" t="str">
        <x:v>Story-labeled commit e49522be contains delivery and focused test/test-result files: feat: implement story 6.3 content review state</x:v>
      </x:c>
      <x:c r="M96" s="17" t="str">
        <x:v>Implementation commit + focused test artifacts</x:v>
      </x:c>
      <x:c r="N96" s="21" t="str">
        <x:v>git commit e49522befb54e6a57f3cbb500f2678c9bdd1d55c; /Users/devups/Development/CodexProjects/Gccs/docs/development-story-test-cases.md</x:v>
      </x:c>
      <x:c r="O96" s="19" t="n">
        <x:v>46188.057858796295</x:v>
      </x:c>
      <x:c r="P96" s="21" t="str">
        <x:v>4 acceptance criteria; 4 TC references; implementation=yes; smoke=yes; automated=no; Story-level regression template</x:v>
      </x:c>
      <x:c r="Q96" s="21" t="str"/>
      <x:c r="R96" s="21" t="str">
        <x:v>Retain traceability; rerun focused verification if the affected boundary changes.</x:v>
      </x:c>
      <x:c r="S96" s="18" t="str"/>
      <x:c r="T96" s="20"/>
      <x:c r="U96" s="21" t="str">
        <x:v>Completion is based on immutable repository evidence; tests were not rerun and current working-tree drift was not re-certified in this reporting-only task.</x:v>
      </x:c>
      <x:c r="V96" s="1"/>
    </x:row>
    <x:row r="97" ht="46" customHeight="1">
      <x:c r="A97" s="17" t="n">
        <x:v>93</x:v>
      </x:c>
      <x:c r="B97" s="17" t="str">
        <x:v>Phase 1</x:v>
      </x:c>
      <x:c r="C97" s="17" t="str">
        <x:v>7.1</x:v>
      </x:c>
      <x:c r="D97" s="21" t="str">
        <x:v>Create Company Profile</x:v>
      </x:c>
      <x:c r="E97" s="17" t="n">
        <x:v>1</x:v>
      </x:c>
      <x:c r="F97" s="21" t="str">
        <x:v>Build API and UI form for legal entity name, UEI, CAGE code, SAM expiration, NAICS codes, SBA size status, certifications, agency customers, role, products/services, employee range, revenue range, locations, IT summary, and FCI/CUI posture.</x:v>
      </x:c>
      <x:c r="G97" s="17" t="str">
        <x:v>Software implementation</x:v>
      </x:c>
      <x:c r="H97" s="17" t="str">
        <x:v>Planned</x:v>
      </x:c>
      <x:c r="I97" s="18" t="str">
        <x:v>Completed</x:v>
      </x:c>
      <x:c r="J97" s="17" t="str">
        <x:f>IF(OR(I97="Completed",I97="Not Applicable"),"No","Yes")</x:f>
        <x:v>No</x:v>
      </x:c>
      <x:c r="K97" s="17" t="str">
        <x:v>6.3</x:v>
      </x:c>
      <x:c r="L97" s="21" t="str">
        <x:v>Story-labeled commit bd7c8304 contains delivery and focused test/test-result files: feat: implement story 7.1 company profile</x:v>
      </x:c>
      <x:c r="M97" s="17" t="str">
        <x:v>Implementation commit + focused test artifacts</x:v>
      </x:c>
      <x:c r="N97" s="21" t="str">
        <x:v>git commit bd7c83049211d87aa1fddda95efb2b6df542ade1; /Users/devups/Development/CodexProjects/Gccs/docs/development-story-test-cases.md</x:v>
      </x:c>
      <x:c r="O97" s="19" t="n">
        <x:v>46188.06738425926</x:v>
      </x:c>
      <x:c r="P97" s="21" t="str">
        <x:v>4 acceptance criteria; 4 TC references; implementation=yes; smoke=yes; automated=no; Story-level regression template</x:v>
      </x:c>
      <x:c r="Q97" s="21" t="str"/>
      <x:c r="R97" s="21" t="str">
        <x:v>Retain traceability; rerun focused verification if the affected boundary changes.</x:v>
      </x:c>
      <x:c r="S97" s="18" t="str"/>
      <x:c r="T97" s="20"/>
      <x:c r="U97" s="21" t="str">
        <x:v>Completion is based on immutable repository evidence; tests were not rerun and current working-tree drift was not re-certified in this reporting-only task.</x:v>
      </x:c>
      <x:c r="V97" s="1"/>
    </x:row>
    <x:row r="98" ht="46" customHeight="1">
      <x:c r="A98" s="17" t="n">
        <x:v>94</x:v>
      </x:c>
      <x:c r="B98" s="17" t="str">
        <x:v>Phase 1</x:v>
      </x:c>
      <x:c r="C98" s="17" t="str">
        <x:v>7.1</x:v>
      </x:c>
      <x:c r="D98" s="21" t="str">
        <x:v>Create Company Profile</x:v>
      </x:c>
      <x:c r="E98" s="17" t="n">
        <x:v>2</x:v>
      </x:c>
      <x:c r="F98" s="21" t="str">
        <x:v>Add field validation and save draft behavior.</x:v>
      </x:c>
      <x:c r="G98" s="17" t="str">
        <x:v>Software implementation</x:v>
      </x:c>
      <x:c r="H98" s="17" t="str">
        <x:v>Planned</x:v>
      </x:c>
      <x:c r="I98" s="18" t="str">
        <x:v>Completed</x:v>
      </x:c>
      <x:c r="J98" s="17" t="str">
        <x:f>IF(OR(I98="Completed",I98="Not Applicable"),"No","Yes")</x:f>
        <x:v>No</x:v>
      </x:c>
      <x:c r="K98" s="17" t="str">
        <x:v>7.1 task 1</x:v>
      </x:c>
      <x:c r="L98" s="21" t="str">
        <x:v>Story-labeled commit bd7c8304 contains delivery and focused test/test-result files: feat: implement story 7.1 company profile</x:v>
      </x:c>
      <x:c r="M98" s="17" t="str">
        <x:v>Implementation commit + focused test artifacts</x:v>
      </x:c>
      <x:c r="N98" s="21" t="str">
        <x:v>git commit bd7c83049211d87aa1fddda95efb2b6df542ade1; /Users/devups/Development/CodexProjects/Gccs/docs/development-story-test-cases.md</x:v>
      </x:c>
      <x:c r="O98" s="19" t="n">
        <x:v>46188.06738425926</x:v>
      </x:c>
      <x:c r="P98" s="21" t="str">
        <x:v>4 acceptance criteria; 4 TC references; implementation=yes; smoke=yes; automated=no; Story-level regression template</x:v>
      </x:c>
      <x:c r="Q98" s="21" t="str"/>
      <x:c r="R98" s="21" t="str">
        <x:v>Retain traceability; rerun focused verification if the affected boundary changes.</x:v>
      </x:c>
      <x:c r="S98" s="18" t="str"/>
      <x:c r="T98" s="20"/>
      <x:c r="U98" s="21" t="str">
        <x:v>Completion is based on immutable repository evidence; tests were not rerun and current working-tree drift was not re-certified in this reporting-only task.</x:v>
      </x:c>
      <x:c r="V98" s="1"/>
    </x:row>
    <x:row r="99" ht="46" customHeight="1">
      <x:c r="A99" s="17" t="n">
        <x:v>95</x:v>
      </x:c>
      <x:c r="B99" s="17" t="str">
        <x:v>Phase 1</x:v>
      </x:c>
      <x:c r="C99" s="17" t="str">
        <x:v>7.1</x:v>
      </x:c>
      <x:c r="D99" s="21" t="str">
        <x:v>Create Company Profile</x:v>
      </x:c>
      <x:c r="E99" s="17" t="n">
        <x:v>3</x:v>
      </x:c>
      <x:c r="F99" s="21" t="str">
        <x:v>Add profile detail page.</x:v>
      </x:c>
      <x:c r="G99" s="17" t="str">
        <x:v>Software implementation</x:v>
      </x:c>
      <x:c r="H99" s="17" t="str">
        <x:v>Planned</x:v>
      </x:c>
      <x:c r="I99" s="18" t="str">
        <x:v>Completed</x:v>
      </x:c>
      <x:c r="J99" s="17" t="str">
        <x:f>IF(OR(I99="Completed",I99="Not Applicable"),"No","Yes")</x:f>
        <x:v>No</x:v>
      </x:c>
      <x:c r="K99" s="17" t="str">
        <x:v>7.1 task 2</x:v>
      </x:c>
      <x:c r="L99" s="21" t="str">
        <x:v>Story-labeled commit bd7c8304 contains delivery and focused test/test-result files: feat: implement story 7.1 company profile</x:v>
      </x:c>
      <x:c r="M99" s="17" t="str">
        <x:v>Implementation commit + focused test artifacts</x:v>
      </x:c>
      <x:c r="N99" s="21" t="str">
        <x:v>git commit bd7c83049211d87aa1fddda95efb2b6df542ade1; /Users/devups/Development/CodexProjects/Gccs/docs/development-story-test-cases.md</x:v>
      </x:c>
      <x:c r="O99" s="19" t="n">
        <x:v>46188.06738425926</x:v>
      </x:c>
      <x:c r="P99" s="21" t="str">
        <x:v>4 acceptance criteria; 4 TC references; implementation=yes; smoke=yes; automated=no; Story-level regression template</x:v>
      </x:c>
      <x:c r="Q99" s="21" t="str"/>
      <x:c r="R99" s="21" t="str">
        <x:v>Retain traceability; rerun focused verification if the affected boundary changes.</x:v>
      </x:c>
      <x:c r="S99" s="18" t="str"/>
      <x:c r="T99" s="20"/>
      <x:c r="U99" s="21" t="str">
        <x:v>Completion is based on immutable repository evidence; tests were not rerun and current working-tree drift was not re-certified in this reporting-only task.</x:v>
      </x:c>
      <x:c r="V99" s="1"/>
    </x:row>
    <x:row r="100" ht="46" customHeight="1">
      <x:c r="A100" s="17" t="n">
        <x:v>96</x:v>
      </x:c>
      <x:c r="B100" s="17" t="str">
        <x:v>Phase 1</x:v>
      </x:c>
      <x:c r="C100" s="17" t="str">
        <x:v>7.1</x:v>
      </x:c>
      <x:c r="D100" s="21" t="str">
        <x:v>Create Company Profile</x:v>
      </x:c>
      <x:c r="E100" s="17" t="n">
        <x:v>4</x:v>
      </x:c>
      <x:c r="F100" s="21" t="str">
        <x:v>Add audit events for create and update.</x:v>
      </x:c>
      <x:c r="G100" s="17" t="str">
        <x:v>Software implementation</x:v>
      </x:c>
      <x:c r="H100" s="17" t="str">
        <x:v>Planned</x:v>
      </x:c>
      <x:c r="I100" s="18" t="str">
        <x:v>Completed</x:v>
      </x:c>
      <x:c r="J100" s="17" t="str">
        <x:f>IF(OR(I100="Completed",I100="Not Applicable"),"No","Yes")</x:f>
        <x:v>No</x:v>
      </x:c>
      <x:c r="K100" s="17" t="str">
        <x:v>7.1 task 3</x:v>
      </x:c>
      <x:c r="L100" s="21" t="str">
        <x:v>Story-labeled commit bd7c8304 contains delivery and focused test/test-result files: feat: implement story 7.1 company profile</x:v>
      </x:c>
      <x:c r="M100" s="17" t="str">
        <x:v>Implementation commit + focused test artifacts</x:v>
      </x:c>
      <x:c r="N100" s="21" t="str">
        <x:v>git commit bd7c83049211d87aa1fddda95efb2b6df542ade1; /Users/devups/Development/CodexProjects/Gccs/docs/development-story-test-cases.md</x:v>
      </x:c>
      <x:c r="O100" s="19" t="n">
        <x:v>46188.06738425926</x:v>
      </x:c>
      <x:c r="P100" s="21" t="str">
        <x:v>4 acceptance criteria; 4 TC references; implementation=yes; smoke=yes; automated=no; Story-level regression template</x:v>
      </x:c>
      <x:c r="Q100" s="21" t="str"/>
      <x:c r="R100" s="21" t="str">
        <x:v>Retain traceability; rerun focused verification if the affected boundary changes.</x:v>
      </x:c>
      <x:c r="S100" s="18" t="str"/>
      <x:c r="T100" s="20"/>
      <x:c r="U100" s="21" t="str">
        <x:v>Completion is based on immutable repository evidence; tests were not rerun and current working-tree drift was not re-certified in this reporting-only task.</x:v>
      </x:c>
      <x:c r="V100" s="1"/>
    </x:row>
    <x:row r="101" ht="46" customHeight="1">
      <x:c r="A101" s="17" t="n">
        <x:v>97</x:v>
      </x:c>
      <x:c r="B101" s="17" t="str">
        <x:v>Phase 1</x:v>
      </x:c>
      <x:c r="C101" s="17" t="str">
        <x:v>7.2</x:v>
      </x:c>
      <x:c r="D101" s="21" t="str">
        <x:v>NAICS And Size Status</x:v>
      </x:c>
      <x:c r="E101" s="17" t="n">
        <x:v>1</x:v>
      </x:c>
      <x:c r="F101" s="21" t="str">
        <x:v>Add NAICS code list to company profile.</x:v>
      </x:c>
      <x:c r="G101" s="17" t="str">
        <x:v>Software implementation</x:v>
      </x:c>
      <x:c r="H101" s="17" t="str">
        <x:v>Planned</x:v>
      </x:c>
      <x:c r="I101" s="18" t="str">
        <x:v>Completed</x:v>
      </x:c>
      <x:c r="J101" s="17" t="str">
        <x:f>IF(OR(I101="Completed",I101="Not Applicable"),"No","Yes")</x:f>
        <x:v>No</x:v>
      </x:c>
      <x:c r="K101" s="17" t="str">
        <x:v>7.1</x:v>
      </x:c>
      <x:c r="L101" s="21" t="str">
        <x:v>Story-labeled commit f56bf519 contains delivery and focused test/test-result files: feat: implement story 7.2 naics size status</x:v>
      </x:c>
      <x:c r="M101" s="17" t="str">
        <x:v>Implementation commit + focused test artifacts</x:v>
      </x:c>
      <x:c r="N101" s="21" t="str">
        <x:v>git commit f56bf519fe6fe008ebe21a97e4c1dc82b879cede; /Users/devups/Development/CodexProjects/Gccs/docs/development-story-test-cases.md</x:v>
      </x:c>
      <x:c r="O101" s="19" t="n">
        <x:v>46188.09502314815</x:v>
      </x:c>
      <x:c r="P101" s="21" t="str">
        <x:v>4 acceptance criteria; 4 TC references; implementation=yes; smoke=yes; automated=no; Story-level regression template</x:v>
      </x:c>
      <x:c r="Q101" s="21" t="str"/>
      <x:c r="R101" s="21" t="str">
        <x:v>Retain traceability; rerun focused verification if the affected boundary changes.</x:v>
      </x:c>
      <x:c r="S101" s="18" t="str"/>
      <x:c r="T101" s="20"/>
      <x:c r="U101" s="21" t="str">
        <x:v>Completion is based on immutable repository evidence; tests were not rerun and current working-tree drift was not re-certified in this reporting-only task.</x:v>
      </x:c>
      <x:c r="V101" s="1"/>
    </x:row>
    <x:row r="102" ht="46" customHeight="1">
      <x:c r="A102" s="17" t="n">
        <x:v>98</x:v>
      </x:c>
      <x:c r="B102" s="17" t="str">
        <x:v>Phase 1</x:v>
      </x:c>
      <x:c r="C102" s="17" t="str">
        <x:v>7.2</x:v>
      </x:c>
      <x:c r="D102" s="21" t="str">
        <x:v>NAICS And Size Status</x:v>
      </x:c>
      <x:c r="E102" s="17" t="n">
        <x:v>2</x:v>
      </x:c>
      <x:c r="F102" s="21" t="str">
        <x:v>Allow users to mark primary NAICS.</x:v>
      </x:c>
      <x:c r="G102" s="17" t="str">
        <x:v>Software implementation</x:v>
      </x:c>
      <x:c r="H102" s="17" t="str">
        <x:v>Planned</x:v>
      </x:c>
      <x:c r="I102" s="18" t="str">
        <x:v>Completed</x:v>
      </x:c>
      <x:c r="J102" s="17" t="str">
        <x:f>IF(OR(I102="Completed",I102="Not Applicable"),"No","Yes")</x:f>
        <x:v>No</x:v>
      </x:c>
      <x:c r="K102" s="17" t="str">
        <x:v>7.2 task 1</x:v>
      </x:c>
      <x:c r="L102" s="21" t="str">
        <x:v>Story-labeled commit f56bf519 contains delivery and focused test/test-result files: feat: implement story 7.2 naics size status</x:v>
      </x:c>
      <x:c r="M102" s="17" t="str">
        <x:v>Implementation commit + focused test artifacts</x:v>
      </x:c>
      <x:c r="N102" s="21" t="str">
        <x:v>git commit f56bf519fe6fe008ebe21a97e4c1dc82b879cede; /Users/devups/Development/CodexProjects/Gccs/docs/development-story-test-cases.md</x:v>
      </x:c>
      <x:c r="O102" s="19" t="n">
        <x:v>46188.09502314815</x:v>
      </x:c>
      <x:c r="P102" s="21" t="str">
        <x:v>4 acceptance criteria; 4 TC references; implementation=yes; smoke=yes; automated=no; Story-level regression template</x:v>
      </x:c>
      <x:c r="Q102" s="21" t="str"/>
      <x:c r="R102" s="21" t="str">
        <x:v>Retain traceability; rerun focused verification if the affected boundary changes.</x:v>
      </x:c>
      <x:c r="S102" s="18" t="str"/>
      <x:c r="T102" s="20"/>
      <x:c r="U102" s="21" t="str">
        <x:v>Completion is based on immutable repository evidence; tests were not rerun and current working-tree drift was not re-certified in this reporting-only task.</x:v>
      </x:c>
      <x:c r="V102" s="1"/>
    </x:row>
    <x:row r="103" ht="46" customHeight="1">
      <x:c r="A103" s="17" t="n">
        <x:v>99</x:v>
      </x:c>
      <x:c r="B103" s="17" t="str">
        <x:v>Phase 1</x:v>
      </x:c>
      <x:c r="C103" s="17" t="str">
        <x:v>7.2</x:v>
      </x:c>
      <x:c r="D103" s="21" t="str">
        <x:v>NAICS And Size Status</x:v>
      </x:c>
      <x:c r="E103" s="17" t="n">
        <x:v>3</x:v>
      </x:c>
      <x:c r="F103" s="21" t="str">
        <x:v>Capture size status and basis for each NAICS.</x:v>
      </x:c>
      <x:c r="G103" s="17" t="str">
        <x:v>Software implementation</x:v>
      </x:c>
      <x:c r="H103" s="17" t="str">
        <x:v>Planned</x:v>
      </x:c>
      <x:c r="I103" s="18" t="str">
        <x:v>Completed</x:v>
      </x:c>
      <x:c r="J103" s="17" t="str">
        <x:f>IF(OR(I103="Completed",I103="Not Applicable"),"No","Yes")</x:f>
        <x:v>No</x:v>
      </x:c>
      <x:c r="K103" s="17" t="str">
        <x:v>7.2 task 2</x:v>
      </x:c>
      <x:c r="L103" s="21" t="str">
        <x:v>Story-labeled commit f56bf519 contains delivery and focused test/test-result files: feat: implement story 7.2 naics size status</x:v>
      </x:c>
      <x:c r="M103" s="17" t="str">
        <x:v>Implementation commit + focused test artifacts</x:v>
      </x:c>
      <x:c r="N103" s="21" t="str">
        <x:v>git commit f56bf519fe6fe008ebe21a97e4c1dc82b879cede; /Users/devups/Development/CodexProjects/Gccs/docs/development-story-test-cases.md</x:v>
      </x:c>
      <x:c r="O103" s="19" t="n">
        <x:v>46188.09502314815</x:v>
      </x:c>
      <x:c r="P103" s="21" t="str">
        <x:v>4 acceptance criteria; 4 TC references; implementation=yes; smoke=yes; automated=no; Story-level regression template</x:v>
      </x:c>
      <x:c r="Q103" s="21" t="str"/>
      <x:c r="R103" s="21" t="str">
        <x:v>Retain traceability; rerun focused verification if the affected boundary changes.</x:v>
      </x:c>
      <x:c r="S103" s="18" t="str"/>
      <x:c r="T103" s="20"/>
      <x:c r="U103" s="21" t="str">
        <x:v>Completion is based on immutable repository evidence; tests were not rerun and current working-tree drift was not re-certified in this reporting-only task.</x:v>
      </x:c>
      <x:c r="V103" s="1"/>
    </x:row>
    <x:row r="104" ht="46" customHeight="1">
      <x:c r="A104" s="17" t="n">
        <x:v>100</x:v>
      </x:c>
      <x:c r="B104" s="17" t="str">
        <x:v>Phase 1</x:v>
      </x:c>
      <x:c r="C104" s="17" t="str">
        <x:v>7.2</x:v>
      </x:c>
      <x:c r="D104" s="21" t="str">
        <x:v>NAICS And Size Status</x:v>
      </x:c>
      <x:c r="E104" s="17" t="n">
        <x:v>4</x:v>
      </x:c>
      <x:c r="F104" s="21" t="str">
        <x:v>Add profile warnings for missing size status.</x:v>
      </x:c>
      <x:c r="G104" s="17" t="str">
        <x:v>Software implementation</x:v>
      </x:c>
      <x:c r="H104" s="17" t="str">
        <x:v>Planned</x:v>
      </x:c>
      <x:c r="I104" s="18" t="str">
        <x:v>Completed</x:v>
      </x:c>
      <x:c r="J104" s="17" t="str">
        <x:f>IF(OR(I104="Completed",I104="Not Applicable"),"No","Yes")</x:f>
        <x:v>No</x:v>
      </x:c>
      <x:c r="K104" s="17" t="str">
        <x:v>7.2 task 3</x:v>
      </x:c>
      <x:c r="L104" s="21" t="str">
        <x:v>Story-labeled commit f56bf519 contains delivery and focused test/test-result files: feat: implement story 7.2 naics size status</x:v>
      </x:c>
      <x:c r="M104" s="17" t="str">
        <x:v>Implementation commit + focused test artifacts</x:v>
      </x:c>
      <x:c r="N104" s="21" t="str">
        <x:v>git commit f56bf519fe6fe008ebe21a97e4c1dc82b879cede; /Users/devups/Development/CodexProjects/Gccs/docs/development-story-test-cases.md</x:v>
      </x:c>
      <x:c r="O104" s="19" t="n">
        <x:v>46188.09502314815</x:v>
      </x:c>
      <x:c r="P104" s="21" t="str">
        <x:v>4 acceptance criteria; 4 TC references; implementation=yes; smoke=yes; automated=no; Story-level regression template</x:v>
      </x:c>
      <x:c r="Q104" s="21" t="str"/>
      <x:c r="R104" s="21" t="str">
        <x:v>Retain traceability; rerun focused verification if the affected boundary changes.</x:v>
      </x:c>
      <x:c r="S104" s="18" t="str"/>
      <x:c r="T104" s="20"/>
      <x:c r="U104" s="21" t="str">
        <x:v>Completion is based on immutable repository evidence; tests were not rerun and current working-tree drift was not re-certified in this reporting-only task.</x:v>
      </x:c>
      <x:c r="V104" s="1"/>
    </x:row>
    <x:row r="105" ht="46" customHeight="1">
      <x:c r="A105" s="17" t="n">
        <x:v>101</x:v>
      </x:c>
      <x:c r="B105" s="17" t="str">
        <x:v>Phase 1</x:v>
      </x:c>
      <x:c r="C105" s="17" t="str">
        <x:v>7.3</x:v>
      </x:c>
      <x:c r="D105" s="21" t="str">
        <x:v>Certification Tracking</x:v>
      </x:c>
      <x:c r="E105" s="17" t="n">
        <x:v>1</x:v>
      </x:c>
      <x:c r="F105" s="21" t="str">
        <x:v>Add certification model and UI.</x:v>
      </x:c>
      <x:c r="G105" s="17" t="str">
        <x:v>Software implementation</x:v>
      </x:c>
      <x:c r="H105" s="17" t="str">
        <x:v>Planned</x:v>
      </x:c>
      <x:c r="I105" s="18" t="str">
        <x:v>Completed</x:v>
      </x:c>
      <x:c r="J105" s="17" t="str">
        <x:f>IF(OR(I105="Completed",I105="Not Applicable"),"No","Yes")</x:f>
        <x:v>No</x:v>
      </x:c>
      <x:c r="K105" s="17" t="str">
        <x:v>7.2</x:v>
      </x:c>
      <x:c r="L105" s="21" t="str">
        <x:v>Story-labeled commit da85daa4 contains delivery and focused test/test-result files: feat: implement story 7.3 certification tracking</x:v>
      </x:c>
      <x:c r="M105" s="17" t="str">
        <x:v>Implementation commit + focused test artifacts</x:v>
      </x:c>
      <x:c r="N105" s="21" t="str">
        <x:v>git commit da85daa43c9711b4d274bd3fcad585cd0899913e; /Users/devups/Development/CodexProjects/Gccs/docs/development-story-test-cases.md</x:v>
      </x:c>
      <x:c r="O105" s="19" t="n">
        <x:v>46188.09966435185</x:v>
      </x:c>
      <x:c r="P105" s="21" t="str">
        <x:v>4 acceptance criteria; 4 TC references; implementation=yes; smoke=yes; automated=no; Story-level regression template</x:v>
      </x:c>
      <x:c r="Q105" s="21" t="str"/>
      <x:c r="R105" s="21" t="str">
        <x:v>Retain traceability; rerun focused verification if the affected boundary changes.</x:v>
      </x:c>
      <x:c r="S105" s="18" t="str"/>
      <x:c r="T105" s="20"/>
      <x:c r="U105" s="21" t="str">
        <x:v>Completion is based on immutable repository evidence; tests were not rerun and current working-tree drift was not re-certified in this reporting-only task.</x:v>
      </x:c>
      <x:c r="V105" s="1"/>
    </x:row>
    <x:row r="106" ht="46" customHeight="1">
      <x:c r="A106" s="17" t="n">
        <x:v>102</x:v>
      </x:c>
      <x:c r="B106" s="17" t="str">
        <x:v>Phase 1</x:v>
      </x:c>
      <x:c r="C106" s="17" t="str">
        <x:v>7.3</x:v>
      </x:c>
      <x:c r="D106" s="21" t="str">
        <x:v>Certification Tracking</x:v>
      </x:c>
      <x:c r="E106" s="17" t="n">
        <x:v>2</x:v>
      </x:c>
      <x:c r="F106" s="21" t="str">
        <x:v>Capture type, issuing body, status, effective date, expiration date, and evidence link.</x:v>
      </x:c>
      <x:c r="G106" s="17" t="str">
        <x:v>Software implementation</x:v>
      </x:c>
      <x:c r="H106" s="17" t="str">
        <x:v>Planned</x:v>
      </x:c>
      <x:c r="I106" s="18" t="str">
        <x:v>Completed</x:v>
      </x:c>
      <x:c r="J106" s="17" t="str">
        <x:f>IF(OR(I106="Completed",I106="Not Applicable"),"No","Yes")</x:f>
        <x:v>No</x:v>
      </x:c>
      <x:c r="K106" s="17" t="str">
        <x:v>7.3 task 1</x:v>
      </x:c>
      <x:c r="L106" s="21" t="str">
        <x:v>Story-labeled commit da85daa4 contains delivery and focused test/test-result files: feat: implement story 7.3 certification tracking</x:v>
      </x:c>
      <x:c r="M106" s="17" t="str">
        <x:v>Implementation commit + focused test artifacts</x:v>
      </x:c>
      <x:c r="N106" s="21" t="str">
        <x:v>git commit da85daa43c9711b4d274bd3fcad585cd0899913e; /Users/devups/Development/CodexProjects/Gccs/docs/development-story-test-cases.md</x:v>
      </x:c>
      <x:c r="O106" s="19" t="n">
        <x:v>46188.09966435185</x:v>
      </x:c>
      <x:c r="P106" s="21" t="str">
        <x:v>4 acceptance criteria; 4 TC references; implementation=yes; smoke=yes; automated=no; Story-level regression template</x:v>
      </x:c>
      <x:c r="Q106" s="21" t="str"/>
      <x:c r="R106" s="21" t="str">
        <x:v>Retain traceability; rerun focused verification if the affected boundary changes.</x:v>
      </x:c>
      <x:c r="S106" s="18" t="str"/>
      <x:c r="T106" s="20"/>
      <x:c r="U106" s="21" t="str">
        <x:v>Completion is based on immutable repository evidence; tests were not rerun and current working-tree drift was not re-certified in this reporting-only task.</x:v>
      </x:c>
      <x:c r="V106" s="1"/>
    </x:row>
    <x:row r="107" ht="46" customHeight="1">
      <x:c r="A107" s="17" t="n">
        <x:v>103</x:v>
      </x:c>
      <x:c r="B107" s="17" t="str">
        <x:v>Phase 1</x:v>
      </x:c>
      <x:c r="C107" s="17" t="str">
        <x:v>7.3</x:v>
      </x:c>
      <x:c r="D107" s="21" t="str">
        <x:v>Certification Tracking</x:v>
      </x:c>
      <x:c r="E107" s="17" t="n">
        <x:v>3</x:v>
      </x:c>
      <x:c r="F107" s="21" t="str">
        <x:v>Generate renewal task for certifications with expiration dates.</x:v>
      </x:c>
      <x:c r="G107" s="17" t="str">
        <x:v>Software implementation</x:v>
      </x:c>
      <x:c r="H107" s="17" t="str">
        <x:v>Planned</x:v>
      </x:c>
      <x:c r="I107" s="18" t="str">
        <x:v>Completed</x:v>
      </x:c>
      <x:c r="J107" s="17" t="str">
        <x:f>IF(OR(I107="Completed",I107="Not Applicable"),"No","Yes")</x:f>
        <x:v>No</x:v>
      </x:c>
      <x:c r="K107" s="17" t="str">
        <x:v>7.3 task 2</x:v>
      </x:c>
      <x:c r="L107" s="21" t="str">
        <x:v>Story-labeled commit da85daa4 contains delivery and focused test/test-result files: feat: implement story 7.3 certification tracking</x:v>
      </x:c>
      <x:c r="M107" s="17" t="str">
        <x:v>Implementation commit + focused test artifacts</x:v>
      </x:c>
      <x:c r="N107" s="21" t="str">
        <x:v>git commit da85daa43c9711b4d274bd3fcad585cd0899913e; /Users/devups/Development/CodexProjects/Gccs/docs/development-story-test-cases.md</x:v>
      </x:c>
      <x:c r="O107" s="19" t="n">
        <x:v>46188.09966435185</x:v>
      </x:c>
      <x:c r="P107" s="21" t="str">
        <x:v>4 acceptance criteria; 4 TC references; implementation=yes; smoke=yes; automated=no; Story-level regression template</x:v>
      </x:c>
      <x:c r="Q107" s="21" t="str"/>
      <x:c r="R107" s="21" t="str">
        <x:v>Retain traceability; rerun focused verification if the affected boundary changes.</x:v>
      </x:c>
      <x:c r="S107" s="18" t="str"/>
      <x:c r="T107" s="20"/>
      <x:c r="U107" s="21" t="str">
        <x:v>Completion is based on immutable repository evidence; tests were not rerun and current working-tree drift was not re-certified in this reporting-only task.</x:v>
      </x:c>
      <x:c r="V107" s="1"/>
    </x:row>
    <x:row r="108" ht="46" customHeight="1">
      <x:c r="A108" s="17" t="n">
        <x:v>104</x:v>
      </x:c>
      <x:c r="B108" s="17" t="str">
        <x:v>Phase 1</x:v>
      </x:c>
      <x:c r="C108" s="17" t="str">
        <x:v>7.3</x:v>
      </x:c>
      <x:c r="D108" s="21" t="str">
        <x:v>Certification Tracking</x:v>
      </x:c>
      <x:c r="E108" s="17" t="n">
        <x:v>4</x:v>
      </x:c>
      <x:c r="F108" s="21" t="str">
        <x:v>Show expired and expiring certifications on dashboard.</x:v>
      </x:c>
      <x:c r="G108" s="17" t="str">
        <x:v>Software implementation</x:v>
      </x:c>
      <x:c r="H108" s="17" t="str">
        <x:v>Planned</x:v>
      </x:c>
      <x:c r="I108" s="18" t="str">
        <x:v>Completed</x:v>
      </x:c>
      <x:c r="J108" s="17" t="str">
        <x:f>IF(OR(I108="Completed",I108="Not Applicable"),"No","Yes")</x:f>
        <x:v>No</x:v>
      </x:c>
      <x:c r="K108" s="17" t="str">
        <x:v>7.3 task 3</x:v>
      </x:c>
      <x:c r="L108" s="21" t="str">
        <x:v>Story-labeled commit da85daa4 contains delivery and focused test/test-result files: feat: implement story 7.3 certification tracking</x:v>
      </x:c>
      <x:c r="M108" s="17" t="str">
        <x:v>Implementation commit + focused test artifacts</x:v>
      </x:c>
      <x:c r="N108" s="21" t="str">
        <x:v>git commit da85daa43c9711b4d274bd3fcad585cd0899913e; /Users/devups/Development/CodexProjects/Gccs/docs/development-story-test-cases.md</x:v>
      </x:c>
      <x:c r="O108" s="19" t="n">
        <x:v>46188.09966435185</x:v>
      </x:c>
      <x:c r="P108" s="21" t="str">
        <x:v>4 acceptance criteria; 4 TC references; implementation=yes; smoke=yes; automated=no; Story-level regression template</x:v>
      </x:c>
      <x:c r="Q108" s="21" t="str"/>
      <x:c r="R108" s="21" t="str">
        <x:v>Retain traceability; rerun focused verification if the affected boundary changes.</x:v>
      </x:c>
      <x:c r="S108" s="18" t="str"/>
      <x:c r="T108" s="20"/>
      <x:c r="U108" s="21" t="str">
        <x:v>Completion is based on immutable repository evidence; tests were not rerun and current working-tree drift was not re-certified in this reporting-only task.</x:v>
      </x:c>
      <x:c r="V108" s="1"/>
    </x:row>
    <x:row r="109" ht="46" customHeight="1">
      <x:c r="A109" s="17" t="n">
        <x:v>105</x:v>
      </x:c>
      <x:c r="B109" s="17" t="str">
        <x:v>Phase 1</x:v>
      </x:c>
      <x:c r="C109" s="17" t="str">
        <x:v>8.1</x:v>
      </x:c>
      <x:c r="D109" s="21" t="str">
        <x:v>Create Contract Record</x:v>
      </x:c>
      <x:c r="E109" s="17" t="n">
        <x:v>1</x:v>
      </x:c>
      <x:c r="F109" s="21" t="str">
        <x:v>Build contract API and UI.</x:v>
      </x:c>
      <x:c r="G109" s="17" t="str">
        <x:v>Software implementation</x:v>
      </x:c>
      <x:c r="H109" s="17" t="str">
        <x:v>Planned</x:v>
      </x:c>
      <x:c r="I109" s="18" t="str">
        <x:v>Completed</x:v>
      </x:c>
      <x:c r="J109" s="17" t="str">
        <x:f>IF(OR(I109="Completed",I109="Not Applicable"),"No","Yes")</x:f>
        <x:v>No</x:v>
      </x:c>
      <x:c r="K109" s="17" t="str">
        <x:v>7.3</x:v>
      </x:c>
      <x:c r="L109" s="21" t="str">
        <x:v>Story-labeled commit fb6f6b68 contains delivery and focused test/test-result files: feat: implement story 8.1 contract records</x:v>
      </x:c>
      <x:c r="M109" s="17" t="str">
        <x:v>Implementation commit + focused test artifacts</x:v>
      </x:c>
      <x:c r="N109" s="21" t="str">
        <x:v>git commit fb6f6b68e5db11ec0040efe33cb3dc22fe4ae55a; /Users/devups/Development/CodexProjects/Gccs/docs/development-story-test-cases.md</x:v>
      </x:c>
      <x:c r="O109" s="19" t="n">
        <x:v>46188.142013888886</x:v>
      </x:c>
      <x:c r="P109" s="21" t="str">
        <x:v>4 acceptance criteria; 4 TC references; implementation=yes; smoke=yes; automated=no; Story-level regression template</x:v>
      </x:c>
      <x:c r="Q109" s="21" t="str"/>
      <x:c r="R109" s="21" t="str">
        <x:v>Retain traceability; rerun focused verification if the affected boundary changes.</x:v>
      </x:c>
      <x:c r="S109" s="18" t="str"/>
      <x:c r="T109" s="20"/>
      <x:c r="U109" s="21" t="str">
        <x:v>Completion is based on immutable repository evidence; tests were not rerun and current working-tree drift was not re-certified in this reporting-only task.</x:v>
      </x:c>
      <x:c r="V109" s="1"/>
    </x:row>
    <x:row r="110" ht="46" customHeight="1">
      <x:c r="A110" s="17" t="n">
        <x:v>106</x:v>
      </x:c>
      <x:c r="B110" s="17" t="str">
        <x:v>Phase 1</x:v>
      </x:c>
      <x:c r="C110" s="17" t="str">
        <x:v>8.1</x:v>
      </x:c>
      <x:c r="D110" s="21" t="str">
        <x:v>Create Contract Record</x:v>
      </x:c>
      <x:c r="E110" s="17" t="n">
        <x:v>2</x:v>
      </x:c>
      <x:c r="F110" s="21" t="str">
        <x:v>Capture contract number, agency or prime, contract type, role, status, period of performance, place of performance, description, and data handling posture.</x:v>
      </x:c>
      <x:c r="G110" s="17" t="str">
        <x:v>Software implementation</x:v>
      </x:c>
      <x:c r="H110" s="17" t="str">
        <x:v>Planned</x:v>
      </x:c>
      <x:c r="I110" s="18" t="str">
        <x:v>Completed</x:v>
      </x:c>
      <x:c r="J110" s="17" t="str">
        <x:f>IF(OR(I110="Completed",I110="Not Applicable"),"No","Yes")</x:f>
        <x:v>No</x:v>
      </x:c>
      <x:c r="K110" s="17" t="str">
        <x:v>8.1 task 1</x:v>
      </x:c>
      <x:c r="L110" s="21" t="str">
        <x:v>Story-labeled commit fb6f6b68 contains delivery and focused test/test-result files: feat: implement story 8.1 contract records</x:v>
      </x:c>
      <x:c r="M110" s="17" t="str">
        <x:v>Implementation commit + focused test artifacts</x:v>
      </x:c>
      <x:c r="N110" s="21" t="str">
        <x:v>git commit fb6f6b68e5db11ec0040efe33cb3dc22fe4ae55a; /Users/devups/Development/CodexProjects/Gccs/docs/development-story-test-cases.md</x:v>
      </x:c>
      <x:c r="O110" s="19" t="n">
        <x:v>46188.142013888886</x:v>
      </x:c>
      <x:c r="P110" s="21" t="str">
        <x:v>4 acceptance criteria; 4 TC references; implementation=yes; smoke=yes; automated=no; Story-level regression template</x:v>
      </x:c>
      <x:c r="Q110" s="21" t="str"/>
      <x:c r="R110" s="21" t="str">
        <x:v>Retain traceability; rerun focused verification if the affected boundary changes.</x:v>
      </x:c>
      <x:c r="S110" s="18" t="str"/>
      <x:c r="T110" s="20"/>
      <x:c r="U110" s="21" t="str">
        <x:v>Completion is based on immutable repository evidence; tests were not rerun and current working-tree drift was not re-certified in this reporting-only task.</x:v>
      </x:c>
      <x:c r="V110" s="1"/>
    </x:row>
    <x:row r="111" ht="46" customHeight="1">
      <x:c r="A111" s="17" t="n">
        <x:v>107</x:v>
      </x:c>
      <x:c r="B111" s="17" t="str">
        <x:v>Phase 1</x:v>
      </x:c>
      <x:c r="C111" s="17" t="str">
        <x:v>8.1</x:v>
      </x:c>
      <x:c r="D111" s="21" t="str">
        <x:v>Create Contract Record</x:v>
      </x:c>
      <x:c r="E111" s="17" t="n">
        <x:v>3</x:v>
      </x:c>
      <x:c r="F111" s="21" t="str">
        <x:v>Support draft and active status.</x:v>
      </x:c>
      <x:c r="G111" s="17" t="str">
        <x:v>Software implementation</x:v>
      </x:c>
      <x:c r="H111" s="17" t="str">
        <x:v>Planned</x:v>
      </x:c>
      <x:c r="I111" s="18" t="str">
        <x:v>Completed</x:v>
      </x:c>
      <x:c r="J111" s="17" t="str">
        <x:f>IF(OR(I111="Completed",I111="Not Applicable"),"No","Yes")</x:f>
        <x:v>No</x:v>
      </x:c>
      <x:c r="K111" s="17" t="str">
        <x:v>8.1 task 2</x:v>
      </x:c>
      <x:c r="L111" s="21" t="str">
        <x:v>Story-labeled commit fb6f6b68 contains delivery and focused test/test-result files: feat: implement story 8.1 contract records</x:v>
      </x:c>
      <x:c r="M111" s="17" t="str">
        <x:v>Implementation commit + focused test artifacts</x:v>
      </x:c>
      <x:c r="N111" s="21" t="str">
        <x:v>git commit fb6f6b68e5db11ec0040efe33cb3dc22fe4ae55a; /Users/devups/Development/CodexProjects/Gccs/docs/development-story-test-cases.md</x:v>
      </x:c>
      <x:c r="O111" s="19" t="n">
        <x:v>46188.142013888886</x:v>
      </x:c>
      <x:c r="P111" s="21" t="str">
        <x:v>4 acceptance criteria; 4 TC references; implementation=yes; smoke=yes; automated=no; Story-level regression template</x:v>
      </x:c>
      <x:c r="Q111" s="21" t="str"/>
      <x:c r="R111" s="21" t="str">
        <x:v>Retain traceability; rerun focused verification if the affected boundary changes.</x:v>
      </x:c>
      <x:c r="S111" s="18" t="str"/>
      <x:c r="T111" s="20"/>
      <x:c r="U111" s="21" t="str">
        <x:v>Completion is based on immutable repository evidence; tests were not rerun and current working-tree drift was not re-certified in this reporting-only task.</x:v>
      </x:c>
      <x:c r="V111" s="1"/>
    </x:row>
    <x:row r="112" ht="46" customHeight="1">
      <x:c r="A112" s="17" t="n">
        <x:v>108</x:v>
      </x:c>
      <x:c r="B112" s="17" t="str">
        <x:v>Phase 1</x:v>
      </x:c>
      <x:c r="C112" s="17" t="str">
        <x:v>8.1</x:v>
      </x:c>
      <x:c r="D112" s="21" t="str">
        <x:v>Create Contract Record</x:v>
      </x:c>
      <x:c r="E112" s="17" t="n">
        <x:v>4</x:v>
      </x:c>
      <x:c r="F112" s="21" t="str">
        <x:v>Add contract list and detail pages.</x:v>
      </x:c>
      <x:c r="G112" s="17" t="str">
        <x:v>Software implementation</x:v>
      </x:c>
      <x:c r="H112" s="17" t="str">
        <x:v>Planned</x:v>
      </x:c>
      <x:c r="I112" s="18" t="str">
        <x:v>Completed</x:v>
      </x:c>
      <x:c r="J112" s="17" t="str">
        <x:f>IF(OR(I112="Completed",I112="Not Applicable"),"No","Yes")</x:f>
        <x:v>No</x:v>
      </x:c>
      <x:c r="K112" s="17" t="str">
        <x:v>8.1 task 3</x:v>
      </x:c>
      <x:c r="L112" s="21" t="str">
        <x:v>Story-labeled commit fb6f6b68 contains delivery and focused test/test-result files: feat: implement story 8.1 contract records</x:v>
      </x:c>
      <x:c r="M112" s="17" t="str">
        <x:v>Implementation commit + focused test artifacts</x:v>
      </x:c>
      <x:c r="N112" s="21" t="str">
        <x:v>git commit fb6f6b68e5db11ec0040efe33cb3dc22fe4ae55a; /Users/devups/Development/CodexProjects/Gccs/docs/development-story-test-cases.md</x:v>
      </x:c>
      <x:c r="O112" s="19" t="n">
        <x:v>46188.142013888886</x:v>
      </x:c>
      <x:c r="P112" s="21" t="str">
        <x:v>4 acceptance criteria; 4 TC references; implementation=yes; smoke=yes; automated=no; Story-level regression template</x:v>
      </x:c>
      <x:c r="Q112" s="21" t="str"/>
      <x:c r="R112" s="21" t="str">
        <x:v>Retain traceability; rerun focused verification if the affected boundary changes.</x:v>
      </x:c>
      <x:c r="S112" s="18" t="str"/>
      <x:c r="T112" s="20"/>
      <x:c r="U112" s="21" t="str">
        <x:v>Completion is based on immutable repository evidence; tests were not rerun and current working-tree drift was not re-certified in this reporting-only task.</x:v>
      </x:c>
      <x:c r="V112" s="1"/>
    </x:row>
    <x:row r="113" ht="46" customHeight="1">
      <x:c r="A113" s="17" t="n">
        <x:v>109</x:v>
      </x:c>
      <x:c r="B113" s="17" t="str">
        <x:v>Phase 1</x:v>
      </x:c>
      <x:c r="C113" s="17" t="str">
        <x:v>8.2</x:v>
      </x:c>
      <x:c r="D113" s="21" t="str">
        <x:v>Contract Document Metadata And Upload</x:v>
      </x:c>
      <x:c r="E113" s="17" t="n">
        <x:v>1</x:v>
      </x:c>
      <x:c r="F113" s="21" t="str">
        <x:v>Add document metadata model for solicitation, contract, subcontract, purchase order, SOW, flow-down attachment, wage determination, DD Form 254 metadata, and CUI marking guide metadata.</x:v>
      </x:c>
      <x:c r="G113" s="17" t="str">
        <x:v>Software implementation</x:v>
      </x:c>
      <x:c r="H113" s="17" t="str">
        <x:v>Planned</x:v>
      </x:c>
      <x:c r="I113" s="18" t="str">
        <x:v>Completed</x:v>
      </x:c>
      <x:c r="J113" s="17" t="str">
        <x:f>IF(OR(I113="Completed",I113="Not Applicable"),"No","Yes")</x:f>
        <x:v>No</x:v>
      </x:c>
      <x:c r="K113" s="17" t="str">
        <x:v>8.1</x:v>
      </x:c>
      <x:c r="L113" s="21" t="str">
        <x:v>Story-labeled commit 8a15f305 contains delivery and focused test/test-result files: feat: implement story 8.2 contract document metadata</x:v>
      </x:c>
      <x:c r="M113" s="17" t="str">
        <x:v>Implementation commit + focused test artifacts</x:v>
      </x:c>
      <x:c r="N113" s="21" t="str">
        <x:v>git commit 8a15f305ace1044d1de5d507b0e9c6f642c1b1ee; /Users/devups/Development/CodexProjects/Gccs/docs/development-story-test-cases.md</x:v>
      </x:c>
      <x:c r="O113" s="19" t="n">
        <x:v>46188.147199074076</x:v>
      </x:c>
      <x:c r="P113" s="21" t="str">
        <x:v>4 acceptance criteria; 4 TC references; implementation=yes; smoke=yes; automated=no; Story-level regression template</x:v>
      </x:c>
      <x:c r="Q113" s="21" t="str"/>
      <x:c r="R113" s="21" t="str">
        <x:v>Retain traceability; rerun focused verification if the affected boundary changes.</x:v>
      </x:c>
      <x:c r="S113" s="18" t="str"/>
      <x:c r="T113" s="20"/>
      <x:c r="U113" s="21" t="str">
        <x:v>Completion is based on immutable repository evidence; tests were not rerun and current working-tree drift was not re-certified in this reporting-only task.</x:v>
      </x:c>
      <x:c r="V113" s="1"/>
    </x:row>
    <x:row r="114" ht="46" customHeight="1">
      <x:c r="A114" s="17" t="n">
        <x:v>110</x:v>
      </x:c>
      <x:c r="B114" s="17" t="str">
        <x:v>Phase 1</x:v>
      </x:c>
      <x:c r="C114" s="17" t="str">
        <x:v>8.2</x:v>
      </x:c>
      <x:c r="D114" s="21" t="str">
        <x:v>Contract Document Metadata And Upload</x:v>
      </x:c>
      <x:c r="E114" s="17" t="n">
        <x:v>2</x:v>
      </x:c>
      <x:c r="F114" s="21" t="str">
        <x:v>Add upload workflow with data handling acknowledgement and tenant CUI gating.</x:v>
      </x:c>
      <x:c r="G114" s="17" t="str">
        <x:v>Software implementation</x:v>
      </x:c>
      <x:c r="H114" s="17" t="str">
        <x:v>Planned</x:v>
      </x:c>
      <x:c r="I114" s="18" t="str">
        <x:v>Completed</x:v>
      </x:c>
      <x:c r="J114" s="17" t="str">
        <x:f>IF(OR(I114="Completed",I114="Not Applicable"),"No","Yes")</x:f>
        <x:v>No</x:v>
      </x:c>
      <x:c r="K114" s="17" t="str">
        <x:v>8.2 task 1</x:v>
      </x:c>
      <x:c r="L114" s="21" t="str">
        <x:v>Story-labeled commit 8a15f305 contains delivery and focused test/test-result files: feat: implement story 8.2 contract document metadata</x:v>
      </x:c>
      <x:c r="M114" s="17" t="str">
        <x:v>Implementation commit + focused test artifacts</x:v>
      </x:c>
      <x:c r="N114" s="21" t="str">
        <x:v>git commit 8a15f305ace1044d1de5d507b0e9c6f642c1b1ee; /Users/devups/Development/CodexProjects/Gccs/docs/development-story-test-cases.md</x:v>
      </x:c>
      <x:c r="O114" s="19" t="n">
        <x:v>46188.147199074076</x:v>
      </x:c>
      <x:c r="P114" s="21" t="str">
        <x:v>4 acceptance criteria; 4 TC references; implementation=yes; smoke=yes; automated=no; Story-level regression template</x:v>
      </x:c>
      <x:c r="Q114" s="21" t="str"/>
      <x:c r="R114" s="21" t="str">
        <x:v>Retain traceability; rerun focused verification if the affected boundary changes.</x:v>
      </x:c>
      <x:c r="S114" s="18" t="str"/>
      <x:c r="T114" s="20"/>
      <x:c r="U114" s="21" t="str">
        <x:v>Completion is based on immutable repository evidence; tests were not rerun and current working-tree drift was not re-certified in this reporting-only task.</x:v>
      </x:c>
      <x:c r="V114" s="1"/>
    </x:row>
    <x:row r="115" ht="46" customHeight="1">
      <x:c r="A115" s="17" t="n">
        <x:v>111</x:v>
      </x:c>
      <x:c r="B115" s="17" t="str">
        <x:v>Phase 1</x:v>
      </x:c>
      <x:c r="C115" s="17" t="str">
        <x:v>8.2</x:v>
      </x:c>
      <x:c r="D115" s="21" t="str">
        <x:v>Contract Document Metadata And Upload</x:v>
      </x:c>
      <x:c r="E115" s="17" t="n">
        <x:v>3</x:v>
      </x:c>
      <x:c r="F115" s="21" t="str">
        <x:v>Store file metadata and object storage reference.</x:v>
      </x:c>
      <x:c r="G115" s="17" t="str">
        <x:v>Software implementation</x:v>
      </x:c>
      <x:c r="H115" s="17" t="str">
        <x:v>Planned</x:v>
      </x:c>
      <x:c r="I115" s="18" t="str">
        <x:v>Completed</x:v>
      </x:c>
      <x:c r="J115" s="17" t="str">
        <x:f>IF(OR(I115="Completed",I115="Not Applicable"),"No","Yes")</x:f>
        <x:v>No</x:v>
      </x:c>
      <x:c r="K115" s="17" t="str">
        <x:v>8.2 task 2</x:v>
      </x:c>
      <x:c r="L115" s="21" t="str">
        <x:v>Story-labeled commit 8a15f305 contains delivery and focused test/test-result files: feat: implement story 8.2 contract document metadata</x:v>
      </x:c>
      <x:c r="M115" s="17" t="str">
        <x:v>Implementation commit + focused test artifacts</x:v>
      </x:c>
      <x:c r="N115" s="21" t="str">
        <x:v>git commit 8a15f305ace1044d1de5d507b0e9c6f642c1b1ee; /Users/devups/Development/CodexProjects/Gccs/docs/development-story-test-cases.md</x:v>
      </x:c>
      <x:c r="O115" s="19" t="n">
        <x:v>46188.147199074076</x:v>
      </x:c>
      <x:c r="P115" s="21" t="str">
        <x:v>4 acceptance criteria; 4 TC references; implementation=yes; smoke=yes; automated=no; Story-level regression template</x:v>
      </x:c>
      <x:c r="Q115" s="21" t="str"/>
      <x:c r="R115" s="21" t="str">
        <x:v>Retain traceability; rerun focused verification if the affected boundary changes.</x:v>
      </x:c>
      <x:c r="S115" s="18" t="str"/>
      <x:c r="T115" s="20"/>
      <x:c r="U115" s="21" t="str">
        <x:v>Completion is based on immutable repository evidence; tests were not rerun and current working-tree drift was not re-certified in this reporting-only task.</x:v>
      </x:c>
      <x:c r="V115" s="1"/>
    </x:row>
    <x:row r="116" ht="46" customHeight="1">
      <x:c r="A116" s="17" t="n">
        <x:v>112</x:v>
      </x:c>
      <x:c r="B116" s="17" t="str">
        <x:v>Phase 1</x:v>
      </x:c>
      <x:c r="C116" s="17" t="str">
        <x:v>8.2</x:v>
      </x:c>
      <x:c r="D116" s="21" t="str">
        <x:v>Contract Document Metadata And Upload</x:v>
      </x:c>
      <x:c r="E116" s="17" t="n">
        <x:v>4</x:v>
      </x:c>
      <x:c r="F116" s="21" t="str">
        <x:v>Add scan status and validation status.</x:v>
      </x:c>
      <x:c r="G116" s="17" t="str">
        <x:v>Software implementation</x:v>
      </x:c>
      <x:c r="H116" s="17" t="str">
        <x:v>Planned</x:v>
      </x:c>
      <x:c r="I116" s="18" t="str">
        <x:v>Completed</x:v>
      </x:c>
      <x:c r="J116" s="17" t="str">
        <x:f>IF(OR(I116="Completed",I116="Not Applicable"),"No","Yes")</x:f>
        <x:v>No</x:v>
      </x:c>
      <x:c r="K116" s="17" t="str">
        <x:v>8.2 task 3</x:v>
      </x:c>
      <x:c r="L116" s="21" t="str">
        <x:v>Story-labeled commit 8a15f305 contains delivery and focused test/test-result files: feat: implement story 8.2 contract document metadata</x:v>
      </x:c>
      <x:c r="M116" s="17" t="str">
        <x:v>Implementation commit + focused test artifacts</x:v>
      </x:c>
      <x:c r="N116" s="21" t="str">
        <x:v>git commit 8a15f305ace1044d1de5d507b0e9c6f642c1b1ee; /Users/devups/Development/CodexProjects/Gccs/docs/development-story-test-cases.md</x:v>
      </x:c>
      <x:c r="O116" s="19" t="n">
        <x:v>46188.147199074076</x:v>
      </x:c>
      <x:c r="P116" s="21" t="str">
        <x:v>4 acceptance criteria; 4 TC references; implementation=yes; smoke=yes; automated=no; Story-level regression template</x:v>
      </x:c>
      <x:c r="Q116" s="21" t="str"/>
      <x:c r="R116" s="21" t="str">
        <x:v>Retain traceability; rerun focused verification if the affected boundary changes.</x:v>
      </x:c>
      <x:c r="S116" s="18" t="str"/>
      <x:c r="T116" s="20"/>
      <x:c r="U116" s="21" t="str">
        <x:v>Completion is based on immutable repository evidence; tests were not rerun and current working-tree drift was not re-certified in this reporting-only task.</x:v>
      </x:c>
      <x:c r="V116" s="1"/>
    </x:row>
    <x:row r="117" ht="46" customHeight="1">
      <x:c r="A117" s="17" t="n">
        <x:v>113</x:v>
      </x:c>
      <x:c r="B117" s="17" t="str">
        <x:v>Phase 1</x:v>
      </x:c>
      <x:c r="C117" s="17" t="str">
        <x:v>8.3</x:v>
      </x:c>
      <x:c r="D117" s="21" t="str">
        <x:v>Contract Dates And Deliverables</x:v>
      </x:c>
      <x:c r="E117" s="17" t="n">
        <x:v>1</x:v>
      </x:c>
      <x:c r="F117" s="21" t="str">
        <x:v>Add deliverable and deadline models.</x:v>
      </x:c>
      <x:c r="G117" s="17" t="str">
        <x:v>Software implementation</x:v>
      </x:c>
      <x:c r="H117" s="17" t="str">
        <x:v>Planned</x:v>
      </x:c>
      <x:c r="I117" s="18" t="str">
        <x:v>Completed</x:v>
      </x:c>
      <x:c r="J117" s="17" t="str">
        <x:f>IF(OR(I117="Completed",I117="Not Applicable"),"No","Yes")</x:f>
        <x:v>No</x:v>
      </x:c>
      <x:c r="K117" s="17" t="str">
        <x:v>8.2</x:v>
      </x:c>
      <x:c r="L117" s="21" t="str">
        <x:v>Story-labeled commit 00a4d39e contains delivery and focused test/test-result files: feat: implement story 8.3 contract deliverables</x:v>
      </x:c>
      <x:c r="M117" s="17" t="str">
        <x:v>Implementation commit + focused test artifacts</x:v>
      </x:c>
      <x:c r="N117" s="21" t="str">
        <x:v>git commit 00a4d39e9c0944b01200b7abec11856472b3fe3a; /Users/devups/Development/CodexProjects/Gccs/docs/development-story-test-cases.md</x:v>
      </x:c>
      <x:c r="O117" s="19" t="n">
        <x:v>46188.15201388889</x:v>
      </x:c>
      <x:c r="P117" s="21" t="str">
        <x:v>4 acceptance criteria; 4 TC references; implementation=yes; smoke=yes; automated=no; Story-level regression template</x:v>
      </x:c>
      <x:c r="Q117" s="21" t="str"/>
      <x:c r="R117" s="21" t="str">
        <x:v>Retain traceability; rerun focused verification if the affected boundary changes.</x:v>
      </x:c>
      <x:c r="S117" s="18" t="str"/>
      <x:c r="T117" s="20"/>
      <x:c r="U117" s="21" t="str">
        <x:v>Completion is based on immutable repository evidence; tests were not rerun and current working-tree drift was not re-certified in this reporting-only task.</x:v>
      </x:c>
      <x:c r="V117" s="1"/>
    </x:row>
    <x:row r="118" ht="46" customHeight="1">
      <x:c r="A118" s="17" t="n">
        <x:v>114</x:v>
      </x:c>
      <x:c r="B118" s="17" t="str">
        <x:v>Phase 1</x:v>
      </x:c>
      <x:c r="C118" s="17" t="str">
        <x:v>8.3</x:v>
      </x:c>
      <x:c r="D118" s="21" t="str">
        <x:v>Contract Dates And Deliverables</x:v>
      </x:c>
      <x:c r="E118" s="17" t="n">
        <x:v>2</x:v>
      </x:c>
      <x:c r="F118" s="21" t="str">
        <x:v>Add UI to create deliverables with owner, due date, status, and description.</x:v>
      </x:c>
      <x:c r="G118" s="17" t="str">
        <x:v>Software implementation</x:v>
      </x:c>
      <x:c r="H118" s="17" t="str">
        <x:v>Planned</x:v>
      </x:c>
      <x:c r="I118" s="18" t="str">
        <x:v>Completed</x:v>
      </x:c>
      <x:c r="J118" s="17" t="str">
        <x:f>IF(OR(I118="Completed",I118="Not Applicable"),"No","Yes")</x:f>
        <x:v>No</x:v>
      </x:c>
      <x:c r="K118" s="17" t="str">
        <x:v>8.3 task 1</x:v>
      </x:c>
      <x:c r="L118" s="21" t="str">
        <x:v>Story-labeled commit 00a4d39e contains delivery and focused test/test-result files: feat: implement story 8.3 contract deliverables</x:v>
      </x:c>
      <x:c r="M118" s="17" t="str">
        <x:v>Implementation commit + focused test artifacts</x:v>
      </x:c>
      <x:c r="N118" s="21" t="str">
        <x:v>git commit 00a4d39e9c0944b01200b7abec11856472b3fe3a; /Users/devups/Development/CodexProjects/Gccs/docs/development-story-test-cases.md</x:v>
      </x:c>
      <x:c r="O118" s="19" t="n">
        <x:v>46188.15201388889</x:v>
      </x:c>
      <x:c r="P118" s="21" t="str">
        <x:v>4 acceptance criteria; 4 TC references; implementation=yes; smoke=yes; automated=no; Story-level regression template</x:v>
      </x:c>
      <x:c r="Q118" s="21" t="str"/>
      <x:c r="R118" s="21" t="str">
        <x:v>Retain traceability; rerun focused verification if the affected boundary changes.</x:v>
      </x:c>
      <x:c r="S118" s="18" t="str"/>
      <x:c r="T118" s="20"/>
      <x:c r="U118" s="21" t="str">
        <x:v>Completion is based on immutable repository evidence; tests were not rerun and current working-tree drift was not re-certified in this reporting-only task.</x:v>
      </x:c>
      <x:c r="V118" s="1"/>
    </x:row>
    <x:row r="119" ht="46" customHeight="1">
      <x:c r="A119" s="17" t="n">
        <x:v>115</x:v>
      </x:c>
      <x:c r="B119" s="17" t="str">
        <x:v>Phase 1</x:v>
      </x:c>
      <x:c r="C119" s="17" t="str">
        <x:v>8.3</x:v>
      </x:c>
      <x:c r="D119" s="21" t="str">
        <x:v>Contract Dates And Deliverables</x:v>
      </x:c>
      <x:c r="E119" s="17" t="n">
        <x:v>3</x:v>
      </x:c>
      <x:c r="F119" s="21" t="str">
        <x:v>Link deliverables to calendar tasks.</x:v>
      </x:c>
      <x:c r="G119" s="17" t="str">
        <x:v>Software implementation</x:v>
      </x:c>
      <x:c r="H119" s="17" t="str">
        <x:v>Planned</x:v>
      </x:c>
      <x:c r="I119" s="18" t="str">
        <x:v>Completed</x:v>
      </x:c>
      <x:c r="J119" s="17" t="str">
        <x:f>IF(OR(I119="Completed",I119="Not Applicable"),"No","Yes")</x:f>
        <x:v>No</x:v>
      </x:c>
      <x:c r="K119" s="17" t="str">
        <x:v>8.3 task 2</x:v>
      </x:c>
      <x:c r="L119" s="21" t="str">
        <x:v>Story-labeled commit 00a4d39e contains delivery and focused test/test-result files: feat: implement story 8.3 contract deliverables</x:v>
      </x:c>
      <x:c r="M119" s="17" t="str">
        <x:v>Implementation commit + focused test artifacts</x:v>
      </x:c>
      <x:c r="N119" s="21" t="str">
        <x:v>git commit 00a4d39e9c0944b01200b7abec11856472b3fe3a; /Users/devups/Development/CodexProjects/Gccs/docs/development-story-test-cases.md</x:v>
      </x:c>
      <x:c r="O119" s="19" t="n">
        <x:v>46188.15201388889</x:v>
      </x:c>
      <x:c r="P119" s="21" t="str">
        <x:v>4 acceptance criteria; 4 TC references; implementation=yes; smoke=yes; automated=no; Story-level regression template</x:v>
      </x:c>
      <x:c r="Q119" s="21" t="str"/>
      <x:c r="R119" s="21" t="str">
        <x:v>Retain traceability; rerun focused verification if the affected boundary changes.</x:v>
      </x:c>
      <x:c r="S119" s="18" t="str"/>
      <x:c r="T119" s="20"/>
      <x:c r="U119" s="21" t="str">
        <x:v>Completion is based on immutable repository evidence; tests were not rerun and current working-tree drift was not re-certified in this reporting-only task.</x:v>
      </x:c>
      <x:c r="V119" s="1"/>
    </x:row>
    <x:row r="120" ht="46" customHeight="1">
      <x:c r="A120" s="17" t="n">
        <x:v>116</x:v>
      </x:c>
      <x:c r="B120" s="17" t="str">
        <x:v>Phase 1</x:v>
      </x:c>
      <x:c r="C120" s="17" t="str">
        <x:v>8.3</x:v>
      </x:c>
      <x:c r="D120" s="21" t="str">
        <x:v>Contract Dates And Deliverables</x:v>
      </x:c>
      <x:c r="E120" s="17" t="n">
        <x:v>4</x:v>
      </x:c>
      <x:c r="F120" s="21" t="str">
        <x:v>Add overdue handling.</x:v>
      </x:c>
      <x:c r="G120" s="17" t="str">
        <x:v>Software implementation</x:v>
      </x:c>
      <x:c r="H120" s="17" t="str">
        <x:v>Planned</x:v>
      </x:c>
      <x:c r="I120" s="18" t="str">
        <x:v>Completed</x:v>
      </x:c>
      <x:c r="J120" s="17" t="str">
        <x:f>IF(OR(I120="Completed",I120="Not Applicable"),"No","Yes")</x:f>
        <x:v>No</x:v>
      </x:c>
      <x:c r="K120" s="17" t="str">
        <x:v>8.3 task 3</x:v>
      </x:c>
      <x:c r="L120" s="21" t="str">
        <x:v>Story-labeled commit 00a4d39e contains delivery and focused test/test-result files: feat: implement story 8.3 contract deliverables</x:v>
      </x:c>
      <x:c r="M120" s="17" t="str">
        <x:v>Implementation commit + focused test artifacts</x:v>
      </x:c>
      <x:c r="N120" s="21" t="str">
        <x:v>git commit 00a4d39e9c0944b01200b7abec11856472b3fe3a; /Users/devups/Development/CodexProjects/Gccs/docs/development-story-test-cases.md</x:v>
      </x:c>
      <x:c r="O120" s="19" t="n">
        <x:v>46188.15201388889</x:v>
      </x:c>
      <x:c r="P120" s="21" t="str">
        <x:v>4 acceptance criteria; 4 TC references; implementation=yes; smoke=yes; automated=no; Story-level regression template</x:v>
      </x:c>
      <x:c r="Q120" s="21" t="str"/>
      <x:c r="R120" s="21" t="str">
        <x:v>Retain traceability; rerun focused verification if the affected boundary changes.</x:v>
      </x:c>
      <x:c r="S120" s="18" t="str"/>
      <x:c r="T120" s="20"/>
      <x:c r="U120" s="21" t="str">
        <x:v>Completion is based on immutable repository evidence; tests were not rerun and current working-tree drift was not re-certified in this reporting-only task.</x:v>
      </x:c>
      <x:c r="V120" s="1"/>
    </x:row>
    <x:row r="121" ht="46" customHeight="1">
      <x:c r="A121" s="17" t="n">
        <x:v>117</x:v>
      </x:c>
      <x:c r="B121" s="17" t="str">
        <x:v>Phase 1</x:v>
      </x:c>
      <x:c r="C121" s="17" t="str">
        <x:v>9.1</x:v>
      </x:c>
      <x:c r="D121" s="21" t="str">
        <x:v>Clause Library Search</x:v>
      </x:c>
      <x:c r="E121" s="17" t="n">
        <x:v>1</x:v>
      </x:c>
      <x:c r="F121" s="21" t="str">
        <x:v>Add clause search endpoint.</x:v>
      </x:c>
      <x:c r="G121" s="17" t="str">
        <x:v>Software implementation</x:v>
      </x:c>
      <x:c r="H121" s="17" t="str">
        <x:v>Planned</x:v>
      </x:c>
      <x:c r="I121" s="18" t="str">
        <x:v>Completed</x:v>
      </x:c>
      <x:c r="J121" s="17" t="str">
        <x:f>IF(OR(I121="Completed",I121="Not Applicable"),"No","Yes")</x:f>
        <x:v>No</x:v>
      </x:c>
      <x:c r="K121" s="17" t="str">
        <x:v>8.3</x:v>
      </x:c>
      <x:c r="L121" s="21" t="str">
        <x:v>Story-labeled commit 185799f5 contains delivery and focused test/test-result files: feat: implement story 9.1 clause library search</x:v>
      </x:c>
      <x:c r="M121" s="17" t="str">
        <x:v>Implementation commit + focused test artifacts</x:v>
      </x:c>
      <x:c r="N121" s="21" t="str">
        <x:v>git commit 185799f5920b8deb3552abb4f2437b2bafc41b51; /Users/devups/Development/CodexProjects/Gccs/docs/development-story-test-cases.md</x:v>
      </x:c>
      <x:c r="O121" s="19" t="n">
        <x:v>46188.174305555556</x:v>
      </x:c>
      <x:c r="P121" s="21" t="str">
        <x:v>4 acceptance criteria; 4 TC references; implementation=yes; smoke=yes; automated=no; Story-level regression template</x:v>
      </x:c>
      <x:c r="Q121" s="21" t="str"/>
      <x:c r="R121" s="21" t="str">
        <x:v>Retain traceability; rerun focused verification if the affected boundary changes.</x:v>
      </x:c>
      <x:c r="S121" s="18" t="str"/>
      <x:c r="T121" s="20"/>
      <x:c r="U121" s="21" t="str">
        <x:v>Completion is based on immutable repository evidence; tests were not rerun and current working-tree drift was not re-certified in this reporting-only task.</x:v>
      </x:c>
      <x:c r="V121" s="1"/>
    </x:row>
    <x:row r="122" ht="46" customHeight="1">
      <x:c r="A122" s="17" t="n">
        <x:v>118</x:v>
      </x:c>
      <x:c r="B122" s="17" t="str">
        <x:v>Phase 1</x:v>
      </x:c>
      <x:c r="C122" s="17" t="str">
        <x:v>9.1</x:v>
      </x:c>
      <x:c r="D122" s="21" t="str">
        <x:v>Clause Library Search</x:v>
      </x:c>
      <x:c r="E122" s="17" t="n">
        <x:v>2</x:v>
      </x:c>
      <x:c r="F122" s="21" t="str">
        <x:v>Add filters by FAR, DFARS, CMMC, labor, telecom, ByteDance, and custom categories.</x:v>
      </x:c>
      <x:c r="G122" s="17" t="str">
        <x:v>Software implementation</x:v>
      </x:c>
      <x:c r="H122" s="17" t="str">
        <x:v>Planned</x:v>
      </x:c>
      <x:c r="I122" s="18" t="str">
        <x:v>Completed</x:v>
      </x:c>
      <x:c r="J122" s="17" t="str">
        <x:f>IF(OR(I122="Completed",I122="Not Applicable"),"No","Yes")</x:f>
        <x:v>No</x:v>
      </x:c>
      <x:c r="K122" s="17" t="str">
        <x:v>9.1 task 1</x:v>
      </x:c>
      <x:c r="L122" s="21" t="str">
        <x:v>Story-labeled commit 185799f5 contains delivery and focused test/test-result files: feat: implement story 9.1 clause library search</x:v>
      </x:c>
      <x:c r="M122" s="17" t="str">
        <x:v>Implementation commit + focused test artifacts</x:v>
      </x:c>
      <x:c r="N122" s="21" t="str">
        <x:v>git commit 185799f5920b8deb3552abb4f2437b2bafc41b51; /Users/devups/Development/CodexProjects/Gccs/docs/development-story-test-cases.md</x:v>
      </x:c>
      <x:c r="O122" s="19" t="n">
        <x:v>46188.174305555556</x:v>
      </x:c>
      <x:c r="P122" s="21" t="str">
        <x:v>4 acceptance criteria; 4 TC references; implementation=yes; smoke=yes; automated=no; Story-level regression template</x:v>
      </x:c>
      <x:c r="Q122" s="21" t="str"/>
      <x:c r="R122" s="21" t="str">
        <x:v>Retain traceability; rerun focused verification if the affected boundary changes.</x:v>
      </x:c>
      <x:c r="S122" s="18" t="str"/>
      <x:c r="T122" s="20"/>
      <x:c r="U122" s="21" t="str">
        <x:v>Completion is based on immutable repository evidence; tests were not rerun and current working-tree drift was not re-certified in this reporting-only task.</x:v>
      </x:c>
      <x:c r="V122" s="1"/>
    </x:row>
    <x:row r="123" ht="46" customHeight="1">
      <x:c r="A123" s="17" t="n">
        <x:v>119</x:v>
      </x:c>
      <x:c r="B123" s="17" t="str">
        <x:v>Phase 1</x:v>
      </x:c>
      <x:c r="C123" s="17" t="str">
        <x:v>9.1</x:v>
      </x:c>
      <x:c r="D123" s="21" t="str">
        <x:v>Clause Library Search</x:v>
      </x:c>
      <x:c r="E123" s="17" t="n">
        <x:v>3</x:v>
      </x:c>
      <x:c r="F123" s="21" t="str">
        <x:v>Add UI search and selection pattern.</x:v>
      </x:c>
      <x:c r="G123" s="17" t="str">
        <x:v>Software implementation</x:v>
      </x:c>
      <x:c r="H123" s="17" t="str">
        <x:v>Planned</x:v>
      </x:c>
      <x:c r="I123" s="18" t="str">
        <x:v>Completed</x:v>
      </x:c>
      <x:c r="J123" s="17" t="str">
        <x:f>IF(OR(I123="Completed",I123="Not Applicable"),"No","Yes")</x:f>
        <x:v>No</x:v>
      </x:c>
      <x:c r="K123" s="17" t="str">
        <x:v>9.1 task 2</x:v>
      </x:c>
      <x:c r="L123" s="21" t="str">
        <x:v>Story-labeled commit 185799f5 contains delivery and focused test/test-result files: feat: implement story 9.1 clause library search</x:v>
      </x:c>
      <x:c r="M123" s="17" t="str">
        <x:v>Implementation commit + focused test artifacts</x:v>
      </x:c>
      <x:c r="N123" s="21" t="str">
        <x:v>git commit 185799f5920b8deb3552abb4f2437b2bafc41b51; /Users/devups/Development/CodexProjects/Gccs/docs/development-story-test-cases.md</x:v>
      </x:c>
      <x:c r="O123" s="19" t="n">
        <x:v>46188.174305555556</x:v>
      </x:c>
      <x:c r="P123" s="21" t="str">
        <x:v>4 acceptance criteria; 4 TC references; implementation=yes; smoke=yes; automated=no; Story-level regression template</x:v>
      </x:c>
      <x:c r="Q123" s="21" t="str"/>
      <x:c r="R123" s="21" t="str">
        <x:v>Retain traceability; rerun focused verification if the affected boundary changes.</x:v>
      </x:c>
      <x:c r="S123" s="18" t="str"/>
      <x:c r="T123" s="20"/>
      <x:c r="U123" s="21" t="str">
        <x:v>Completion is based on immutable repository evidence; tests were not rerun and current working-tree drift was not re-certified in this reporting-only task.</x:v>
      </x:c>
      <x:c r="V123" s="1"/>
    </x:row>
    <x:row r="124" ht="46" customHeight="1">
      <x:c r="A124" s="17" t="n">
        <x:v>120</x:v>
      </x:c>
      <x:c r="B124" s="17" t="str">
        <x:v>Phase 1</x:v>
      </x:c>
      <x:c r="C124" s="17" t="str">
        <x:v>9.1</x:v>
      </x:c>
      <x:c r="D124" s="21" t="str">
        <x:v>Clause Library Search</x:v>
      </x:c>
      <x:c r="E124" s="17" t="n">
        <x:v>4</x:v>
      </x:c>
      <x:c r="F124" s="21" t="str">
        <x:v>Show source URL and last reviewed date in search results.</x:v>
      </x:c>
      <x:c r="G124" s="17" t="str">
        <x:v>Software implementation</x:v>
      </x:c>
      <x:c r="H124" s="17" t="str">
        <x:v>Planned</x:v>
      </x:c>
      <x:c r="I124" s="18" t="str">
        <x:v>Completed</x:v>
      </x:c>
      <x:c r="J124" s="17" t="str">
        <x:f>IF(OR(I124="Completed",I124="Not Applicable"),"No","Yes")</x:f>
        <x:v>No</x:v>
      </x:c>
      <x:c r="K124" s="17" t="str">
        <x:v>9.1 task 3</x:v>
      </x:c>
      <x:c r="L124" s="21" t="str">
        <x:v>Story-labeled commit 185799f5 contains delivery and focused test/test-result files: feat: implement story 9.1 clause library search</x:v>
      </x:c>
      <x:c r="M124" s="17" t="str">
        <x:v>Implementation commit + focused test artifacts</x:v>
      </x:c>
      <x:c r="N124" s="21" t="str">
        <x:v>git commit 185799f5920b8deb3552abb4f2437b2bafc41b51; /Users/devups/Development/CodexProjects/Gccs/docs/development-story-test-cases.md</x:v>
      </x:c>
      <x:c r="O124" s="19" t="n">
        <x:v>46188.174305555556</x:v>
      </x:c>
      <x:c r="P124" s="21" t="str">
        <x:v>4 acceptance criteria; 4 TC references; implementation=yes; smoke=yes; automated=no; Story-level regression template</x:v>
      </x:c>
      <x:c r="Q124" s="21" t="str"/>
      <x:c r="R124" s="21" t="str">
        <x:v>Retain traceability; rerun focused verification if the affected boundary changes.</x:v>
      </x:c>
      <x:c r="S124" s="18" t="str"/>
      <x:c r="T124" s="20"/>
      <x:c r="U124" s="21" t="str">
        <x:v>Completion is based on immutable repository evidence; tests were not rerun and current working-tree drift was not re-certified in this reporting-only task.</x:v>
      </x:c>
      <x:c r="V124" s="1"/>
    </x:row>
    <x:row r="125" ht="46" customHeight="1">
      <x:c r="A125" s="17" t="n">
        <x:v>121</x:v>
      </x:c>
      <x:c r="B125" s="17" t="str">
        <x:v>Phase 1</x:v>
      </x:c>
      <x:c r="C125" s="17" t="str">
        <x:v>9.2</x:v>
      </x:c>
      <x:c r="D125" s="21" t="str">
        <x:v>Attach Clause To Contract</x:v>
      </x:c>
      <x:c r="E125" s="17" t="n">
        <x:v>1</x:v>
      </x:c>
      <x:c r="F125" s="21" t="str">
        <x:v>Add contract-clause relationship.</x:v>
      </x:c>
      <x:c r="G125" s="17" t="str">
        <x:v>Software implementation</x:v>
      </x:c>
      <x:c r="H125" s="17" t="str">
        <x:v>Planned</x:v>
      </x:c>
      <x:c r="I125" s="18" t="str">
        <x:v>Completed</x:v>
      </x:c>
      <x:c r="J125" s="17" t="str">
        <x:f>IF(OR(I125="Completed",I125="Not Applicable"),"No","Yes")</x:f>
        <x:v>No</x:v>
      </x:c>
      <x:c r="K125" s="17" t="str">
        <x:v>9.1</x:v>
      </x:c>
      <x:c r="L125" s="21" t="str">
        <x:v>Story-labeled commit 5330c3e9 contains delivery and focused test/test-result files: feat: implement story 9.2 contract clause attachment</x:v>
      </x:c>
      <x:c r="M125" s="17" t="str">
        <x:v>Implementation commit + focused test artifacts</x:v>
      </x:c>
      <x:c r="N125" s="21" t="str">
        <x:v>git commit 5330c3e991ff72d34aee4f08418aed6c7a8bf3f2; /Users/devups/Development/CodexProjects/Gccs/docs/development-story-test-cases.md</x:v>
      </x:c>
      <x:c r="O125" s="19" t="n">
        <x:v>46188.179236111115</x:v>
      </x:c>
      <x:c r="P125" s="21" t="str">
        <x:v>4 acceptance criteria; 4 TC references; implementation=yes; smoke=yes; automated=no; Story-level regression template</x:v>
      </x:c>
      <x:c r="Q125" s="21" t="str"/>
      <x:c r="R125" s="21" t="str">
        <x:v>Retain traceability; rerun focused verification if the affected boundary changes.</x:v>
      </x:c>
      <x:c r="S125" s="18" t="str"/>
      <x:c r="T125" s="20"/>
      <x:c r="U125" s="21" t="str">
        <x:v>Completion is based on immutable repository evidence; tests were not rerun and current working-tree drift was not re-certified in this reporting-only task.</x:v>
      </x:c>
      <x:c r="V125" s="1"/>
    </x:row>
    <x:row r="126" ht="46" customHeight="1">
      <x:c r="A126" s="17" t="n">
        <x:v>122</x:v>
      </x:c>
      <x:c r="B126" s="17" t="str">
        <x:v>Phase 1</x:v>
      </x:c>
      <x:c r="C126" s="17" t="str">
        <x:v>9.2</x:v>
      </x:c>
      <x:c r="D126" s="21" t="str">
        <x:v>Attach Clause To Contract</x:v>
      </x:c>
      <x:c r="E126" s="17" t="n">
        <x:v>2</x:v>
      </x:c>
      <x:c r="F126" s="21" t="str">
        <x:v>Add attachment reason and source document reference.</x:v>
      </x:c>
      <x:c r="G126" s="17" t="str">
        <x:v>Software implementation</x:v>
      </x:c>
      <x:c r="H126" s="17" t="str">
        <x:v>Planned</x:v>
      </x:c>
      <x:c r="I126" s="18" t="str">
        <x:v>Completed</x:v>
      </x:c>
      <x:c r="J126" s="17" t="str">
        <x:f>IF(OR(I126="Completed",I126="Not Applicable"),"No","Yes")</x:f>
        <x:v>No</x:v>
      </x:c>
      <x:c r="K126" s="17" t="str">
        <x:v>9.2 task 1</x:v>
      </x:c>
      <x:c r="L126" s="21" t="str">
        <x:v>Story-labeled commit 5330c3e9 contains delivery and focused test/test-result files: feat: implement story 9.2 contract clause attachment</x:v>
      </x:c>
      <x:c r="M126" s="17" t="str">
        <x:v>Implementation commit + focused test artifacts</x:v>
      </x:c>
      <x:c r="N126" s="21" t="str">
        <x:v>git commit 5330c3e991ff72d34aee4f08418aed6c7a8bf3f2; /Users/devups/Development/CodexProjects/Gccs/docs/development-story-test-cases.md</x:v>
      </x:c>
      <x:c r="O126" s="19" t="n">
        <x:v>46188.179236111115</x:v>
      </x:c>
      <x:c r="P126" s="21" t="str">
        <x:v>4 acceptance criteria; 4 TC references; implementation=yes; smoke=yes; automated=no; Story-level regression template</x:v>
      </x:c>
      <x:c r="Q126" s="21" t="str"/>
      <x:c r="R126" s="21" t="str">
        <x:v>Retain traceability; rerun focused verification if the affected boundary changes.</x:v>
      </x:c>
      <x:c r="S126" s="18" t="str"/>
      <x:c r="T126" s="20"/>
      <x:c r="U126" s="21" t="str">
        <x:v>Completion is based on immutable repository evidence; tests were not rerun and current working-tree drift was not re-certified in this reporting-only task.</x:v>
      </x:c>
      <x:c r="V126" s="1"/>
    </x:row>
    <x:row r="127" ht="46" customHeight="1">
      <x:c r="A127" s="17" t="n">
        <x:v>123</x:v>
      </x:c>
      <x:c r="B127" s="17" t="str">
        <x:v>Phase 1</x:v>
      </x:c>
      <x:c r="C127" s="17" t="str">
        <x:v>9.2</x:v>
      </x:c>
      <x:c r="D127" s="21" t="str">
        <x:v>Attach Clause To Contract</x:v>
      </x:c>
      <x:c r="E127" s="17" t="n">
        <x:v>3</x:v>
      </x:c>
      <x:c r="F127" s="21" t="str">
        <x:v>Add duplicate prevention.</x:v>
      </x:c>
      <x:c r="G127" s="17" t="str">
        <x:v>Software implementation</x:v>
      </x:c>
      <x:c r="H127" s="17" t="str">
        <x:v>Planned</x:v>
      </x:c>
      <x:c r="I127" s="18" t="str">
        <x:v>Completed</x:v>
      </x:c>
      <x:c r="J127" s="17" t="str">
        <x:f>IF(OR(I127="Completed",I127="Not Applicable"),"No","Yes")</x:f>
        <x:v>No</x:v>
      </x:c>
      <x:c r="K127" s="17" t="str">
        <x:v>9.2 task 2</x:v>
      </x:c>
      <x:c r="L127" s="21" t="str">
        <x:v>Story-labeled commit 5330c3e9 contains delivery and focused test/test-result files: feat: implement story 9.2 contract clause attachment</x:v>
      </x:c>
      <x:c r="M127" s="17" t="str">
        <x:v>Implementation commit + focused test artifacts</x:v>
      </x:c>
      <x:c r="N127" s="21" t="str">
        <x:v>git commit 5330c3e991ff72d34aee4f08418aed6c7a8bf3f2; /Users/devups/Development/CodexProjects/Gccs/docs/development-story-test-cases.md</x:v>
      </x:c>
      <x:c r="O127" s="19" t="n">
        <x:v>46188.179236111115</x:v>
      </x:c>
      <x:c r="P127" s="21" t="str">
        <x:v>4 acceptance criteria; 4 TC references; implementation=yes; smoke=yes; automated=no; Story-level regression template</x:v>
      </x:c>
      <x:c r="Q127" s="21" t="str"/>
      <x:c r="R127" s="21" t="str">
        <x:v>Retain traceability; rerun focused verification if the affected boundary changes.</x:v>
      </x:c>
      <x:c r="S127" s="18" t="str"/>
      <x:c r="T127" s="20"/>
      <x:c r="U127" s="21" t="str">
        <x:v>Completion is based on immutable repository evidence; tests were not rerun and current working-tree drift was not re-certified in this reporting-only task.</x:v>
      </x:c>
      <x:c r="V127" s="1"/>
    </x:row>
    <x:row r="128" ht="46" customHeight="1">
      <x:c r="A128" s="17" t="n">
        <x:v>124</x:v>
      </x:c>
      <x:c r="B128" s="17" t="str">
        <x:v>Phase 1</x:v>
      </x:c>
      <x:c r="C128" s="17" t="str">
        <x:v>9.2</x:v>
      </x:c>
      <x:c r="D128" s="21" t="str">
        <x:v>Attach Clause To Contract</x:v>
      </x:c>
      <x:c r="E128" s="17" t="n">
        <x:v>4</x:v>
      </x:c>
      <x:c r="F128" s="21" t="str">
        <x:v>Add remove clause workflow with reason.</x:v>
      </x:c>
      <x:c r="G128" s="17" t="str">
        <x:v>Software implementation</x:v>
      </x:c>
      <x:c r="H128" s="17" t="str">
        <x:v>Planned</x:v>
      </x:c>
      <x:c r="I128" s="18" t="str">
        <x:v>Completed</x:v>
      </x:c>
      <x:c r="J128" s="17" t="str">
        <x:f>IF(OR(I128="Completed",I128="Not Applicable"),"No","Yes")</x:f>
        <x:v>No</x:v>
      </x:c>
      <x:c r="K128" s="17" t="str">
        <x:v>9.2 task 3</x:v>
      </x:c>
      <x:c r="L128" s="21" t="str">
        <x:v>Story-labeled commit 5330c3e9 contains delivery and focused test/test-result files: feat: implement story 9.2 contract clause attachment</x:v>
      </x:c>
      <x:c r="M128" s="17" t="str">
        <x:v>Implementation commit + focused test artifacts</x:v>
      </x:c>
      <x:c r="N128" s="21" t="str">
        <x:v>git commit 5330c3e991ff72d34aee4f08418aed6c7a8bf3f2; /Users/devups/Development/CodexProjects/Gccs/docs/development-story-test-cases.md</x:v>
      </x:c>
      <x:c r="O128" s="19" t="n">
        <x:v>46188.179236111115</x:v>
      </x:c>
      <x:c r="P128" s="21" t="str">
        <x:v>4 acceptance criteria; 4 TC references; implementation=yes; smoke=yes; automated=no; Story-level regression template</x:v>
      </x:c>
      <x:c r="Q128" s="21" t="str"/>
      <x:c r="R128" s="21" t="str">
        <x:v>Retain traceability; rerun focused verification if the affected boundary changes.</x:v>
      </x:c>
      <x:c r="S128" s="18" t="str"/>
      <x:c r="T128" s="20"/>
      <x:c r="U128" s="21" t="str">
        <x:v>Completion is based on immutable repository evidence; tests were not rerun and current working-tree drift was not re-certified in this reporting-only task.</x:v>
      </x:c>
      <x:c r="V128" s="1"/>
    </x:row>
    <x:row r="129" ht="46" customHeight="1">
      <x:c r="A129" s="17" t="n">
        <x:v>125</x:v>
      </x:c>
      <x:c r="B129" s="17" t="str">
        <x:v>Phase 1</x:v>
      </x:c>
      <x:c r="C129" s="17" t="str">
        <x:v>9.3</x:v>
      </x:c>
      <x:c r="D129" s="21" t="str">
        <x:v>Generate Obligations From Clause</x:v>
      </x:c>
      <x:c r="E129" s="17" t="n">
        <x:v>1</x:v>
      </x:c>
      <x:c r="F129" s="21" t="str">
        <x:v>Map clause records to obligation templates.</x:v>
      </x:c>
      <x:c r="G129" s="17" t="str">
        <x:v>Software implementation</x:v>
      </x:c>
      <x:c r="H129" s="17" t="str">
        <x:v>Planned</x:v>
      </x:c>
      <x:c r="I129" s="18" t="str">
        <x:v>Completed</x:v>
      </x:c>
      <x:c r="J129" s="17" t="str">
        <x:f>IF(OR(I129="Completed",I129="Not Applicable"),"No","Yes")</x:f>
        <x:v>No</x:v>
      </x:c>
      <x:c r="K129" s="17" t="str">
        <x:v>9.2</x:v>
      </x:c>
      <x:c r="L129" s="21" t="str">
        <x:v>Story-labeled commit 687247db contains delivery and focused test/test-result files: feat: implement story 9.3 clause obligation generation</x:v>
      </x:c>
      <x:c r="M129" s="17" t="str">
        <x:v>Implementation commit + focused test artifacts</x:v>
      </x:c>
      <x:c r="N129" s="21" t="str">
        <x:v>git commit 687247db219b1ae76e37c3f6518964cb6c8b1ef3; /Users/devups/Development/CodexProjects/Gccs/docs/development-story-test-cases.md</x:v>
      </x:c>
      <x:c r="O129" s="19" t="n">
        <x:v>46188.182118055556</x:v>
      </x:c>
      <x:c r="P129" s="21" t="str">
        <x:v>4 acceptance criteria; 4 TC references; implementation=yes; smoke=yes; automated=no; Story-level regression template</x:v>
      </x:c>
      <x:c r="Q129" s="21" t="str"/>
      <x:c r="R129" s="21" t="str">
        <x:v>Retain traceability; rerun focused verification if the affected boundary changes.</x:v>
      </x:c>
      <x:c r="S129" s="18" t="str"/>
      <x:c r="T129" s="20"/>
      <x:c r="U129" s="21" t="str">
        <x:v>Completion is based on immutable repository evidence; tests were not rerun and current working-tree drift was not re-certified in this reporting-only task.</x:v>
      </x:c>
      <x:c r="V129" s="1"/>
    </x:row>
    <x:row r="130" ht="46" customHeight="1">
      <x:c r="A130" s="17" t="n">
        <x:v>126</x:v>
      </x:c>
      <x:c r="B130" s="17" t="str">
        <x:v>Phase 1</x:v>
      </x:c>
      <x:c r="C130" s="17" t="str">
        <x:v>9.3</x:v>
      </x:c>
      <x:c r="D130" s="21" t="str">
        <x:v>Generate Obligations From Clause</x:v>
      </x:c>
      <x:c r="E130" s="17" t="n">
        <x:v>2</x:v>
      </x:c>
      <x:c r="F130" s="21" t="str">
        <x:v>Generate contract-specific obligation instances.</x:v>
      </x:c>
      <x:c r="G130" s="17" t="str">
        <x:v>Software implementation</x:v>
      </x:c>
      <x:c r="H130" s="17" t="str">
        <x:v>Planned</x:v>
      </x:c>
      <x:c r="I130" s="18" t="str">
        <x:v>Completed</x:v>
      </x:c>
      <x:c r="J130" s="17" t="str">
        <x:f>IF(OR(I130="Completed",I130="Not Applicable"),"No","Yes")</x:f>
        <x:v>No</x:v>
      </x:c>
      <x:c r="K130" s="17" t="str">
        <x:v>9.3 task 1</x:v>
      </x:c>
      <x:c r="L130" s="21" t="str">
        <x:v>Story-labeled commit 687247db contains delivery and focused test/test-result files: feat: implement story 9.3 clause obligation generation</x:v>
      </x:c>
      <x:c r="M130" s="17" t="str">
        <x:v>Implementation commit + focused test artifacts</x:v>
      </x:c>
      <x:c r="N130" s="21" t="str">
        <x:v>git commit 687247db219b1ae76e37c3f6518964cb6c8b1ef3; /Users/devups/Development/CodexProjects/Gccs/docs/development-story-test-cases.md</x:v>
      </x:c>
      <x:c r="O130" s="19" t="n">
        <x:v>46188.182118055556</x:v>
      </x:c>
      <x:c r="P130" s="21" t="str">
        <x:v>4 acceptance criteria; 4 TC references; implementation=yes; smoke=yes; automated=no; Story-level regression template</x:v>
      </x:c>
      <x:c r="Q130" s="21" t="str"/>
      <x:c r="R130" s="21" t="str">
        <x:v>Retain traceability; rerun focused verification if the affected boundary changes.</x:v>
      </x:c>
      <x:c r="S130" s="18" t="str"/>
      <x:c r="T130" s="20"/>
      <x:c r="U130" s="21" t="str">
        <x:v>Completion is based on immutable repository evidence; tests were not rerun and current working-tree drift was not re-certified in this reporting-only task.</x:v>
      </x:c>
      <x:c r="V130" s="1"/>
    </x:row>
    <x:row r="131" ht="46" customHeight="1">
      <x:c r="A131" s="17" t="n">
        <x:v>127</x:v>
      </x:c>
      <x:c r="B131" s="17" t="str">
        <x:v>Phase 1</x:v>
      </x:c>
      <x:c r="C131" s="17" t="str">
        <x:v>9.3</x:v>
      </x:c>
      <x:c r="D131" s="21" t="str">
        <x:v>Generate Obligations From Clause</x:v>
      </x:c>
      <x:c r="E131" s="17" t="n">
        <x:v>3</x:v>
      </x:c>
      <x:c r="F131" s="21" t="str">
        <x:v>Generate default tasks where required.</x:v>
      </x:c>
      <x:c r="G131" s="17" t="str">
        <x:v>Software implementation</x:v>
      </x:c>
      <x:c r="H131" s="17" t="str">
        <x:v>Planned</x:v>
      </x:c>
      <x:c r="I131" s="18" t="str">
        <x:v>Completed</x:v>
      </x:c>
      <x:c r="J131" s="17" t="str">
        <x:f>IF(OR(I131="Completed",I131="Not Applicable"),"No","Yes")</x:f>
        <x:v>No</x:v>
      </x:c>
      <x:c r="K131" s="17" t="str">
        <x:v>9.3 task 2</x:v>
      </x:c>
      <x:c r="L131" s="21" t="str">
        <x:v>Story-labeled commit 687247db contains delivery and focused test/test-result files: feat: implement story 9.3 clause obligation generation</x:v>
      </x:c>
      <x:c r="M131" s="17" t="str">
        <x:v>Implementation commit + focused test artifacts</x:v>
      </x:c>
      <x:c r="N131" s="21" t="str">
        <x:v>git commit 687247db219b1ae76e37c3f6518964cb6c8b1ef3; /Users/devups/Development/CodexProjects/Gccs/docs/development-story-test-cases.md</x:v>
      </x:c>
      <x:c r="O131" s="19" t="n">
        <x:v>46188.182118055556</x:v>
      </x:c>
      <x:c r="P131" s="21" t="str">
        <x:v>4 acceptance criteria; 4 TC references; implementation=yes; smoke=yes; automated=no; Story-level regression template</x:v>
      </x:c>
      <x:c r="Q131" s="21" t="str"/>
      <x:c r="R131" s="21" t="str">
        <x:v>Retain traceability; rerun focused verification if the affected boundary changes.</x:v>
      </x:c>
      <x:c r="S131" s="18" t="str"/>
      <x:c r="T131" s="20"/>
      <x:c r="U131" s="21" t="str">
        <x:v>Completion is based on immutable repository evidence; tests were not rerun and current working-tree drift was not re-certified in this reporting-only task.</x:v>
      </x:c>
      <x:c r="V131" s="1"/>
    </x:row>
    <x:row r="132" ht="46" customHeight="1">
      <x:c r="A132" s="17" t="n">
        <x:v>128</x:v>
      </x:c>
      <x:c r="B132" s="17" t="str">
        <x:v>Phase 1</x:v>
      </x:c>
      <x:c r="C132" s="17" t="str">
        <x:v>9.3</x:v>
      </x:c>
      <x:c r="D132" s="21" t="str">
        <x:v>Generate Obligations From Clause</x:v>
      </x:c>
      <x:c r="E132" s="17" t="n">
        <x:v>4</x:v>
      </x:c>
      <x:c r="F132" s="21" t="str">
        <x:v>Preserve source references and review metadata.</x:v>
      </x:c>
      <x:c r="G132" s="17" t="str">
        <x:v>Software implementation</x:v>
      </x:c>
      <x:c r="H132" s="17" t="str">
        <x:v>Planned</x:v>
      </x:c>
      <x:c r="I132" s="18" t="str">
        <x:v>Completed</x:v>
      </x:c>
      <x:c r="J132" s="17" t="str">
        <x:f>IF(OR(I132="Completed",I132="Not Applicable"),"No","Yes")</x:f>
        <x:v>No</x:v>
      </x:c>
      <x:c r="K132" s="17" t="str">
        <x:v>9.3 task 3</x:v>
      </x:c>
      <x:c r="L132" s="21" t="str">
        <x:v>Story-labeled commit 687247db contains delivery and focused test/test-result files: feat: implement story 9.3 clause obligation generation</x:v>
      </x:c>
      <x:c r="M132" s="17" t="str">
        <x:v>Implementation commit + focused test artifacts</x:v>
      </x:c>
      <x:c r="N132" s="21" t="str">
        <x:v>git commit 687247db219b1ae76e37c3f6518964cb6c8b1ef3; /Users/devups/Development/CodexProjects/Gccs/docs/development-story-test-cases.md</x:v>
      </x:c>
      <x:c r="O132" s="19" t="n">
        <x:v>46188.182118055556</x:v>
      </x:c>
      <x:c r="P132" s="21" t="str">
        <x:v>4 acceptance criteria; 4 TC references; implementation=yes; smoke=yes; automated=no; Story-level regression template</x:v>
      </x:c>
      <x:c r="Q132" s="21" t="str"/>
      <x:c r="R132" s="21" t="str">
        <x:v>Retain traceability; rerun focused verification if the affected boundary changes.</x:v>
      </x:c>
      <x:c r="S132" s="18" t="str"/>
      <x:c r="T132" s="20"/>
      <x:c r="U132" s="21" t="str">
        <x:v>Completion is based on immutable repository evidence; tests were not rerun and current working-tree drift was not re-certified in this reporting-only task.</x:v>
      </x:c>
      <x:c r="V132" s="1"/>
    </x:row>
    <x:row r="133" ht="46" customHeight="1">
      <x:c r="A133" s="17" t="n">
        <x:v>129</x:v>
      </x:c>
      <x:c r="B133" s="17" t="str">
        <x:v>Phase 1</x:v>
      </x:c>
      <x:c r="C133" s="17" t="str">
        <x:v>10.1</x:v>
      </x:c>
      <x:c r="D133" s="21" t="str">
        <x:v>Obligation List And Filters</x:v>
      </x:c>
      <x:c r="E133" s="17" t="n">
        <x:v>1</x:v>
      </x:c>
      <x:c r="F133" s="21" t="str">
        <x:v>Add obligation list endpoint with filters.</x:v>
      </x:c>
      <x:c r="G133" s="17" t="str">
        <x:v>Software implementation</x:v>
      </x:c>
      <x:c r="H133" s="17" t="str">
        <x:v>Planned</x:v>
      </x:c>
      <x:c r="I133" s="18" t="str">
        <x:v>Completed</x:v>
      </x:c>
      <x:c r="J133" s="17" t="str">
        <x:f>IF(OR(I133="Completed",I133="Not Applicable"),"No","Yes")</x:f>
        <x:v>No</x:v>
      </x:c>
      <x:c r="K133" s="17" t="str">
        <x:v>9.3</x:v>
      </x:c>
      <x:c r="L133" s="21" t="str">
        <x:v>Story-labeled commit f20ebf27 contains delivery and focused test/test-result files: feat: implement story 10.1 obligation dashboard</x:v>
      </x:c>
      <x:c r="M133" s="17" t="str">
        <x:v>Implementation commit + focused test artifacts</x:v>
      </x:c>
      <x:c r="N133" s="21" t="str">
        <x:v>git commit f20ebf27bf0a8d41e9ab70cc1579f83cf93053c0; /Users/devups/Development/CodexProjects/Gccs/docs/development-story-test-cases.md</x:v>
      </x:c>
      <x:c r="O133" s="19" t="n">
        <x:v>46188.18680555555</x:v>
      </x:c>
      <x:c r="P133" s="21" t="str">
        <x:v>4 acceptance criteria; 4 TC references; implementation=yes; smoke=yes; automated=no; Story-level regression template</x:v>
      </x:c>
      <x:c r="Q133" s="21" t="str"/>
      <x:c r="R133" s="21" t="str">
        <x:v>Retain traceability; rerun focused verification if the affected boundary changes.</x:v>
      </x:c>
      <x:c r="S133" s="18" t="str"/>
      <x:c r="T133" s="20"/>
      <x:c r="U133" s="21" t="str">
        <x:v>Completion is based on immutable repository evidence; tests were not rerun and current working-tree drift was not re-certified in this reporting-only task.</x:v>
      </x:c>
      <x:c r="V133" s="1"/>
    </x:row>
    <x:row r="134" ht="46" customHeight="1">
      <x:c r="A134" s="17" t="n">
        <x:v>130</x:v>
      </x:c>
      <x:c r="B134" s="17" t="str">
        <x:v>Phase 1</x:v>
      </x:c>
      <x:c r="C134" s="17" t="str">
        <x:v>10.1</x:v>
      </x:c>
      <x:c r="D134" s="21" t="str">
        <x:v>Obligation List And Filters</x:v>
      </x:c>
      <x:c r="E134" s="17" t="n">
        <x:v>2</x:v>
      </x:c>
      <x:c r="F134" s="21" t="str">
        <x:v>Build dashboard table or work queue.</x:v>
      </x:c>
      <x:c r="G134" s="17" t="str">
        <x:v>Software implementation</x:v>
      </x:c>
      <x:c r="H134" s="17" t="str">
        <x:v>Planned</x:v>
      </x:c>
      <x:c r="I134" s="18" t="str">
        <x:v>Completed</x:v>
      </x:c>
      <x:c r="J134" s="17" t="str">
        <x:f>IF(OR(I134="Completed",I134="Not Applicable"),"No","Yes")</x:f>
        <x:v>No</x:v>
      </x:c>
      <x:c r="K134" s="17" t="str">
        <x:v>10.1 task 1</x:v>
      </x:c>
      <x:c r="L134" s="21" t="str">
        <x:v>Story-labeled commit f20ebf27 contains delivery and focused test/test-result files: feat: implement story 10.1 obligation dashboard</x:v>
      </x:c>
      <x:c r="M134" s="17" t="str">
        <x:v>Implementation commit + focused test artifacts</x:v>
      </x:c>
      <x:c r="N134" s="21" t="str">
        <x:v>git commit f20ebf27bf0a8d41e9ab70cc1579f83cf93053c0; /Users/devups/Development/CodexProjects/Gccs/docs/development-story-test-cases.md</x:v>
      </x:c>
      <x:c r="O134" s="19" t="n">
        <x:v>46188.18680555555</x:v>
      </x:c>
      <x:c r="P134" s="21" t="str">
        <x:v>4 acceptance criteria; 4 TC references; implementation=yes; smoke=yes; automated=no; Story-level regression template</x:v>
      </x:c>
      <x:c r="Q134" s="21" t="str"/>
      <x:c r="R134" s="21" t="str">
        <x:v>Retain traceability; rerun focused verification if the affected boundary changes.</x:v>
      </x:c>
      <x:c r="S134" s="18" t="str"/>
      <x:c r="T134" s="20"/>
      <x:c r="U134" s="21" t="str">
        <x:v>Completion is based on immutable repository evidence; tests were not rerun and current working-tree drift was not re-certified in this reporting-only task.</x:v>
      </x:c>
      <x:c r="V134" s="1"/>
    </x:row>
    <x:row r="135" ht="46" customHeight="1">
      <x:c r="A135" s="17" t="n">
        <x:v>131</x:v>
      </x:c>
      <x:c r="B135" s="17" t="str">
        <x:v>Phase 1</x:v>
      </x:c>
      <x:c r="C135" s="17" t="str">
        <x:v>10.1</x:v>
      </x:c>
      <x:c r="D135" s="21" t="str">
        <x:v>Obligation List And Filters</x:v>
      </x:c>
      <x:c r="E135" s="17" t="n">
        <x:v>3</x:v>
      </x:c>
      <x:c r="F135" s="21" t="str">
        <x:v>Support filters for contract, risk, owner, status, due date, module, and source.</x:v>
      </x:c>
      <x:c r="G135" s="17" t="str">
        <x:v>Software implementation</x:v>
      </x:c>
      <x:c r="H135" s="17" t="str">
        <x:v>Planned</x:v>
      </x:c>
      <x:c r="I135" s="18" t="str">
        <x:v>Completed</x:v>
      </x:c>
      <x:c r="J135" s="17" t="str">
        <x:f>IF(OR(I135="Completed",I135="Not Applicable"),"No","Yes")</x:f>
        <x:v>No</x:v>
      </x:c>
      <x:c r="K135" s="17" t="str">
        <x:v>10.1 task 2</x:v>
      </x:c>
      <x:c r="L135" s="21" t="str">
        <x:v>Story-labeled commit f20ebf27 contains delivery and focused test/test-result files: feat: implement story 10.1 obligation dashboard</x:v>
      </x:c>
      <x:c r="M135" s="17" t="str">
        <x:v>Implementation commit + focused test artifacts</x:v>
      </x:c>
      <x:c r="N135" s="21" t="str">
        <x:v>git commit f20ebf27bf0a8d41e9ab70cc1579f83cf93053c0; /Users/devups/Development/CodexProjects/Gccs/docs/development-story-test-cases.md</x:v>
      </x:c>
      <x:c r="O135" s="19" t="n">
        <x:v>46188.18680555555</x:v>
      </x:c>
      <x:c r="P135" s="21" t="str">
        <x:v>4 acceptance criteria; 4 TC references; implementation=yes; smoke=yes; automated=no; Story-level regression template</x:v>
      </x:c>
      <x:c r="Q135" s="21" t="str"/>
      <x:c r="R135" s="21" t="str">
        <x:v>Retain traceability; rerun focused verification if the affected boundary changes.</x:v>
      </x:c>
      <x:c r="S135" s="18" t="str"/>
      <x:c r="T135" s="20"/>
      <x:c r="U135" s="21" t="str">
        <x:v>Completion is based on immutable repository evidence; tests were not rerun and current working-tree drift was not re-certified in this reporting-only task.</x:v>
      </x:c>
      <x:c r="V135" s="1"/>
    </x:row>
    <x:row r="136" ht="46" customHeight="1">
      <x:c r="A136" s="17" t="n">
        <x:v>132</x:v>
      </x:c>
      <x:c r="B136" s="17" t="str">
        <x:v>Phase 1</x:v>
      </x:c>
      <x:c r="C136" s="17" t="str">
        <x:v>10.1</x:v>
      </x:c>
      <x:c r="D136" s="21" t="str">
        <x:v>Obligation List And Filters</x:v>
      </x:c>
      <x:c r="E136" s="17" t="n">
        <x:v>4</x:v>
      </x:c>
      <x:c r="F136" s="21" t="str">
        <x:v>Add empty state when no obligations exist.</x:v>
      </x:c>
      <x:c r="G136" s="17" t="str">
        <x:v>Software implementation</x:v>
      </x:c>
      <x:c r="H136" s="17" t="str">
        <x:v>Planned</x:v>
      </x:c>
      <x:c r="I136" s="18" t="str">
        <x:v>Completed</x:v>
      </x:c>
      <x:c r="J136" s="17" t="str">
        <x:f>IF(OR(I136="Completed",I136="Not Applicable"),"No","Yes")</x:f>
        <x:v>No</x:v>
      </x:c>
      <x:c r="K136" s="17" t="str">
        <x:v>10.1 task 3</x:v>
      </x:c>
      <x:c r="L136" s="21" t="str">
        <x:v>Story-labeled commit f20ebf27 contains delivery and focused test/test-result files: feat: implement story 10.1 obligation dashboard</x:v>
      </x:c>
      <x:c r="M136" s="17" t="str">
        <x:v>Implementation commit + focused test artifacts</x:v>
      </x:c>
      <x:c r="N136" s="21" t="str">
        <x:v>git commit f20ebf27bf0a8d41e9ab70cc1579f83cf93053c0; /Users/devups/Development/CodexProjects/Gccs/docs/development-story-test-cases.md</x:v>
      </x:c>
      <x:c r="O136" s="19" t="n">
        <x:v>46188.18680555555</x:v>
      </x:c>
      <x:c r="P136" s="21" t="str">
        <x:v>4 acceptance criteria; 4 TC references; implementation=yes; smoke=yes; automated=no; Story-level regression template</x:v>
      </x:c>
      <x:c r="Q136" s="21" t="str"/>
      <x:c r="R136" s="21" t="str">
        <x:v>Retain traceability; rerun focused verification if the affected boundary changes.</x:v>
      </x:c>
      <x:c r="S136" s="18" t="str"/>
      <x:c r="T136" s="20"/>
      <x:c r="U136" s="21" t="str">
        <x:v>Completion is based on immutable repository evidence; tests were not rerun and current working-tree drift was not re-certified in this reporting-only task.</x:v>
      </x:c>
      <x:c r="V136" s="1"/>
    </x:row>
    <x:row r="137" ht="46" customHeight="1">
      <x:c r="A137" s="17" t="n">
        <x:v>133</x:v>
      </x:c>
      <x:c r="B137" s="17" t="str">
        <x:v>Phase 1</x:v>
      </x:c>
      <x:c r="C137" s="17" t="str">
        <x:v>10.2</x:v>
      </x:c>
      <x:c r="D137" s="21" t="str">
        <x:v>Obligation Detail</x:v>
      </x:c>
      <x:c r="E137" s="17" t="n">
        <x:v>1</x:v>
      </x:c>
      <x:c r="F137" s="21" t="str">
        <x:v>Build obligation detail endpoint and page.</x:v>
      </x:c>
      <x:c r="G137" s="17" t="str">
        <x:v>Software implementation</x:v>
      </x:c>
      <x:c r="H137" s="17" t="str">
        <x:v>Planned</x:v>
      </x:c>
      <x:c r="I137" s="18" t="str">
        <x:v>Completed</x:v>
      </x:c>
      <x:c r="J137" s="17" t="str">
        <x:f>IF(OR(I137="Completed",I137="Not Applicable"),"No","Yes")</x:f>
        <x:v>No</x:v>
      </x:c>
      <x:c r="K137" s="17" t="str">
        <x:v>10.1</x:v>
      </x:c>
      <x:c r="L137" s="21" t="str">
        <x:v>Story-labeled commit c79f5601 contains delivery and focused test/test-result files: feat: implement story 10.2 obligation detail</x:v>
      </x:c>
      <x:c r="M137" s="17" t="str">
        <x:v>Implementation commit + focused test artifacts</x:v>
      </x:c>
      <x:c r="N137" s="21" t="str">
        <x:v>git commit c79f56010ab08d531a01a648b2a453da34a0ebe4; /Users/devups/Development/CodexProjects/Gccs/docs/development-story-test-cases.md</x:v>
      </x:c>
      <x:c r="O137" s="19" t="n">
        <x:v>46188.19158564815</x:v>
      </x:c>
      <x:c r="P137" s="21" t="str">
        <x:v>4 acceptance criteria; 4 TC references; implementation=yes; smoke=yes; automated=no; Story-level regression template</x:v>
      </x:c>
      <x:c r="Q137" s="21" t="str"/>
      <x:c r="R137" s="21" t="str">
        <x:v>Retain traceability; rerun focused verification if the affected boundary changes.</x:v>
      </x:c>
      <x:c r="S137" s="18" t="str"/>
      <x:c r="T137" s="20"/>
      <x:c r="U137" s="21" t="str">
        <x:v>Completion is based on immutable repository evidence; tests were not rerun and current working-tree drift was not re-certified in this reporting-only task.</x:v>
      </x:c>
      <x:c r="V137" s="1"/>
    </x:row>
    <x:row r="138" ht="46" customHeight="1">
      <x:c r="A138" s="17" t="n">
        <x:v>134</x:v>
      </x:c>
      <x:c r="B138" s="17" t="str">
        <x:v>Phase 1</x:v>
      </x:c>
      <x:c r="C138" s="17" t="str">
        <x:v>10.2</x:v>
      </x:c>
      <x:c r="D138" s="21" t="str">
        <x:v>Obligation Detail</x:v>
      </x:c>
      <x:c r="E138" s="17" t="n">
        <x:v>2</x:v>
      </x:c>
      <x:c r="F138" s="21" t="str">
        <x:v>Show plain-English summary, trigger, required action, owner, evidence examples, flow-down requirement, source link, confidence, last reviewed date, and expert review flag.</x:v>
      </x:c>
      <x:c r="G138" s="17" t="str">
        <x:v>Software implementation</x:v>
      </x:c>
      <x:c r="H138" s="17" t="str">
        <x:v>Planned</x:v>
      </x:c>
      <x:c r="I138" s="18" t="str">
        <x:v>Completed</x:v>
      </x:c>
      <x:c r="J138" s="17" t="str">
        <x:f>IF(OR(I138="Completed",I138="Not Applicable"),"No","Yes")</x:f>
        <x:v>No</x:v>
      </x:c>
      <x:c r="K138" s="17" t="str">
        <x:v>10.2 task 1</x:v>
      </x:c>
      <x:c r="L138" s="21" t="str">
        <x:v>Story-labeled commit c79f5601 contains delivery and focused test/test-result files: feat: implement story 10.2 obligation detail</x:v>
      </x:c>
      <x:c r="M138" s="17" t="str">
        <x:v>Implementation commit + focused test artifacts</x:v>
      </x:c>
      <x:c r="N138" s="21" t="str">
        <x:v>git commit c79f56010ab08d531a01a648b2a453da34a0ebe4; /Users/devups/Development/CodexProjects/Gccs/docs/development-story-test-cases.md</x:v>
      </x:c>
      <x:c r="O138" s="19" t="n">
        <x:v>46188.19158564815</x:v>
      </x:c>
      <x:c r="P138" s="21" t="str">
        <x:v>4 acceptance criteria; 4 TC references; implementation=yes; smoke=yes; automated=no; Story-level regression template</x:v>
      </x:c>
      <x:c r="Q138" s="21" t="str"/>
      <x:c r="R138" s="21" t="str">
        <x:v>Retain traceability; rerun focused verification if the affected boundary changes.</x:v>
      </x:c>
      <x:c r="S138" s="18" t="str"/>
      <x:c r="T138" s="20"/>
      <x:c r="U138" s="21" t="str">
        <x:v>Completion is based on immutable repository evidence; tests were not rerun and current working-tree drift was not re-certified in this reporting-only task.</x:v>
      </x:c>
      <x:c r="V138" s="1"/>
    </x:row>
    <x:row r="139" ht="46" customHeight="1">
      <x:c r="A139" s="17" t="n">
        <x:v>135</x:v>
      </x:c>
      <x:c r="B139" s="17" t="str">
        <x:v>Phase 1</x:v>
      </x:c>
      <x:c r="C139" s="17" t="str">
        <x:v>10.2</x:v>
      </x:c>
      <x:c r="D139" s="21" t="str">
        <x:v>Obligation Detail</x:v>
      </x:c>
      <x:c r="E139" s="17" t="n">
        <x:v>3</x:v>
      </x:c>
      <x:c r="F139" s="21" t="str">
        <x:v>Show linked tasks and evidence.</x:v>
      </x:c>
      <x:c r="G139" s="17" t="str">
        <x:v>Software implementation</x:v>
      </x:c>
      <x:c r="H139" s="17" t="str">
        <x:v>Planned</x:v>
      </x:c>
      <x:c r="I139" s="18" t="str">
        <x:v>Completed</x:v>
      </x:c>
      <x:c r="J139" s="17" t="str">
        <x:f>IF(OR(I139="Completed",I139="Not Applicable"),"No","Yes")</x:f>
        <x:v>No</x:v>
      </x:c>
      <x:c r="K139" s="17" t="str">
        <x:v>10.2 task 2</x:v>
      </x:c>
      <x:c r="L139" s="21" t="str">
        <x:v>Story-labeled commit c79f5601 contains delivery and focused test/test-result files: feat: implement story 10.2 obligation detail</x:v>
      </x:c>
      <x:c r="M139" s="17" t="str">
        <x:v>Implementation commit + focused test artifacts</x:v>
      </x:c>
      <x:c r="N139" s="21" t="str">
        <x:v>git commit c79f56010ab08d531a01a648b2a453da34a0ebe4; /Users/devups/Development/CodexProjects/Gccs/docs/development-story-test-cases.md</x:v>
      </x:c>
      <x:c r="O139" s="19" t="n">
        <x:v>46188.19158564815</x:v>
      </x:c>
      <x:c r="P139" s="21" t="str">
        <x:v>4 acceptance criteria; 4 TC references; implementation=yes; smoke=yes; automated=no; Story-level regression template</x:v>
      </x:c>
      <x:c r="Q139" s="21" t="str"/>
      <x:c r="R139" s="21" t="str">
        <x:v>Retain traceability; rerun focused verification if the affected boundary changes.</x:v>
      </x:c>
      <x:c r="S139" s="18" t="str"/>
      <x:c r="T139" s="20"/>
      <x:c r="U139" s="21" t="str">
        <x:v>Completion is based on immutable repository evidence; tests were not rerun and current working-tree drift was not re-certified in this reporting-only task.</x:v>
      </x:c>
      <x:c r="V139" s="1"/>
    </x:row>
    <x:row r="140" ht="46" customHeight="1">
      <x:c r="A140" s="17" t="n">
        <x:v>136</x:v>
      </x:c>
      <x:c r="B140" s="17" t="str">
        <x:v>Phase 1</x:v>
      </x:c>
      <x:c r="C140" s="17" t="str">
        <x:v>10.2</x:v>
      </x:c>
      <x:c r="D140" s="21" t="str">
        <x:v>Obligation Detail</x:v>
      </x:c>
      <x:c r="E140" s="17" t="n">
        <x:v>4</x:v>
      </x:c>
      <x:c r="F140" s="21" t="str">
        <x:v>Add status update workflow.</x:v>
      </x:c>
      <x:c r="G140" s="17" t="str">
        <x:v>Software implementation</x:v>
      </x:c>
      <x:c r="H140" s="17" t="str">
        <x:v>Planned</x:v>
      </x:c>
      <x:c r="I140" s="18" t="str">
        <x:v>Completed</x:v>
      </x:c>
      <x:c r="J140" s="17" t="str">
        <x:f>IF(OR(I140="Completed",I140="Not Applicable"),"No","Yes")</x:f>
        <x:v>No</x:v>
      </x:c>
      <x:c r="K140" s="17" t="str">
        <x:v>10.2 task 3</x:v>
      </x:c>
      <x:c r="L140" s="21" t="str">
        <x:v>Story-labeled commit c79f5601 contains delivery and focused test/test-result files: feat: implement story 10.2 obligation detail</x:v>
      </x:c>
      <x:c r="M140" s="17" t="str">
        <x:v>Implementation commit + focused test artifacts</x:v>
      </x:c>
      <x:c r="N140" s="21" t="str">
        <x:v>git commit c79f56010ab08d531a01a648b2a453da34a0ebe4; /Users/devups/Development/CodexProjects/Gccs/docs/development-story-test-cases.md</x:v>
      </x:c>
      <x:c r="O140" s="19" t="n">
        <x:v>46188.19158564815</x:v>
      </x:c>
      <x:c r="P140" s="21" t="str">
        <x:v>4 acceptance criteria; 4 TC references; implementation=yes; smoke=yes; automated=no; Story-level regression template</x:v>
      </x:c>
      <x:c r="Q140" s="21" t="str"/>
      <x:c r="R140" s="21" t="str">
        <x:v>Retain traceability; rerun focused verification if the affected boundary changes.</x:v>
      </x:c>
      <x:c r="S140" s="18" t="str"/>
      <x:c r="T140" s="20"/>
      <x:c r="U140" s="21" t="str">
        <x:v>Completion is based on immutable repository evidence; tests were not rerun and current working-tree drift was not re-certified in this reporting-only task.</x:v>
      </x:c>
      <x:c r="V140" s="1"/>
    </x:row>
    <x:row r="141" ht="46" customHeight="1">
      <x:c r="A141" s="17" t="n">
        <x:v>137</x:v>
      </x:c>
      <x:c r="B141" s="17" t="str">
        <x:v>Phase 1</x:v>
      </x:c>
      <x:c r="C141" s="17" t="str">
        <x:v>10.3</x:v>
      </x:c>
      <x:c r="D141" s="21" t="str">
        <x:v>Ownership Assignment</x:v>
      </x:c>
      <x:c r="E141" s="17" t="n">
        <x:v>1</x:v>
      </x:c>
      <x:c r="F141" s="21" t="str">
        <x:v>Add owner assignment to obligation instance.</x:v>
      </x:c>
      <x:c r="G141" s="17" t="str">
        <x:v>Software implementation</x:v>
      </x:c>
      <x:c r="H141" s="17" t="str">
        <x:v>Planned</x:v>
      </x:c>
      <x:c r="I141" s="18" t="str">
        <x:v>Completed</x:v>
      </x:c>
      <x:c r="J141" s="17" t="str">
        <x:f>IF(OR(I141="Completed",I141="Not Applicable"),"No","Yes")</x:f>
        <x:v>No</x:v>
      </x:c>
      <x:c r="K141" s="17" t="str">
        <x:v>10.2</x:v>
      </x:c>
      <x:c r="L141" s="21" t="str">
        <x:v>Story-labeled commit 46478373 contains delivery and focused test/test-result files: feat: implement story 10.3 ownership assignment</x:v>
      </x:c>
      <x:c r="M141" s="17" t="str">
        <x:v>Implementation commit + focused test artifacts</x:v>
      </x:c>
      <x:c r="N141" s="21" t="str">
        <x:v>git commit 46478373e6aee59159bbf8e1030d280805f94964; /Users/devups/Development/CodexProjects/Gccs/docs/development-story-test-cases.md</x:v>
      </x:c>
      <x:c r="O141" s="19" t="n">
        <x:v>46188.19446759259</x:v>
      </x:c>
      <x:c r="P141" s="21" t="str">
        <x:v>4 acceptance criteria; 4 TC references; implementation=yes; smoke=yes; automated=no; Story-level regression template</x:v>
      </x:c>
      <x:c r="Q141" s="21" t="str"/>
      <x:c r="R141" s="21" t="str">
        <x:v>Retain traceability; rerun focused verification if the affected boundary changes.</x:v>
      </x:c>
      <x:c r="S141" s="18" t="str"/>
      <x:c r="T141" s="20"/>
      <x:c r="U141" s="21" t="str">
        <x:v>Completion is based on immutable repository evidence; tests were not rerun and current working-tree drift was not re-certified in this reporting-only task.</x:v>
      </x:c>
      <x:c r="V141" s="1"/>
    </x:row>
    <x:row r="142" ht="46" customHeight="1">
      <x:c r="A142" s="17" t="n">
        <x:v>138</x:v>
      </x:c>
      <x:c r="B142" s="17" t="str">
        <x:v>Phase 1</x:v>
      </x:c>
      <x:c r="C142" s="17" t="str">
        <x:v>10.3</x:v>
      </x:c>
      <x:c r="D142" s="21" t="str">
        <x:v>Ownership Assignment</x:v>
      </x:c>
      <x:c r="E142" s="17" t="n">
        <x:v>2</x:v>
      </x:c>
      <x:c r="F142" s="21" t="str">
        <x:v>Add role and user owner options.</x:v>
      </x:c>
      <x:c r="G142" s="17" t="str">
        <x:v>Software implementation</x:v>
      </x:c>
      <x:c r="H142" s="17" t="str">
        <x:v>Planned</x:v>
      </x:c>
      <x:c r="I142" s="18" t="str">
        <x:v>Completed</x:v>
      </x:c>
      <x:c r="J142" s="17" t="str">
        <x:f>IF(OR(I142="Completed",I142="Not Applicable"),"No","Yes")</x:f>
        <x:v>No</x:v>
      </x:c>
      <x:c r="K142" s="17" t="str">
        <x:v>10.3 task 1</x:v>
      </x:c>
      <x:c r="L142" s="21" t="str">
        <x:v>Story-labeled commit 46478373 contains delivery and focused test/test-result files: feat: implement story 10.3 ownership assignment</x:v>
      </x:c>
      <x:c r="M142" s="17" t="str">
        <x:v>Implementation commit + focused test artifacts</x:v>
      </x:c>
      <x:c r="N142" s="21" t="str">
        <x:v>git commit 46478373e6aee59159bbf8e1030d280805f94964; /Users/devups/Development/CodexProjects/Gccs/docs/development-story-test-cases.md</x:v>
      </x:c>
      <x:c r="O142" s="19" t="n">
        <x:v>46188.19446759259</x:v>
      </x:c>
      <x:c r="P142" s="21" t="str">
        <x:v>4 acceptance criteria; 4 TC references; implementation=yes; smoke=yes; automated=no; Story-level regression template</x:v>
      </x:c>
      <x:c r="Q142" s="21" t="str"/>
      <x:c r="R142" s="21" t="str">
        <x:v>Retain traceability; rerun focused verification if the affected boundary changes.</x:v>
      </x:c>
      <x:c r="S142" s="18" t="str"/>
      <x:c r="T142" s="20"/>
      <x:c r="U142" s="21" t="str">
        <x:v>Completion is based on immutable repository evidence; tests were not rerun and current working-tree drift was not re-certified in this reporting-only task.</x:v>
      </x:c>
      <x:c r="V142" s="1"/>
    </x:row>
    <x:row r="143" ht="46" customHeight="1">
      <x:c r="A143" s="17" t="n">
        <x:v>139</x:v>
      </x:c>
      <x:c r="B143" s="17" t="str">
        <x:v>Phase 1</x:v>
      </x:c>
      <x:c r="C143" s="17" t="str">
        <x:v>10.3</x:v>
      </x:c>
      <x:c r="D143" s="21" t="str">
        <x:v>Ownership Assignment</x:v>
      </x:c>
      <x:c r="E143" s="17" t="n">
        <x:v>3</x:v>
      </x:c>
      <x:c r="F143" s="21" t="str">
        <x:v>Add assignment UI.</x:v>
      </x:c>
      <x:c r="G143" s="17" t="str">
        <x:v>Software implementation</x:v>
      </x:c>
      <x:c r="H143" s="17" t="str">
        <x:v>Planned</x:v>
      </x:c>
      <x:c r="I143" s="18" t="str">
        <x:v>Completed</x:v>
      </x:c>
      <x:c r="J143" s="17" t="str">
        <x:f>IF(OR(I143="Completed",I143="Not Applicable"),"No","Yes")</x:f>
        <x:v>No</x:v>
      </x:c>
      <x:c r="K143" s="17" t="str">
        <x:v>10.3 task 2</x:v>
      </x:c>
      <x:c r="L143" s="21" t="str">
        <x:v>Story-labeled commit 46478373 contains delivery and focused test/test-result files: feat: implement story 10.3 ownership assignment</x:v>
      </x:c>
      <x:c r="M143" s="17" t="str">
        <x:v>Implementation commit + focused test artifacts</x:v>
      </x:c>
      <x:c r="N143" s="21" t="str">
        <x:v>git commit 46478373e6aee59159bbf8e1030d280805f94964; /Users/devups/Development/CodexProjects/Gccs/docs/development-story-test-cases.md</x:v>
      </x:c>
      <x:c r="O143" s="19" t="n">
        <x:v>46188.19446759259</x:v>
      </x:c>
      <x:c r="P143" s="21" t="str">
        <x:v>4 acceptance criteria; 4 TC references; implementation=yes; smoke=yes; automated=no; Story-level regression template</x:v>
      </x:c>
      <x:c r="Q143" s="21" t="str"/>
      <x:c r="R143" s="21" t="str">
        <x:v>Retain traceability; rerun focused verification if the affected boundary changes.</x:v>
      </x:c>
      <x:c r="S143" s="18" t="str"/>
      <x:c r="T143" s="20"/>
      <x:c r="U143" s="21" t="str">
        <x:v>Completion is based on immutable repository evidence; tests were not rerun and current working-tree drift was not re-certified in this reporting-only task.</x:v>
      </x:c>
      <x:c r="V143" s="1"/>
    </x:row>
    <x:row r="144" ht="46" customHeight="1">
      <x:c r="A144" s="17" t="n">
        <x:v>140</x:v>
      </x:c>
      <x:c r="B144" s="17" t="str">
        <x:v>Phase 1</x:v>
      </x:c>
      <x:c r="C144" s="17" t="str">
        <x:v>10.3</x:v>
      </x:c>
      <x:c r="D144" s="21" t="str">
        <x:v>Ownership Assignment</x:v>
      </x:c>
      <x:c r="E144" s="17" t="n">
        <x:v>4</x:v>
      </x:c>
      <x:c r="F144" s="21" t="str">
        <x:v>Notify assigned user when notifications are enabled.</x:v>
      </x:c>
      <x:c r="G144" s="17" t="str">
        <x:v>Software implementation</x:v>
      </x:c>
      <x:c r="H144" s="17" t="str">
        <x:v>Planned</x:v>
      </x:c>
      <x:c r="I144" s="18" t="str">
        <x:v>Completed</x:v>
      </x:c>
      <x:c r="J144" s="17" t="str">
        <x:f>IF(OR(I144="Completed",I144="Not Applicable"),"No","Yes")</x:f>
        <x:v>No</x:v>
      </x:c>
      <x:c r="K144" s="17" t="str">
        <x:v>10.3 task 3</x:v>
      </x:c>
      <x:c r="L144" s="21" t="str">
        <x:v>Story-labeled commit 46478373 contains delivery and focused test/test-result files: feat: implement story 10.3 ownership assignment</x:v>
      </x:c>
      <x:c r="M144" s="17" t="str">
        <x:v>Implementation commit + focused test artifacts</x:v>
      </x:c>
      <x:c r="N144" s="21" t="str">
        <x:v>git commit 46478373e6aee59159bbf8e1030d280805f94964; /Users/devups/Development/CodexProjects/Gccs/docs/development-story-test-cases.md</x:v>
      </x:c>
      <x:c r="O144" s="19" t="n">
        <x:v>46188.19446759259</x:v>
      </x:c>
      <x:c r="P144" s="21" t="str">
        <x:v>4 acceptance criteria; 4 TC references; implementation=yes; smoke=yes; automated=no; Story-level regression template</x:v>
      </x:c>
      <x:c r="Q144" s="21" t="str"/>
      <x:c r="R144" s="21" t="str">
        <x:v>Retain traceability; rerun focused verification if the affected boundary changes.</x:v>
      </x:c>
      <x:c r="S144" s="18" t="str"/>
      <x:c r="T144" s="20"/>
      <x:c r="U144" s="21" t="str">
        <x:v>Completion is based on immutable repository evidence; tests were not rerun and current working-tree drift was not re-certified in this reporting-only task.</x:v>
      </x:c>
      <x:c r="V144" s="1"/>
    </x:row>
    <x:row r="145" ht="46" customHeight="1">
      <x:c r="A145" s="17" t="n">
        <x:v>141</x:v>
      </x:c>
      <x:c r="B145" s="17" t="str">
        <x:v>Phase 1</x:v>
      </x:c>
      <x:c r="C145" s="17" t="str">
        <x:v>11.1</x:v>
      </x:c>
      <x:c r="D145" s="21" t="str">
        <x:v>Task Management</x:v>
      </x:c>
      <x:c r="E145" s="17" t="n">
        <x:v>1</x:v>
      </x:c>
      <x:c r="F145" s="21" t="str">
        <x:v>Build task model and API.</x:v>
      </x:c>
      <x:c r="G145" s="17" t="str">
        <x:v>Software implementation</x:v>
      </x:c>
      <x:c r="H145" s="17" t="str">
        <x:v>Planned</x:v>
      </x:c>
      <x:c r="I145" s="18" t="str">
        <x:v>Completed</x:v>
      </x:c>
      <x:c r="J145" s="17" t="str">
        <x:f>IF(OR(I145="Completed",I145="Not Applicable"),"No","Yes")</x:f>
        <x:v>No</x:v>
      </x:c>
      <x:c r="K145" s="17" t="str">
        <x:v>10.3</x:v>
      </x:c>
      <x:c r="L145" s="21" t="str">
        <x:v>Story-labeled commit 8dbf5ed9 contains delivery and focused test/test-result files: feat: implement story 11.1 task management</x:v>
      </x:c>
      <x:c r="M145" s="17" t="str">
        <x:v>Implementation commit + focused test artifacts</x:v>
      </x:c>
      <x:c r="N145" s="21" t="str">
        <x:v>git commit 8dbf5ed9770a2da8ed0b48bc8ed0a3c60661eaa7; /Users/devups/Development/CodexProjects/Gccs/docs/development-story-test-cases.md</x:v>
      </x:c>
      <x:c r="O145" s="19" t="n">
        <x:v>46188.196921296294</x:v>
      </x:c>
      <x:c r="P145" s="21" t="str">
        <x:v>4 acceptance criteria; 4 TC references; implementation=yes; smoke=yes; automated=no; Story-level regression template</x:v>
      </x:c>
      <x:c r="Q145" s="21" t="str"/>
      <x:c r="R145" s="21" t="str">
        <x:v>Retain traceability; rerun focused verification if the affected boundary changes.</x:v>
      </x:c>
      <x:c r="S145" s="18" t="str"/>
      <x:c r="T145" s="20"/>
      <x:c r="U145" s="21" t="str">
        <x:v>Completion is based on immutable repository evidence; tests were not rerun and current working-tree drift was not re-certified in this reporting-only task.</x:v>
      </x:c>
      <x:c r="V145" s="1"/>
    </x:row>
    <x:row r="146" ht="46" customHeight="1">
      <x:c r="A146" s="17" t="n">
        <x:v>142</x:v>
      </x:c>
      <x:c r="B146" s="17" t="str">
        <x:v>Phase 1</x:v>
      </x:c>
      <x:c r="C146" s="17" t="str">
        <x:v>11.1</x:v>
      </x:c>
      <x:c r="D146" s="21" t="str">
        <x:v>Task Management</x:v>
      </x:c>
      <x:c r="E146" s="17" t="n">
        <x:v>2</x:v>
      </x:c>
      <x:c r="F146" s="21" t="str">
        <x:v>Link tasks to obligations, contracts, controls, evidence, subcontractors, or certifications.</x:v>
      </x:c>
      <x:c r="G146" s="17" t="str">
        <x:v>Software implementation</x:v>
      </x:c>
      <x:c r="H146" s="17" t="str">
        <x:v>Planned</x:v>
      </x:c>
      <x:c r="I146" s="18" t="str">
        <x:v>Completed</x:v>
      </x:c>
      <x:c r="J146" s="17" t="str">
        <x:f>IF(OR(I146="Completed",I146="Not Applicable"),"No","Yes")</x:f>
        <x:v>No</x:v>
      </x:c>
      <x:c r="K146" s="17" t="str">
        <x:v>11.1 task 1</x:v>
      </x:c>
      <x:c r="L146" s="21" t="str">
        <x:v>Story-labeled commit 8dbf5ed9 contains delivery and focused test/test-result files: feat: implement story 11.1 task management</x:v>
      </x:c>
      <x:c r="M146" s="17" t="str">
        <x:v>Implementation commit + focused test artifacts</x:v>
      </x:c>
      <x:c r="N146" s="21" t="str">
        <x:v>git commit 8dbf5ed9770a2da8ed0b48bc8ed0a3c60661eaa7; /Users/devups/Development/CodexProjects/Gccs/docs/development-story-test-cases.md</x:v>
      </x:c>
      <x:c r="O146" s="19" t="n">
        <x:v>46188.196921296294</x:v>
      </x:c>
      <x:c r="P146" s="21" t="str">
        <x:v>4 acceptance criteria; 4 TC references; implementation=yes; smoke=yes; automated=no; Story-level regression template</x:v>
      </x:c>
      <x:c r="Q146" s="21" t="str"/>
      <x:c r="R146" s="21" t="str">
        <x:v>Retain traceability; rerun focused verification if the affected boundary changes.</x:v>
      </x:c>
      <x:c r="S146" s="18" t="str"/>
      <x:c r="T146" s="20"/>
      <x:c r="U146" s="21" t="str">
        <x:v>Completion is based on immutable repository evidence; tests were not rerun and current working-tree drift was not re-certified in this reporting-only task.</x:v>
      </x:c>
      <x:c r="V146" s="1"/>
    </x:row>
    <x:row r="147" ht="46" customHeight="1">
      <x:c r="A147" s="17" t="n">
        <x:v>143</x:v>
      </x:c>
      <x:c r="B147" s="17" t="str">
        <x:v>Phase 1</x:v>
      </x:c>
      <x:c r="C147" s="17" t="str">
        <x:v>11.1</x:v>
      </x:c>
      <x:c r="D147" s="21" t="str">
        <x:v>Task Management</x:v>
      </x:c>
      <x:c r="E147" s="17" t="n">
        <x:v>3</x:v>
      </x:c>
      <x:c r="F147" s="21" t="str">
        <x:v>Add owner, due date, status, priority, reminder date, and notes.</x:v>
      </x:c>
      <x:c r="G147" s="17" t="str">
        <x:v>Software implementation</x:v>
      </x:c>
      <x:c r="H147" s="17" t="str">
        <x:v>Planned</x:v>
      </x:c>
      <x:c r="I147" s="18" t="str">
        <x:v>Completed</x:v>
      </x:c>
      <x:c r="J147" s="17" t="str">
        <x:f>IF(OR(I147="Completed",I147="Not Applicable"),"No","Yes")</x:f>
        <x:v>No</x:v>
      </x:c>
      <x:c r="K147" s="17" t="str">
        <x:v>11.1 task 2</x:v>
      </x:c>
      <x:c r="L147" s="21" t="str">
        <x:v>Story-labeled commit 8dbf5ed9 contains delivery and focused test/test-result files: feat: implement story 11.1 task management</x:v>
      </x:c>
      <x:c r="M147" s="17" t="str">
        <x:v>Implementation commit + focused test artifacts</x:v>
      </x:c>
      <x:c r="N147" s="21" t="str">
        <x:v>git commit 8dbf5ed9770a2da8ed0b48bc8ed0a3c60661eaa7; /Users/devups/Development/CodexProjects/Gccs/docs/development-story-test-cases.md</x:v>
      </x:c>
      <x:c r="O147" s="19" t="n">
        <x:v>46188.196921296294</x:v>
      </x:c>
      <x:c r="P147" s="21" t="str">
        <x:v>4 acceptance criteria; 4 TC references; implementation=yes; smoke=yes; automated=no; Story-level regression template</x:v>
      </x:c>
      <x:c r="Q147" s="21" t="str"/>
      <x:c r="R147" s="21" t="str">
        <x:v>Retain traceability; rerun focused verification if the affected boundary changes.</x:v>
      </x:c>
      <x:c r="S147" s="18" t="str"/>
      <x:c r="T147" s="20"/>
      <x:c r="U147" s="21" t="str">
        <x:v>Completion is based on immutable repository evidence; tests were not rerun and current working-tree drift was not re-certified in this reporting-only task.</x:v>
      </x:c>
      <x:c r="V147" s="1"/>
    </x:row>
    <x:row r="148" ht="46" customHeight="1">
      <x:c r="A148" s="17" t="n">
        <x:v>144</x:v>
      </x:c>
      <x:c r="B148" s="17" t="str">
        <x:v>Phase 1</x:v>
      </x:c>
      <x:c r="C148" s="17" t="str">
        <x:v>11.1</x:v>
      </x:c>
      <x:c r="D148" s="21" t="str">
        <x:v>Task Management</x:v>
      </x:c>
      <x:c r="E148" s="17" t="n">
        <x:v>4</x:v>
      </x:c>
      <x:c r="F148" s="21" t="str">
        <x:v>Add task create, update, complete, and reopen workflows.</x:v>
      </x:c>
      <x:c r="G148" s="17" t="str">
        <x:v>Software implementation</x:v>
      </x:c>
      <x:c r="H148" s="17" t="str">
        <x:v>Planned</x:v>
      </x:c>
      <x:c r="I148" s="18" t="str">
        <x:v>Completed</x:v>
      </x:c>
      <x:c r="J148" s="17" t="str">
        <x:f>IF(OR(I148="Completed",I148="Not Applicable"),"No","Yes")</x:f>
        <x:v>No</x:v>
      </x:c>
      <x:c r="K148" s="17" t="str">
        <x:v>11.1 task 3</x:v>
      </x:c>
      <x:c r="L148" s="21" t="str">
        <x:v>Story-labeled commit 8dbf5ed9 contains delivery and focused test/test-result files: feat: implement story 11.1 task management</x:v>
      </x:c>
      <x:c r="M148" s="17" t="str">
        <x:v>Implementation commit + focused test artifacts</x:v>
      </x:c>
      <x:c r="N148" s="21" t="str">
        <x:v>git commit 8dbf5ed9770a2da8ed0b48bc8ed0a3c60661eaa7; /Users/devups/Development/CodexProjects/Gccs/docs/development-story-test-cases.md</x:v>
      </x:c>
      <x:c r="O148" s="19" t="n">
        <x:v>46188.196921296294</x:v>
      </x:c>
      <x:c r="P148" s="21" t="str">
        <x:v>4 acceptance criteria; 4 TC references; implementation=yes; smoke=yes; automated=no; Story-level regression template</x:v>
      </x:c>
      <x:c r="Q148" s="21" t="str"/>
      <x:c r="R148" s="21" t="str">
        <x:v>Retain traceability; rerun focused verification if the affected boundary changes.</x:v>
      </x:c>
      <x:c r="S148" s="18" t="str"/>
      <x:c r="T148" s="20"/>
      <x:c r="U148" s="21" t="str">
        <x:v>Completion is based on immutable repository evidence; tests were not rerun and current working-tree drift was not re-certified in this reporting-only task.</x:v>
      </x:c>
      <x:c r="V148" s="1"/>
    </x:row>
    <x:row r="149" ht="46" customHeight="1">
      <x:c r="A149" s="17" t="n">
        <x:v>145</x:v>
      </x:c>
      <x:c r="B149" s="17" t="str">
        <x:v>Phase 1</x:v>
      </x:c>
      <x:c r="C149" s="17" t="str">
        <x:v>11.2</x:v>
      </x:c>
      <x:c r="D149" s="21" t="str">
        <x:v>Calendar View</x:v>
      </x:c>
      <x:c r="E149" s="17" t="n">
        <x:v>1</x:v>
      </x:c>
      <x:c r="F149" s="21" t="str">
        <x:v>Add calendar endpoint that aggregates tasks, renewals, deliverables, and reviews.</x:v>
      </x:c>
      <x:c r="G149" s="17" t="str">
        <x:v>Software implementation</x:v>
      </x:c>
      <x:c r="H149" s="17" t="str">
        <x:v>Planned</x:v>
      </x:c>
      <x:c r="I149" s="18" t="str">
        <x:v>Completed</x:v>
      </x:c>
      <x:c r="J149" s="17" t="str">
        <x:f>IF(OR(I149="Completed",I149="Not Applicable"),"No","Yes")</x:f>
        <x:v>No</x:v>
      </x:c>
      <x:c r="K149" s="17" t="str">
        <x:v>11.1</x:v>
      </x:c>
      <x:c r="L149" s="21" t="str">
        <x:v>Story-labeled commit a3f77f3f contains delivery and focused test/test-result files: feat: implement story 11.2 calendar view</x:v>
      </x:c>
      <x:c r="M149" s="17" t="str">
        <x:v>Implementation commit + focused test artifacts</x:v>
      </x:c>
      <x:c r="N149" s="21" t="str">
        <x:v>git commit a3f77f3f8183568489225c1080e102428348aa6f; /Users/devups/Development/CodexProjects/Gccs/docs/development-story-test-cases.md</x:v>
      </x:c>
      <x:c r="O149" s="19" t="n">
        <x:v>46188.20186342593</x:v>
      </x:c>
      <x:c r="P149" s="21" t="str">
        <x:v>4 acceptance criteria; 4 TC references; implementation=yes; smoke=yes; automated=no; Story-level regression template</x:v>
      </x:c>
      <x:c r="Q149" s="21" t="str"/>
      <x:c r="R149" s="21" t="str">
        <x:v>Retain traceability; rerun focused verification if the affected boundary changes.</x:v>
      </x:c>
      <x:c r="S149" s="18" t="str"/>
      <x:c r="T149" s="20"/>
      <x:c r="U149" s="21" t="str">
        <x:v>Completion is based on immutable repository evidence; tests were not rerun and current working-tree drift was not re-certified in this reporting-only task.</x:v>
      </x:c>
      <x:c r="V149" s="1"/>
    </x:row>
    <x:row r="150" ht="46" customHeight="1">
      <x:c r="A150" s="17" t="n">
        <x:v>146</x:v>
      </x:c>
      <x:c r="B150" s="17" t="str">
        <x:v>Phase 1</x:v>
      </x:c>
      <x:c r="C150" s="17" t="str">
        <x:v>11.2</x:v>
      </x:c>
      <x:c r="D150" s="21" t="str">
        <x:v>Calendar View</x:v>
      </x:c>
      <x:c r="E150" s="17" t="n">
        <x:v>2</x:v>
      </x:c>
      <x:c r="F150" s="21" t="str">
        <x:v>Build month, list, or agenda view.</x:v>
      </x:c>
      <x:c r="G150" s="17" t="str">
        <x:v>Software implementation</x:v>
      </x:c>
      <x:c r="H150" s="17" t="str">
        <x:v>Planned</x:v>
      </x:c>
      <x:c r="I150" s="18" t="str">
        <x:v>Completed</x:v>
      </x:c>
      <x:c r="J150" s="17" t="str">
        <x:f>IF(OR(I150="Completed",I150="Not Applicable"),"No","Yes")</x:f>
        <x:v>No</x:v>
      </x:c>
      <x:c r="K150" s="17" t="str">
        <x:v>11.2 task 1</x:v>
      </x:c>
      <x:c r="L150" s="21" t="str">
        <x:v>Story-labeled commit a3f77f3f contains delivery and focused test/test-result files: feat: implement story 11.2 calendar view</x:v>
      </x:c>
      <x:c r="M150" s="17" t="str">
        <x:v>Implementation commit + focused test artifacts</x:v>
      </x:c>
      <x:c r="N150" s="21" t="str">
        <x:v>git commit a3f77f3f8183568489225c1080e102428348aa6f; /Users/devups/Development/CodexProjects/Gccs/docs/development-story-test-cases.md</x:v>
      </x:c>
      <x:c r="O150" s="19" t="n">
        <x:v>46188.20186342593</x:v>
      </x:c>
      <x:c r="P150" s="21" t="str">
        <x:v>4 acceptance criteria; 4 TC references; implementation=yes; smoke=yes; automated=no; Story-level regression template</x:v>
      </x:c>
      <x:c r="Q150" s="21" t="str"/>
      <x:c r="R150" s="21" t="str">
        <x:v>Retain traceability; rerun focused verification if the affected boundary changes.</x:v>
      </x:c>
      <x:c r="S150" s="18" t="str"/>
      <x:c r="T150" s="20"/>
      <x:c r="U150" s="21" t="str">
        <x:v>Completion is based on immutable repository evidence; tests were not rerun and current working-tree drift was not re-certified in this reporting-only task.</x:v>
      </x:c>
      <x:c r="V150" s="1"/>
    </x:row>
    <x:row r="151" ht="46" customHeight="1">
      <x:c r="A151" s="17" t="n">
        <x:v>147</x:v>
      </x:c>
      <x:c r="B151" s="17" t="str">
        <x:v>Phase 1</x:v>
      </x:c>
      <x:c r="C151" s="17" t="str">
        <x:v>11.2</x:v>
      </x:c>
      <x:c r="D151" s="21" t="str">
        <x:v>Calendar View</x:v>
      </x:c>
      <x:c r="E151" s="17" t="n">
        <x:v>3</x:v>
      </x:c>
      <x:c r="F151" s="21" t="str">
        <x:v>Add filters by owner, status, risk, contract, and module.</x:v>
      </x:c>
      <x:c r="G151" s="17" t="str">
        <x:v>Software implementation</x:v>
      </x:c>
      <x:c r="H151" s="17" t="str">
        <x:v>Planned</x:v>
      </x:c>
      <x:c r="I151" s="18" t="str">
        <x:v>Completed</x:v>
      </x:c>
      <x:c r="J151" s="17" t="str">
        <x:f>IF(OR(I151="Completed",I151="Not Applicable"),"No","Yes")</x:f>
        <x:v>No</x:v>
      </x:c>
      <x:c r="K151" s="17" t="str">
        <x:v>11.2 task 2</x:v>
      </x:c>
      <x:c r="L151" s="21" t="str">
        <x:v>Story-labeled commit a3f77f3f contains delivery and focused test/test-result files: feat: implement story 11.2 calendar view</x:v>
      </x:c>
      <x:c r="M151" s="17" t="str">
        <x:v>Implementation commit + focused test artifacts</x:v>
      </x:c>
      <x:c r="N151" s="21" t="str">
        <x:v>git commit a3f77f3f8183568489225c1080e102428348aa6f; /Users/devups/Development/CodexProjects/Gccs/docs/development-story-test-cases.md</x:v>
      </x:c>
      <x:c r="O151" s="19" t="n">
        <x:v>46188.20186342593</x:v>
      </x:c>
      <x:c r="P151" s="21" t="str">
        <x:v>4 acceptance criteria; 4 TC references; implementation=yes; smoke=yes; automated=no; Story-level regression template</x:v>
      </x:c>
      <x:c r="Q151" s="21" t="str"/>
      <x:c r="R151" s="21" t="str">
        <x:v>Retain traceability; rerun focused verification if the affected boundary changes.</x:v>
      </x:c>
      <x:c r="S151" s="18" t="str"/>
      <x:c r="T151" s="20"/>
      <x:c r="U151" s="21" t="str">
        <x:v>Completion is based on immutable repository evidence; tests were not rerun and current working-tree drift was not re-certified in this reporting-only task.</x:v>
      </x:c>
      <x:c r="V151" s="1"/>
    </x:row>
    <x:row r="152" ht="46" customHeight="1">
      <x:c r="A152" s="17" t="n">
        <x:v>148</x:v>
      </x:c>
      <x:c r="B152" s="17" t="str">
        <x:v>Phase 1</x:v>
      </x:c>
      <x:c r="C152" s="17" t="str">
        <x:v>11.2</x:v>
      </x:c>
      <x:c r="D152" s="21" t="str">
        <x:v>Calendar View</x:v>
      </x:c>
      <x:c r="E152" s="17" t="n">
        <x:v>4</x:v>
      </x:c>
      <x:c r="F152" s="21" t="str">
        <x:v>Add overdue and upcoming sections.</x:v>
      </x:c>
      <x:c r="G152" s="17" t="str">
        <x:v>Software implementation</x:v>
      </x:c>
      <x:c r="H152" s="17" t="str">
        <x:v>Planned</x:v>
      </x:c>
      <x:c r="I152" s="18" t="str">
        <x:v>Completed</x:v>
      </x:c>
      <x:c r="J152" s="17" t="str">
        <x:f>IF(OR(I152="Completed",I152="Not Applicable"),"No","Yes")</x:f>
        <x:v>No</x:v>
      </x:c>
      <x:c r="K152" s="17" t="str">
        <x:v>11.2 task 3</x:v>
      </x:c>
      <x:c r="L152" s="21" t="str">
        <x:v>Story-labeled commit a3f77f3f contains delivery and focused test/test-result files: feat: implement story 11.2 calendar view</x:v>
      </x:c>
      <x:c r="M152" s="17" t="str">
        <x:v>Implementation commit + focused test artifacts</x:v>
      </x:c>
      <x:c r="N152" s="21" t="str">
        <x:v>git commit a3f77f3f8183568489225c1080e102428348aa6f; /Users/devups/Development/CodexProjects/Gccs/docs/development-story-test-cases.md</x:v>
      </x:c>
      <x:c r="O152" s="19" t="n">
        <x:v>46188.20186342593</x:v>
      </x:c>
      <x:c r="P152" s="21" t="str">
        <x:v>4 acceptance criteria; 4 TC references; implementation=yes; smoke=yes; automated=no; Story-level regression template</x:v>
      </x:c>
      <x:c r="Q152" s="21" t="str"/>
      <x:c r="R152" s="21" t="str">
        <x:v>Retain traceability; rerun focused verification if the affected boundary changes.</x:v>
      </x:c>
      <x:c r="S152" s="18" t="str"/>
      <x:c r="T152" s="20"/>
      <x:c r="U152" s="21" t="str">
        <x:v>Completion is based on immutable repository evidence; tests were not rerun and current working-tree drift was not re-certified in this reporting-only task.</x:v>
      </x:c>
      <x:c r="V152" s="1"/>
    </x:row>
    <x:row r="153" ht="46" customHeight="1">
      <x:c r="A153" s="17" t="n">
        <x:v>149</x:v>
      </x:c>
      <x:c r="B153" s="17" t="str">
        <x:v>Phase 1</x:v>
      </x:c>
      <x:c r="C153" s="17" t="str">
        <x:v>11.3</x:v>
      </x:c>
      <x:c r="D153" s="21" t="str">
        <x:v>Renewal Generation</x:v>
      </x:c>
      <x:c r="E153" s="17" t="n">
        <x:v>1</x:v>
      </x:c>
      <x:c r="F153" s="21" t="str">
        <x:v>Generate tasks for SAM expiration, certification expiration, evidence expiration, insurance expiration, policy review, and CMMC affirmation.</x:v>
      </x:c>
      <x:c r="G153" s="17" t="str">
        <x:v>Software implementation</x:v>
      </x:c>
      <x:c r="H153" s="17" t="str">
        <x:v>Planned</x:v>
      </x:c>
      <x:c r="I153" s="18" t="str">
        <x:v>Completed</x:v>
      </x:c>
      <x:c r="J153" s="17" t="str">
        <x:f>IF(OR(I153="Completed",I153="Not Applicable"),"No","Yes")</x:f>
        <x:v>No</x:v>
      </x:c>
      <x:c r="K153" s="17" t="str">
        <x:v>11.2</x:v>
      </x:c>
      <x:c r="L153" s="21" t="str">
        <x:v>Story-labeled commit df851e31 contains delivery and focused test/test-result files: feat: implement story 11.3 renewal generation</x:v>
      </x:c>
      <x:c r="M153" s="17" t="str">
        <x:v>Implementation commit + focused test artifacts</x:v>
      </x:c>
      <x:c r="N153" s="21" t="str">
        <x:v>git commit df851e316d94089b15b1bec05446d88beb0890c6; /Users/devups/Development/CodexProjects/Gccs/docs/development-story-test-cases.md</x:v>
      </x:c>
      <x:c r="O153" s="19" t="n">
        <x:v>46188.204976851855</x:v>
      </x:c>
      <x:c r="P153" s="21" t="str">
        <x:v>4 acceptance criteria; 4 TC references; implementation=yes; smoke=yes; automated=no; Story-level regression template</x:v>
      </x:c>
      <x:c r="Q153" s="21" t="str"/>
      <x:c r="R153" s="21" t="str">
        <x:v>Retain traceability; rerun focused verification if the affected boundary changes.</x:v>
      </x:c>
      <x:c r="S153" s="18" t="str"/>
      <x:c r="T153" s="20"/>
      <x:c r="U153" s="21" t="str">
        <x:v>Completion is based on immutable repository evidence; tests were not rerun and current working-tree drift was not re-certified in this reporting-only task.</x:v>
      </x:c>
      <x:c r="V153" s="1"/>
    </x:row>
    <x:row r="154" ht="46" customHeight="1">
      <x:c r="A154" s="17" t="n">
        <x:v>150</x:v>
      </x:c>
      <x:c r="B154" s="17" t="str">
        <x:v>Phase 1</x:v>
      </x:c>
      <x:c r="C154" s="17" t="str">
        <x:v>11.3</x:v>
      </x:c>
      <x:c r="D154" s="21" t="str">
        <x:v>Renewal Generation</x:v>
      </x:c>
      <x:c r="E154" s="17" t="n">
        <x:v>2</x:v>
      </x:c>
      <x:c r="F154" s="21" t="str">
        <x:v>Add configurable lead times.</x:v>
      </x:c>
      <x:c r="G154" s="17" t="str">
        <x:v>Software implementation</x:v>
      </x:c>
      <x:c r="H154" s="17" t="str">
        <x:v>Planned</x:v>
      </x:c>
      <x:c r="I154" s="18" t="str">
        <x:v>Completed</x:v>
      </x:c>
      <x:c r="J154" s="17" t="str">
        <x:f>IF(OR(I154="Completed",I154="Not Applicable"),"No","Yes")</x:f>
        <x:v>No</x:v>
      </x:c>
      <x:c r="K154" s="17" t="str">
        <x:v>11.3 task 1</x:v>
      </x:c>
      <x:c r="L154" s="21" t="str">
        <x:v>Story-labeled commit df851e31 contains delivery and focused test/test-result files: feat: implement story 11.3 renewal generation</x:v>
      </x:c>
      <x:c r="M154" s="17" t="str">
        <x:v>Implementation commit + focused test artifacts</x:v>
      </x:c>
      <x:c r="N154" s="21" t="str">
        <x:v>git commit df851e316d94089b15b1bec05446d88beb0890c6; /Users/devups/Development/CodexProjects/Gccs/docs/development-story-test-cases.md</x:v>
      </x:c>
      <x:c r="O154" s="19" t="n">
        <x:v>46188.204976851855</x:v>
      </x:c>
      <x:c r="P154" s="21" t="str">
        <x:v>4 acceptance criteria; 4 TC references; implementation=yes; smoke=yes; automated=no; Story-level regression template</x:v>
      </x:c>
      <x:c r="Q154" s="21" t="str"/>
      <x:c r="R154" s="21" t="str">
        <x:v>Retain traceability; rerun focused verification if the affected boundary changes.</x:v>
      </x:c>
      <x:c r="S154" s="18" t="str"/>
      <x:c r="T154" s="20"/>
      <x:c r="U154" s="21" t="str">
        <x:v>Completion is based on immutable repository evidence; tests were not rerun and current working-tree drift was not re-certified in this reporting-only task.</x:v>
      </x:c>
      <x:c r="V154" s="1"/>
    </x:row>
    <x:row r="155" ht="46" customHeight="1">
      <x:c r="A155" s="17" t="n">
        <x:v>151</x:v>
      </x:c>
      <x:c r="B155" s="17" t="str">
        <x:v>Phase 1</x:v>
      </x:c>
      <x:c r="C155" s="17" t="str">
        <x:v>11.3</x:v>
      </x:c>
      <x:c r="D155" s="21" t="str">
        <x:v>Renewal Generation</x:v>
      </x:c>
      <x:c r="E155" s="17" t="n">
        <x:v>3</x:v>
      </x:c>
      <x:c r="F155" s="21" t="str">
        <x:v>Avoid duplicate generated tasks.</x:v>
      </x:c>
      <x:c r="G155" s="17" t="str">
        <x:v>Software implementation</x:v>
      </x:c>
      <x:c r="H155" s="17" t="str">
        <x:v>Planned</x:v>
      </x:c>
      <x:c r="I155" s="18" t="str">
        <x:v>Completed</x:v>
      </x:c>
      <x:c r="J155" s="17" t="str">
        <x:f>IF(OR(I155="Completed",I155="Not Applicable"),"No","Yes")</x:f>
        <x:v>No</x:v>
      </x:c>
      <x:c r="K155" s="17" t="str">
        <x:v>11.3 task 2</x:v>
      </x:c>
      <x:c r="L155" s="21" t="str">
        <x:v>Story-labeled commit df851e31 contains delivery and focused test/test-result files: feat: implement story 11.3 renewal generation</x:v>
      </x:c>
      <x:c r="M155" s="17" t="str">
        <x:v>Implementation commit + focused test artifacts</x:v>
      </x:c>
      <x:c r="N155" s="21" t="str">
        <x:v>git commit df851e316d94089b15b1bec05446d88beb0890c6; /Users/devups/Development/CodexProjects/Gccs/docs/development-story-test-cases.md</x:v>
      </x:c>
      <x:c r="O155" s="19" t="n">
        <x:v>46188.204976851855</x:v>
      </x:c>
      <x:c r="P155" s="21" t="str">
        <x:v>4 acceptance criteria; 4 TC references; implementation=yes; smoke=yes; automated=no; Story-level regression template</x:v>
      </x:c>
      <x:c r="Q155" s="21" t="str"/>
      <x:c r="R155" s="21" t="str">
        <x:v>Retain traceability; rerun focused verification if the affected boundary changes.</x:v>
      </x:c>
      <x:c r="S155" s="18" t="str"/>
      <x:c r="T155" s="20"/>
      <x:c r="U155" s="21" t="str">
        <x:v>Completion is based on immutable repository evidence; tests were not rerun and current working-tree drift was not re-certified in this reporting-only task.</x:v>
      </x:c>
      <x:c r="V155" s="1"/>
    </x:row>
    <x:row r="156" ht="46" customHeight="1">
      <x:c r="A156" s="17" t="n">
        <x:v>152</x:v>
      </x:c>
      <x:c r="B156" s="17" t="str">
        <x:v>Phase 1</x:v>
      </x:c>
      <x:c r="C156" s="17" t="str">
        <x:v>11.3</x:v>
      </x:c>
      <x:c r="D156" s="21" t="str">
        <x:v>Renewal Generation</x:v>
      </x:c>
      <x:c r="E156" s="17" t="n">
        <x:v>4</x:v>
      </x:c>
      <x:c r="F156" s="21" t="str">
        <x:v>Add tests for due-date calculations.</x:v>
      </x:c>
      <x:c r="G156" s="17" t="str">
        <x:v>Software implementation</x:v>
      </x:c>
      <x:c r="H156" s="17" t="str">
        <x:v>Planned</x:v>
      </x:c>
      <x:c r="I156" s="18" t="str">
        <x:v>Completed</x:v>
      </x:c>
      <x:c r="J156" s="17" t="str">
        <x:f>IF(OR(I156="Completed",I156="Not Applicable"),"No","Yes")</x:f>
        <x:v>No</x:v>
      </x:c>
      <x:c r="K156" s="17" t="str">
        <x:v>11.3 task 3</x:v>
      </x:c>
      <x:c r="L156" s="21" t="str">
        <x:v>Story-labeled commit df851e31 contains delivery and focused test/test-result files: feat: implement story 11.3 renewal generation</x:v>
      </x:c>
      <x:c r="M156" s="17" t="str">
        <x:v>Implementation commit + focused test artifacts</x:v>
      </x:c>
      <x:c r="N156" s="21" t="str">
        <x:v>git commit df851e316d94089b15b1bec05446d88beb0890c6; /Users/devups/Development/CodexProjects/Gccs/docs/development-story-test-cases.md</x:v>
      </x:c>
      <x:c r="O156" s="19" t="n">
        <x:v>46188.204976851855</x:v>
      </x:c>
      <x:c r="P156" s="21" t="str">
        <x:v>4 acceptance criteria; 4 TC references; implementation=yes; smoke=yes; automated=no; Story-level regression template</x:v>
      </x:c>
      <x:c r="Q156" s="21" t="str"/>
      <x:c r="R156" s="21" t="str">
        <x:v>Retain traceability; rerun focused verification if the affected boundary changes.</x:v>
      </x:c>
      <x:c r="S156" s="18" t="str"/>
      <x:c r="T156" s="20"/>
      <x:c r="U156" s="21" t="str">
        <x:v>Completion is based on immutable repository evidence; tests were not rerun and current working-tree drift was not re-certified in this reporting-only task.</x:v>
      </x:c>
      <x:c r="V156" s="1"/>
    </x:row>
    <x:row r="157" ht="46" customHeight="1">
      <x:c r="A157" s="17" t="n">
        <x:v>153</x:v>
      </x:c>
      <x:c r="B157" s="17" t="str">
        <x:v>Phase 1</x:v>
      </x:c>
      <x:c r="C157" s="17" t="str">
        <x:v>12.1</x:v>
      </x:c>
      <x:c r="D157" s="21" t="str">
        <x:v>Evidence Metadata</x:v>
      </x:c>
      <x:c r="E157" s="17" t="n">
        <x:v>1</x:v>
      </x:c>
      <x:c r="F157" s="21" t="str">
        <x:v>Add evidence item model with title, type, owner, approval status, expiration date, tags, description, and source links.</x:v>
      </x:c>
      <x:c r="G157" s="17" t="str">
        <x:v>Software implementation</x:v>
      </x:c>
      <x:c r="H157" s="17" t="str">
        <x:v>Planned</x:v>
      </x:c>
      <x:c r="I157" s="18" t="str">
        <x:v>Completed</x:v>
      </x:c>
      <x:c r="J157" s="17" t="str">
        <x:f>IF(OR(I157="Completed",I157="Not Applicable"),"No","Yes")</x:f>
        <x:v>No</x:v>
      </x:c>
      <x:c r="K157" s="17" t="str">
        <x:v>11.3</x:v>
      </x:c>
      <x:c r="L157" s="21" t="str">
        <x:v>Story-labeled commit fd8925a0 contains delivery and focused test/test-result files: feat: implement story 12.1 evidence metadata</x:v>
      </x:c>
      <x:c r="M157" s="17" t="str">
        <x:v>Implementation commit + focused test artifacts</x:v>
      </x:c>
      <x:c r="N157" s="21" t="str">
        <x:v>git commit fd8925a04d8449f843e4e3d86b1a21df96eb2662; /Users/devups/Development/CodexProjects/Gccs/docs/development-story-test-cases.md</x:v>
      </x:c>
      <x:c r="O157" s="19" t="n">
        <x:v>46188.211168981485</x:v>
      </x:c>
      <x:c r="P157" s="21" t="str">
        <x:v>4 acceptance criteria; 4 TC references; implementation=yes; smoke=yes; automated=no; Story-level regression template</x:v>
      </x:c>
      <x:c r="Q157" s="21" t="str"/>
      <x:c r="R157" s="21" t="str">
        <x:v>Retain traceability; rerun focused verification if the affected boundary changes.</x:v>
      </x:c>
      <x:c r="S157" s="18" t="str"/>
      <x:c r="T157" s="20"/>
      <x:c r="U157" s="21" t="str">
        <x:v>Completion is based on immutable repository evidence; tests were not rerun and current working-tree drift was not re-certified in this reporting-only task.</x:v>
      </x:c>
      <x:c r="V157" s="1"/>
    </x:row>
    <x:row r="158" ht="46" customHeight="1">
      <x:c r="A158" s="17" t="n">
        <x:v>154</x:v>
      </x:c>
      <x:c r="B158" s="17" t="str">
        <x:v>Phase 1</x:v>
      </x:c>
      <x:c r="C158" s="17" t="str">
        <x:v>12.1</x:v>
      </x:c>
      <x:c r="D158" s="21" t="str">
        <x:v>Evidence Metadata</x:v>
      </x:c>
      <x:c r="E158" s="17" t="n">
        <x:v>2</x:v>
      </x:c>
      <x:c r="F158" s="21" t="str">
        <x:v>Add relationships to obligations, controls, contracts, vendors, subcontractors, employees, and reports.</x:v>
      </x:c>
      <x:c r="G158" s="17" t="str">
        <x:v>Software implementation</x:v>
      </x:c>
      <x:c r="H158" s="17" t="str">
        <x:v>Planned</x:v>
      </x:c>
      <x:c r="I158" s="18" t="str">
        <x:v>Completed</x:v>
      </x:c>
      <x:c r="J158" s="17" t="str">
        <x:f>IF(OR(I158="Completed",I158="Not Applicable"),"No","Yes")</x:f>
        <x:v>No</x:v>
      </x:c>
      <x:c r="K158" s="17" t="str">
        <x:v>12.1 task 1</x:v>
      </x:c>
      <x:c r="L158" s="21" t="str">
        <x:v>Story-labeled commit fd8925a0 contains delivery and focused test/test-result files: feat: implement story 12.1 evidence metadata</x:v>
      </x:c>
      <x:c r="M158" s="17" t="str">
        <x:v>Implementation commit + focused test artifacts</x:v>
      </x:c>
      <x:c r="N158" s="21" t="str">
        <x:v>git commit fd8925a04d8449f843e4e3d86b1a21df96eb2662; /Users/devups/Development/CodexProjects/Gccs/docs/development-story-test-cases.md</x:v>
      </x:c>
      <x:c r="O158" s="19" t="n">
        <x:v>46188.211168981485</x:v>
      </x:c>
      <x:c r="P158" s="21" t="str">
        <x:v>4 acceptance criteria; 4 TC references; implementation=yes; smoke=yes; automated=no; Story-level regression template</x:v>
      </x:c>
      <x:c r="Q158" s="21" t="str"/>
      <x:c r="R158" s="21" t="str">
        <x:v>Retain traceability; rerun focused verification if the affected boundary changes.</x:v>
      </x:c>
      <x:c r="S158" s="18" t="str"/>
      <x:c r="T158" s="20"/>
      <x:c r="U158" s="21" t="str">
        <x:v>Completion is based on immutable repository evidence; tests were not rerun and current working-tree drift was not re-certified in this reporting-only task.</x:v>
      </x:c>
      <x:c r="V158" s="1"/>
    </x:row>
    <x:row r="159" ht="46" customHeight="1">
      <x:c r="A159" s="17" t="n">
        <x:v>155</x:v>
      </x:c>
      <x:c r="B159" s="17" t="str">
        <x:v>Phase 1</x:v>
      </x:c>
      <x:c r="C159" s="17" t="str">
        <x:v>12.1</x:v>
      </x:c>
      <x:c r="D159" s="21" t="str">
        <x:v>Evidence Metadata</x:v>
      </x:c>
      <x:c r="E159" s="17" t="n">
        <x:v>3</x:v>
      </x:c>
      <x:c r="F159" s="21" t="str">
        <x:v>Build evidence list and detail pages.</x:v>
      </x:c>
      <x:c r="G159" s="17" t="str">
        <x:v>Software implementation</x:v>
      </x:c>
      <x:c r="H159" s="17" t="str">
        <x:v>Planned</x:v>
      </x:c>
      <x:c r="I159" s="18" t="str">
        <x:v>Completed</x:v>
      </x:c>
      <x:c r="J159" s="17" t="str">
        <x:f>IF(OR(I159="Completed",I159="Not Applicable"),"No","Yes")</x:f>
        <x:v>No</x:v>
      </x:c>
      <x:c r="K159" s="17" t="str">
        <x:v>12.1 task 2</x:v>
      </x:c>
      <x:c r="L159" s="21" t="str">
        <x:v>Story-labeled commit fd8925a0 contains delivery and focused test/test-result files: feat: implement story 12.1 evidence metadata</x:v>
      </x:c>
      <x:c r="M159" s="17" t="str">
        <x:v>Implementation commit + focused test artifacts</x:v>
      </x:c>
      <x:c r="N159" s="21" t="str">
        <x:v>git commit fd8925a04d8449f843e4e3d86b1a21df96eb2662; /Users/devups/Development/CodexProjects/Gccs/docs/development-story-test-cases.md</x:v>
      </x:c>
      <x:c r="O159" s="19" t="n">
        <x:v>46188.211168981485</x:v>
      </x:c>
      <x:c r="P159" s="21" t="str">
        <x:v>4 acceptance criteria; 4 TC references; implementation=yes; smoke=yes; automated=no; Story-level regression template</x:v>
      </x:c>
      <x:c r="Q159" s="21" t="str"/>
      <x:c r="R159" s="21" t="str">
        <x:v>Retain traceability; rerun focused verification if the affected boundary changes.</x:v>
      </x:c>
      <x:c r="S159" s="18" t="str"/>
      <x:c r="T159" s="20"/>
      <x:c r="U159" s="21" t="str">
        <x:v>Completion is based on immutable repository evidence; tests were not rerun and current working-tree drift was not re-certified in this reporting-only task.</x:v>
      </x:c>
      <x:c r="V159" s="1"/>
    </x:row>
    <x:row r="160" ht="46" customHeight="1">
      <x:c r="A160" s="17" t="n">
        <x:v>156</x:v>
      </x:c>
      <x:c r="B160" s="17" t="str">
        <x:v>Phase 1</x:v>
      </x:c>
      <x:c r="C160" s="17" t="str">
        <x:v>12.1</x:v>
      </x:c>
      <x:c r="D160" s="21" t="str">
        <x:v>Evidence Metadata</x:v>
      </x:c>
      <x:c r="E160" s="17" t="n">
        <x:v>4</x:v>
      </x:c>
      <x:c r="F160" s="21" t="str">
        <x:v>Add metadata validation.</x:v>
      </x:c>
      <x:c r="G160" s="17" t="str">
        <x:v>Software implementation</x:v>
      </x:c>
      <x:c r="H160" s="17" t="str">
        <x:v>Planned</x:v>
      </x:c>
      <x:c r="I160" s="18" t="str">
        <x:v>Completed</x:v>
      </x:c>
      <x:c r="J160" s="17" t="str">
        <x:f>IF(OR(I160="Completed",I160="Not Applicable"),"No","Yes")</x:f>
        <x:v>No</x:v>
      </x:c>
      <x:c r="K160" s="17" t="str">
        <x:v>12.1 task 3</x:v>
      </x:c>
      <x:c r="L160" s="21" t="str">
        <x:v>Story-labeled commit fd8925a0 contains delivery and focused test/test-result files: feat: implement story 12.1 evidence metadata</x:v>
      </x:c>
      <x:c r="M160" s="17" t="str">
        <x:v>Implementation commit + focused test artifacts</x:v>
      </x:c>
      <x:c r="N160" s="21" t="str">
        <x:v>git commit fd8925a04d8449f843e4e3d86b1a21df96eb2662; /Users/devups/Development/CodexProjects/Gccs/docs/development-story-test-cases.md</x:v>
      </x:c>
      <x:c r="O160" s="19" t="n">
        <x:v>46188.211168981485</x:v>
      </x:c>
      <x:c r="P160" s="21" t="str">
        <x:v>4 acceptance criteria; 4 TC references; implementation=yes; smoke=yes; automated=no; Story-level regression template</x:v>
      </x:c>
      <x:c r="Q160" s="21" t="str"/>
      <x:c r="R160" s="21" t="str">
        <x:v>Retain traceability; rerun focused verification if the affected boundary changes.</x:v>
      </x:c>
      <x:c r="S160" s="18" t="str"/>
      <x:c r="T160" s="20"/>
      <x:c r="U160" s="21" t="str">
        <x:v>Completion is based on immutable repository evidence; tests were not rerun and current working-tree drift was not re-certified in this reporting-only task.</x:v>
      </x:c>
      <x:c r="V160" s="1"/>
    </x:row>
    <x:row r="161" ht="46" customHeight="1">
      <x:c r="A161" s="17" t="n">
        <x:v>157</x:v>
      </x:c>
      <x:c r="B161" s="17" t="str">
        <x:v>Phase 1</x:v>
      </x:c>
      <x:c r="C161" s="17" t="str">
        <x:v>12.2</x:v>
      </x:c>
      <x:c r="D161" s="21" t="str">
        <x:v>Evidence File Upload</x:v>
      </x:c>
      <x:c r="E161" s="17" t="n">
        <x:v>1</x:v>
      </x:c>
      <x:c r="F161" s="21" t="str">
        <x:v>Add file upload to evidence records.</x:v>
      </x:c>
      <x:c r="G161" s="17" t="str">
        <x:v>Software implementation</x:v>
      </x:c>
      <x:c r="H161" s="17" t="str">
        <x:v>Planned</x:v>
      </x:c>
      <x:c r="I161" s="18" t="str">
        <x:v>Completed</x:v>
      </x:c>
      <x:c r="J161" s="17" t="str">
        <x:f>IF(OR(I161="Completed",I161="Not Applicable"),"No","Yes")</x:f>
        <x:v>No</x:v>
      </x:c>
      <x:c r="K161" s="17" t="str">
        <x:v>12.1</x:v>
      </x:c>
      <x:c r="L161" s="21" t="str">
        <x:v>Story-labeled commit 62f060c4 contains delivery and focused test/test-result files: feat: implement story 12.2 evidence file upload</x:v>
      </x:c>
      <x:c r="M161" s="17" t="str">
        <x:v>Implementation commit + focused test artifacts</x:v>
      </x:c>
      <x:c r="N161" s="21" t="str">
        <x:v>git commit 62f060c400b5df596f72bea65846c7fb3ffb4d67; /Users/devups/Development/CodexProjects/Gccs/docs/development-story-test-cases.md</x:v>
      </x:c>
      <x:c r="O161" s="19" t="n">
        <x:v>46188.215104166666</x:v>
      </x:c>
      <x:c r="P161" s="21" t="str">
        <x:v>4 acceptance criteria; 4 TC references; implementation=yes; smoke=yes; automated=no; Story-level regression template</x:v>
      </x:c>
      <x:c r="Q161" s="21" t="str"/>
      <x:c r="R161" s="21" t="str">
        <x:v>Retain traceability; rerun focused verification if the affected boundary changes.</x:v>
      </x:c>
      <x:c r="S161" s="18" t="str"/>
      <x:c r="T161" s="20"/>
      <x:c r="U161" s="21" t="str">
        <x:v>Completion is based on immutable repository evidence; tests were not rerun and current working-tree drift was not re-certified in this reporting-only task.</x:v>
      </x:c>
      <x:c r="V161" s="1"/>
    </x:row>
    <x:row r="162" ht="46" customHeight="1">
      <x:c r="A162" s="17" t="n">
        <x:v>158</x:v>
      </x:c>
      <x:c r="B162" s="17" t="str">
        <x:v>Phase 1</x:v>
      </x:c>
      <x:c r="C162" s="17" t="str">
        <x:v>12.2</x:v>
      </x:c>
      <x:c r="D162" s="21" t="str">
        <x:v>Evidence File Upload</x:v>
      </x:c>
      <x:c r="E162" s="17" t="n">
        <x:v>2</x:v>
      </x:c>
      <x:c r="F162" s="21" t="str">
        <x:v>Enforce allowed file types, size limits, data handling acknowledgement, tenant CUI gating, and malware scan status.</x:v>
      </x:c>
      <x:c r="G162" s="17" t="str">
        <x:v>Software implementation</x:v>
      </x:c>
      <x:c r="H162" s="17" t="str">
        <x:v>Planned</x:v>
      </x:c>
      <x:c r="I162" s="18" t="str">
        <x:v>Completed</x:v>
      </x:c>
      <x:c r="J162" s="17" t="str">
        <x:f>IF(OR(I162="Completed",I162="Not Applicable"),"No","Yes")</x:f>
        <x:v>No</x:v>
      </x:c>
      <x:c r="K162" s="17" t="str">
        <x:v>12.2 task 1</x:v>
      </x:c>
      <x:c r="L162" s="21" t="str">
        <x:v>Story-labeled commit 62f060c4 contains delivery and focused test/test-result files: feat: implement story 12.2 evidence file upload</x:v>
      </x:c>
      <x:c r="M162" s="17" t="str">
        <x:v>Implementation commit + focused test artifacts</x:v>
      </x:c>
      <x:c r="N162" s="21" t="str">
        <x:v>git commit 62f060c400b5df596f72bea65846c7fb3ffb4d67; /Users/devups/Development/CodexProjects/Gccs/docs/development-story-test-cases.md</x:v>
      </x:c>
      <x:c r="O162" s="19" t="n">
        <x:v>46188.215104166666</x:v>
      </x:c>
      <x:c r="P162" s="21" t="str">
        <x:v>4 acceptance criteria; 4 TC references; implementation=yes; smoke=yes; automated=no; Story-level regression template</x:v>
      </x:c>
      <x:c r="Q162" s="21" t="str"/>
      <x:c r="R162" s="21" t="str">
        <x:v>Retain traceability; rerun focused verification if the affected boundary changes.</x:v>
      </x:c>
      <x:c r="S162" s="18" t="str"/>
      <x:c r="T162" s="20"/>
      <x:c r="U162" s="21" t="str">
        <x:v>Completion is based on immutable repository evidence; tests were not rerun and current working-tree drift was not re-certified in this reporting-only task.</x:v>
      </x:c>
      <x:c r="V162" s="1"/>
    </x:row>
    <x:row r="163" ht="46" customHeight="1">
      <x:c r="A163" s="17" t="n">
        <x:v>159</x:v>
      </x:c>
      <x:c r="B163" s="17" t="str">
        <x:v>Phase 1</x:v>
      </x:c>
      <x:c r="C163" s="17" t="str">
        <x:v>12.2</x:v>
      </x:c>
      <x:c r="D163" s="21" t="str">
        <x:v>Evidence File Upload</x:v>
      </x:c>
      <x:c r="E163" s="17" t="n">
        <x:v>3</x:v>
      </x:c>
      <x:c r="F163" s="21" t="str">
        <x:v>Store file version metadata.</x:v>
      </x:c>
      <x:c r="G163" s="17" t="str">
        <x:v>Software implementation</x:v>
      </x:c>
      <x:c r="H163" s="17" t="str">
        <x:v>Planned</x:v>
      </x:c>
      <x:c r="I163" s="18" t="str">
        <x:v>Completed</x:v>
      </x:c>
      <x:c r="J163" s="17" t="str">
        <x:f>IF(OR(I163="Completed",I163="Not Applicable"),"No","Yes")</x:f>
        <x:v>No</x:v>
      </x:c>
      <x:c r="K163" s="17" t="str">
        <x:v>12.2 task 2</x:v>
      </x:c>
      <x:c r="L163" s="21" t="str">
        <x:v>Story-labeled commit 62f060c4 contains delivery and focused test/test-result files: feat: implement story 12.2 evidence file upload</x:v>
      </x:c>
      <x:c r="M163" s="17" t="str">
        <x:v>Implementation commit + focused test artifacts</x:v>
      </x:c>
      <x:c r="N163" s="21" t="str">
        <x:v>git commit 62f060c400b5df596f72bea65846c7fb3ffb4d67; /Users/devups/Development/CodexProjects/Gccs/docs/development-story-test-cases.md</x:v>
      </x:c>
      <x:c r="O163" s="19" t="n">
        <x:v>46188.215104166666</x:v>
      </x:c>
      <x:c r="P163" s="21" t="str">
        <x:v>4 acceptance criteria; 4 TC references; implementation=yes; smoke=yes; automated=no; Story-level regression template</x:v>
      </x:c>
      <x:c r="Q163" s="21" t="str"/>
      <x:c r="R163" s="21" t="str">
        <x:v>Retain traceability; rerun focused verification if the affected boundary changes.</x:v>
      </x:c>
      <x:c r="S163" s="18" t="str"/>
      <x:c r="T163" s="20"/>
      <x:c r="U163" s="21" t="str">
        <x:v>Completion is based on immutable repository evidence; tests were not rerun and current working-tree drift was not re-certified in this reporting-only task.</x:v>
      </x:c>
      <x:c r="V163" s="1"/>
    </x:row>
    <x:row r="164" ht="46" customHeight="1">
      <x:c r="A164" s="17" t="n">
        <x:v>160</x:v>
      </x:c>
      <x:c r="B164" s="17" t="str">
        <x:v>Phase 1</x:v>
      </x:c>
      <x:c r="C164" s="17" t="str">
        <x:v>12.2</x:v>
      </x:c>
      <x:c r="D164" s="21" t="str">
        <x:v>Evidence File Upload</x:v>
      </x:c>
      <x:c r="E164" s="17" t="n">
        <x:v>4</x:v>
      </x:c>
      <x:c r="F164" s="21" t="str">
        <x:v>Add download permissions.</x:v>
      </x:c>
      <x:c r="G164" s="17" t="str">
        <x:v>Software implementation</x:v>
      </x:c>
      <x:c r="H164" s="17" t="str">
        <x:v>Planned</x:v>
      </x:c>
      <x:c r="I164" s="18" t="str">
        <x:v>Completed</x:v>
      </x:c>
      <x:c r="J164" s="17" t="str">
        <x:f>IF(OR(I164="Completed",I164="Not Applicable"),"No","Yes")</x:f>
        <x:v>No</x:v>
      </x:c>
      <x:c r="K164" s="17" t="str">
        <x:v>12.2 task 3</x:v>
      </x:c>
      <x:c r="L164" s="21" t="str">
        <x:v>Story-labeled commit 62f060c4 contains delivery and focused test/test-result files: feat: implement story 12.2 evidence file upload</x:v>
      </x:c>
      <x:c r="M164" s="17" t="str">
        <x:v>Implementation commit + focused test artifacts</x:v>
      </x:c>
      <x:c r="N164" s="21" t="str">
        <x:v>git commit 62f060c400b5df596f72bea65846c7fb3ffb4d67; /Users/devups/Development/CodexProjects/Gccs/docs/development-story-test-cases.md</x:v>
      </x:c>
      <x:c r="O164" s="19" t="n">
        <x:v>46188.215104166666</x:v>
      </x:c>
      <x:c r="P164" s="21" t="str">
        <x:v>4 acceptance criteria; 4 TC references; implementation=yes; smoke=yes; automated=no; Story-level regression template</x:v>
      </x:c>
      <x:c r="Q164" s="21" t="str"/>
      <x:c r="R164" s="21" t="str">
        <x:v>Retain traceability; rerun focused verification if the affected boundary changes.</x:v>
      </x:c>
      <x:c r="S164" s="18" t="str"/>
      <x:c r="T164" s="20"/>
      <x:c r="U164" s="21" t="str">
        <x:v>Completion is based on immutable repository evidence; tests were not rerun and current working-tree drift was not re-certified in this reporting-only task.</x:v>
      </x:c>
      <x:c r="V164" s="1"/>
    </x:row>
    <x:row r="165" ht="46" customHeight="1">
      <x:c r="A165" s="17" t="n">
        <x:v>161</x:v>
      </x:c>
      <x:c r="B165" s="17" t="str">
        <x:v>Phase 1</x:v>
      </x:c>
      <x:c r="C165" s="17" t="str">
        <x:v>12.3</x:v>
      </x:c>
      <x:c r="D165" s="21" t="str">
        <x:v>Evidence Approval</x:v>
      </x:c>
      <x:c r="E165" s="17" t="n">
        <x:v>1</x:v>
      </x:c>
      <x:c r="F165" s="21" t="str">
        <x:v>Add evidence states such as draft, submitted, approved, rejected, expired, and archived.</x:v>
      </x:c>
      <x:c r="G165" s="17" t="str">
        <x:v>Software implementation</x:v>
      </x:c>
      <x:c r="H165" s="17" t="str">
        <x:v>Planned</x:v>
      </x:c>
      <x:c r="I165" s="18" t="str">
        <x:v>Completed</x:v>
      </x:c>
      <x:c r="J165" s="17" t="str">
        <x:f>IF(OR(I165="Completed",I165="Not Applicable"),"No","Yes")</x:f>
        <x:v>No</x:v>
      </x:c>
      <x:c r="K165" s="17" t="str">
        <x:v>12.2</x:v>
      </x:c>
      <x:c r="L165" s="21" t="str">
        <x:v>Story-labeled commit 5ad74be5 contains delivery and focused test/test-result files: feat: implement story 12.3 evidence approval</x:v>
      </x:c>
      <x:c r="M165" s="17" t="str">
        <x:v>Implementation commit + focused test artifacts</x:v>
      </x:c>
      <x:c r="N165" s="21" t="str">
        <x:v>git commit 5ad74be5d3586d8cc789ba0f419765e328fd3193; /Users/devups/Development/CodexProjects/Gccs/docs/development-story-test-cases.md</x:v>
      </x:c>
      <x:c r="O165" s="19" t="n">
        <x:v>46188.219305555554</x:v>
      </x:c>
      <x:c r="P165" s="21" t="str">
        <x:v>4 acceptance criteria; 4 TC references; implementation=yes; smoke=yes; automated=no; Story-level regression template</x:v>
      </x:c>
      <x:c r="Q165" s="21" t="str"/>
      <x:c r="R165" s="21" t="str">
        <x:v>Retain traceability; rerun focused verification if the affected boundary changes.</x:v>
      </x:c>
      <x:c r="S165" s="18" t="str"/>
      <x:c r="T165" s="20"/>
      <x:c r="U165" s="21" t="str">
        <x:v>Completion is based on immutable repository evidence; tests were not rerun and current working-tree drift was not re-certified in this reporting-only task.</x:v>
      </x:c>
      <x:c r="V165" s="1"/>
    </x:row>
    <x:row r="166" ht="46" customHeight="1">
      <x:c r="A166" s="17" t="n">
        <x:v>162</x:v>
      </x:c>
      <x:c r="B166" s="17" t="str">
        <x:v>Phase 1</x:v>
      </x:c>
      <x:c r="C166" s="17" t="str">
        <x:v>12.3</x:v>
      </x:c>
      <x:c r="D166" s="21" t="str">
        <x:v>Evidence Approval</x:v>
      </x:c>
      <x:c r="E166" s="17" t="n">
        <x:v>2</x:v>
      </x:c>
      <x:c r="F166" s="21" t="str">
        <x:v>Add approval and rejection workflow with comments.</x:v>
      </x:c>
      <x:c r="G166" s="17" t="str">
        <x:v>Software implementation</x:v>
      </x:c>
      <x:c r="H166" s="17" t="str">
        <x:v>Planned</x:v>
      </x:c>
      <x:c r="I166" s="18" t="str">
        <x:v>Completed</x:v>
      </x:c>
      <x:c r="J166" s="17" t="str">
        <x:f>IF(OR(I166="Completed",I166="Not Applicable"),"No","Yes")</x:f>
        <x:v>No</x:v>
      </x:c>
      <x:c r="K166" s="17" t="str">
        <x:v>12.3 task 1</x:v>
      </x:c>
      <x:c r="L166" s="21" t="str">
        <x:v>Story-labeled commit 5ad74be5 contains delivery and focused test/test-result files: feat: implement story 12.3 evidence approval</x:v>
      </x:c>
      <x:c r="M166" s="17" t="str">
        <x:v>Implementation commit + focused test artifacts</x:v>
      </x:c>
      <x:c r="N166" s="21" t="str">
        <x:v>git commit 5ad74be5d3586d8cc789ba0f419765e328fd3193; /Users/devups/Development/CodexProjects/Gccs/docs/development-story-test-cases.md</x:v>
      </x:c>
      <x:c r="O166" s="19" t="n">
        <x:v>46188.219305555554</x:v>
      </x:c>
      <x:c r="P166" s="21" t="str">
        <x:v>4 acceptance criteria; 4 TC references; implementation=yes; smoke=yes; automated=no; Story-level regression template</x:v>
      </x:c>
      <x:c r="Q166" s="21" t="str"/>
      <x:c r="R166" s="21" t="str">
        <x:v>Retain traceability; rerun focused verification if the affected boundary changes.</x:v>
      </x:c>
      <x:c r="S166" s="18" t="str"/>
      <x:c r="T166" s="20"/>
      <x:c r="U166" s="21" t="str">
        <x:v>Completion is based on immutable repository evidence; tests were not rerun and current working-tree drift was not re-certified in this reporting-only task.</x:v>
      </x:c>
      <x:c r="V166" s="1"/>
    </x:row>
    <x:row r="167" ht="46" customHeight="1">
      <x:c r="A167" s="17" t="n">
        <x:v>163</x:v>
      </x:c>
      <x:c r="B167" s="17" t="str">
        <x:v>Phase 1</x:v>
      </x:c>
      <x:c r="C167" s="17" t="str">
        <x:v>12.3</x:v>
      </x:c>
      <x:c r="D167" s="21" t="str">
        <x:v>Evidence Approval</x:v>
      </x:c>
      <x:c r="E167" s="17" t="n">
        <x:v>3</x:v>
      </x:c>
      <x:c r="F167" s="21" t="str">
        <x:v>Restrict approval to authorized roles.</x:v>
      </x:c>
      <x:c r="G167" s="17" t="str">
        <x:v>Software implementation</x:v>
      </x:c>
      <x:c r="H167" s="17" t="str">
        <x:v>Planned</x:v>
      </x:c>
      <x:c r="I167" s="18" t="str">
        <x:v>Completed</x:v>
      </x:c>
      <x:c r="J167" s="17" t="str">
        <x:f>IF(OR(I167="Completed",I167="Not Applicable"),"No","Yes")</x:f>
        <x:v>No</x:v>
      </x:c>
      <x:c r="K167" s="17" t="str">
        <x:v>12.3 task 2</x:v>
      </x:c>
      <x:c r="L167" s="21" t="str">
        <x:v>Story-labeled commit 5ad74be5 contains delivery and focused test/test-result files: feat: implement story 12.3 evidence approval</x:v>
      </x:c>
      <x:c r="M167" s="17" t="str">
        <x:v>Implementation commit + focused test artifacts</x:v>
      </x:c>
      <x:c r="N167" s="21" t="str">
        <x:v>git commit 5ad74be5d3586d8cc789ba0f419765e328fd3193; /Users/devups/Development/CodexProjects/Gccs/docs/development-story-test-cases.md</x:v>
      </x:c>
      <x:c r="O167" s="19" t="n">
        <x:v>46188.219305555554</x:v>
      </x:c>
      <x:c r="P167" s="21" t="str">
        <x:v>4 acceptance criteria; 4 TC references; implementation=yes; smoke=yes; automated=no; Story-level regression template</x:v>
      </x:c>
      <x:c r="Q167" s="21" t="str"/>
      <x:c r="R167" s="21" t="str">
        <x:v>Retain traceability; rerun focused verification if the affected boundary changes.</x:v>
      </x:c>
      <x:c r="S167" s="18" t="str"/>
      <x:c r="T167" s="20"/>
      <x:c r="U167" s="21" t="str">
        <x:v>Completion is based on immutable repository evidence; tests were not rerun and current working-tree drift was not re-certified in this reporting-only task.</x:v>
      </x:c>
      <x:c r="V167" s="1"/>
    </x:row>
    <x:row r="168" ht="46" customHeight="1">
      <x:c r="A168" s="17" t="n">
        <x:v>164</x:v>
      </x:c>
      <x:c r="B168" s="17" t="str">
        <x:v>Phase 1</x:v>
      </x:c>
      <x:c r="C168" s="17" t="str">
        <x:v>12.3</x:v>
      </x:c>
      <x:c r="D168" s="21" t="str">
        <x:v>Evidence Approval</x:v>
      </x:c>
      <x:c r="E168" s="17" t="n">
        <x:v>4</x:v>
      </x:c>
      <x:c r="F168" s="21" t="str">
        <x:v>Show approval state in obligation and report views.</x:v>
      </x:c>
      <x:c r="G168" s="17" t="str">
        <x:v>Software implementation</x:v>
      </x:c>
      <x:c r="H168" s="17" t="str">
        <x:v>Planned</x:v>
      </x:c>
      <x:c r="I168" s="18" t="str">
        <x:v>Completed</x:v>
      </x:c>
      <x:c r="J168" s="17" t="str">
        <x:f>IF(OR(I168="Completed",I168="Not Applicable"),"No","Yes")</x:f>
        <x:v>No</x:v>
      </x:c>
      <x:c r="K168" s="17" t="str">
        <x:v>12.3 task 3</x:v>
      </x:c>
      <x:c r="L168" s="21" t="str">
        <x:v>Story-labeled commit 5ad74be5 contains delivery and focused test/test-result files: feat: implement story 12.3 evidence approval</x:v>
      </x:c>
      <x:c r="M168" s="17" t="str">
        <x:v>Implementation commit + focused test artifacts</x:v>
      </x:c>
      <x:c r="N168" s="21" t="str">
        <x:v>git commit 5ad74be5d3586d8cc789ba0f419765e328fd3193; /Users/devups/Development/CodexProjects/Gccs/docs/development-story-test-cases.md</x:v>
      </x:c>
      <x:c r="O168" s="19" t="n">
        <x:v>46188.219305555554</x:v>
      </x:c>
      <x:c r="P168" s="21" t="str">
        <x:v>4 acceptance criteria; 4 TC references; implementation=yes; smoke=yes; automated=no; Story-level regression template</x:v>
      </x:c>
      <x:c r="Q168" s="21" t="str"/>
      <x:c r="R168" s="21" t="str">
        <x:v>Retain traceability; rerun focused verification if the affected boundary changes.</x:v>
      </x:c>
      <x:c r="S168" s="18" t="str"/>
      <x:c r="T168" s="20"/>
      <x:c r="U168" s="21" t="str">
        <x:v>Completion is based on immutable repository evidence; tests were not rerun and current working-tree drift was not re-certified in this reporting-only task.</x:v>
      </x:c>
      <x:c r="V168" s="1"/>
    </x:row>
    <x:row r="169" ht="46" customHeight="1">
      <x:c r="A169" s="17" t="n">
        <x:v>165</x:v>
      </x:c>
      <x:c r="B169" s="17" t="str">
        <x:v>Phase 1</x:v>
      </x:c>
      <x:c r="C169" s="17" t="str">
        <x:v>13.1</x:v>
      </x:c>
      <x:c r="D169" s="21" t="str">
        <x:v>CMMC Level Selection</x:v>
      </x:c>
      <x:c r="E169" s="17" t="n">
        <x:v>1</x:v>
      </x:c>
      <x:c r="F169" s="21" t="str">
        <x:v>Add CMMC assessment model with target level, status, assessment date, affirmation due date, and responsible owner.</x:v>
      </x:c>
      <x:c r="G169" s="17" t="str">
        <x:v>Software implementation</x:v>
      </x:c>
      <x:c r="H169" s="17" t="str">
        <x:v>Planned</x:v>
      </x:c>
      <x:c r="I169" s="18" t="str">
        <x:v>Completed</x:v>
      </x:c>
      <x:c r="J169" s="17" t="str">
        <x:f>IF(OR(I169="Completed",I169="Not Applicable"),"No","Yes")</x:f>
        <x:v>No</x:v>
      </x:c>
      <x:c r="K169" s="17" t="str">
        <x:v>12.3</x:v>
      </x:c>
      <x:c r="L169" s="21" t="str">
        <x:v>Story-labeled commit 03715834 contains delivery and focused test/test-result files: feat: implement story 13.1 cmmc level selection</x:v>
      </x:c>
      <x:c r="M169" s="17" t="str">
        <x:v>Implementation commit + focused test artifacts</x:v>
      </x:c>
      <x:c r="N169" s="21" t="str">
        <x:v>git commit 0371583450cfa7a6f3d4b77d8dc38dffb6cb5424; /Users/devups/Development/CodexProjects/Gccs/docs/development-story-test-cases.md</x:v>
      </x:c>
      <x:c r="O169" s="19" t="n">
        <x:v>46188.2256712963</x:v>
      </x:c>
      <x:c r="P169" s="21" t="str">
        <x:v>4 acceptance criteria; 4 TC references; implementation=yes; smoke=yes; automated=no; Story-level regression template</x:v>
      </x:c>
      <x:c r="Q169" s="21" t="str"/>
      <x:c r="R169" s="21" t="str">
        <x:v>Retain traceability; rerun focused verification if the affected boundary changes.</x:v>
      </x:c>
      <x:c r="S169" s="18" t="str"/>
      <x:c r="T169" s="20"/>
      <x:c r="U169" s="21" t="str">
        <x:v>Completion is based on immutable repository evidence; tests were not rerun and current working-tree drift was not re-certified in this reporting-only task.</x:v>
      </x:c>
      <x:c r="V169" s="1"/>
    </x:row>
    <x:row r="170" ht="46" customHeight="1">
      <x:c r="A170" s="17" t="n">
        <x:v>166</x:v>
      </x:c>
      <x:c r="B170" s="17" t="str">
        <x:v>Phase 1</x:v>
      </x:c>
      <x:c r="C170" s="17" t="str">
        <x:v>13.1</x:v>
      </x:c>
      <x:c r="D170" s="21" t="str">
        <x:v>CMMC Level Selection</x:v>
      </x:c>
      <x:c r="E170" s="17" t="n">
        <x:v>2</x:v>
      </x:c>
      <x:c r="F170" s="21" t="str">
        <x:v>Add Level 1 and Level 2 options.</x:v>
      </x:c>
      <x:c r="G170" s="17" t="str">
        <x:v>Software implementation</x:v>
      </x:c>
      <x:c r="H170" s="17" t="str">
        <x:v>Planned</x:v>
      </x:c>
      <x:c r="I170" s="18" t="str">
        <x:v>Completed</x:v>
      </x:c>
      <x:c r="J170" s="17" t="str">
        <x:f>IF(OR(I170="Completed",I170="Not Applicable"),"No","Yes")</x:f>
        <x:v>No</x:v>
      </x:c>
      <x:c r="K170" s="17" t="str">
        <x:v>13.1 task 1</x:v>
      </x:c>
      <x:c r="L170" s="21" t="str">
        <x:v>Story-labeled commit 03715834 contains delivery and focused test/test-result files: feat: implement story 13.1 cmmc level selection</x:v>
      </x:c>
      <x:c r="M170" s="17" t="str">
        <x:v>Implementation commit + focused test artifacts</x:v>
      </x:c>
      <x:c r="N170" s="21" t="str">
        <x:v>git commit 0371583450cfa7a6f3d4b77d8dc38dffb6cb5424; /Users/devups/Development/CodexProjects/Gccs/docs/development-story-test-cases.md</x:v>
      </x:c>
      <x:c r="O170" s="19" t="n">
        <x:v>46188.2256712963</x:v>
      </x:c>
      <x:c r="P170" s="21" t="str">
        <x:v>4 acceptance criteria; 4 TC references; implementation=yes; smoke=yes; automated=no; Story-level regression template</x:v>
      </x:c>
      <x:c r="Q170" s="21" t="str"/>
      <x:c r="R170" s="21" t="str">
        <x:v>Retain traceability; rerun focused verification if the affected boundary changes.</x:v>
      </x:c>
      <x:c r="S170" s="18" t="str"/>
      <x:c r="T170" s="20"/>
      <x:c r="U170" s="21" t="str">
        <x:v>Completion is based on immutable repository evidence; tests were not rerun and current working-tree drift was not re-certified in this reporting-only task.</x:v>
      </x:c>
      <x:c r="V170" s="1"/>
    </x:row>
    <x:row r="171" ht="46" customHeight="1">
      <x:c r="A171" s="17" t="n">
        <x:v>167</x:v>
      </x:c>
      <x:c r="B171" s="17" t="str">
        <x:v>Phase 1</x:v>
      </x:c>
      <x:c r="C171" s="17" t="str">
        <x:v>13.1</x:v>
      </x:c>
      <x:c r="D171" s="21" t="str">
        <x:v>CMMC Level Selection</x:v>
      </x:c>
      <x:c r="E171" s="17" t="n">
        <x:v>3</x:v>
      </x:c>
      <x:c r="F171" s="21" t="str">
        <x:v>Add workspace summary.</x:v>
      </x:c>
      <x:c r="G171" s="17" t="str">
        <x:v>Software implementation</x:v>
      </x:c>
      <x:c r="H171" s="17" t="str">
        <x:v>Planned</x:v>
      </x:c>
      <x:c r="I171" s="18" t="str">
        <x:v>Completed</x:v>
      </x:c>
      <x:c r="J171" s="17" t="str">
        <x:f>IF(OR(I171="Completed",I171="Not Applicable"),"No","Yes")</x:f>
        <x:v>No</x:v>
      </x:c>
      <x:c r="K171" s="17" t="str">
        <x:v>13.1 task 2</x:v>
      </x:c>
      <x:c r="L171" s="21" t="str">
        <x:v>Story-labeled commit 03715834 contains delivery and focused test/test-result files: feat: implement story 13.1 cmmc level selection</x:v>
      </x:c>
      <x:c r="M171" s="17" t="str">
        <x:v>Implementation commit + focused test artifacts</x:v>
      </x:c>
      <x:c r="N171" s="21" t="str">
        <x:v>git commit 0371583450cfa7a6f3d4b77d8dc38dffb6cb5424; /Users/devups/Development/CodexProjects/Gccs/docs/development-story-test-cases.md</x:v>
      </x:c>
      <x:c r="O171" s="19" t="n">
        <x:v>46188.2256712963</x:v>
      </x:c>
      <x:c r="P171" s="21" t="str">
        <x:v>4 acceptance criteria; 4 TC references; implementation=yes; smoke=yes; automated=no; Story-level regression template</x:v>
      </x:c>
      <x:c r="Q171" s="21" t="str"/>
      <x:c r="R171" s="21" t="str">
        <x:v>Retain traceability; rerun focused verification if the affected boundary changes.</x:v>
      </x:c>
      <x:c r="S171" s="18" t="str"/>
      <x:c r="T171" s="20"/>
      <x:c r="U171" s="21" t="str">
        <x:v>Completion is based on immutable repository evidence; tests were not rerun and current working-tree drift was not re-certified in this reporting-only task.</x:v>
      </x:c>
      <x:c r="V171" s="1"/>
    </x:row>
    <x:row r="172" ht="46" customHeight="1">
      <x:c r="A172" s="17" t="n">
        <x:v>168</x:v>
      </x:c>
      <x:c r="B172" s="17" t="str">
        <x:v>Phase 1</x:v>
      </x:c>
      <x:c r="C172" s="17" t="str">
        <x:v>13.1</x:v>
      </x:c>
      <x:c r="D172" s="21" t="str">
        <x:v>CMMC Level Selection</x:v>
      </x:c>
      <x:c r="E172" s="17" t="n">
        <x:v>4</x:v>
      </x:c>
      <x:c r="F172" s="21" t="str">
        <x:v>Link assessment to company profile and contracts.</x:v>
      </x:c>
      <x:c r="G172" s="17" t="str">
        <x:v>Software implementation</x:v>
      </x:c>
      <x:c r="H172" s="17" t="str">
        <x:v>Planned</x:v>
      </x:c>
      <x:c r="I172" s="18" t="str">
        <x:v>Completed</x:v>
      </x:c>
      <x:c r="J172" s="17" t="str">
        <x:f>IF(OR(I172="Completed",I172="Not Applicable"),"No","Yes")</x:f>
        <x:v>No</x:v>
      </x:c>
      <x:c r="K172" s="17" t="str">
        <x:v>13.1 task 3</x:v>
      </x:c>
      <x:c r="L172" s="21" t="str">
        <x:v>Story-labeled commit 03715834 contains delivery and focused test/test-result files: feat: implement story 13.1 cmmc level selection</x:v>
      </x:c>
      <x:c r="M172" s="17" t="str">
        <x:v>Implementation commit + focused test artifacts</x:v>
      </x:c>
      <x:c r="N172" s="21" t="str">
        <x:v>git commit 0371583450cfa7a6f3d4b77d8dc38dffb6cb5424; /Users/devups/Development/CodexProjects/Gccs/docs/development-story-test-cases.md</x:v>
      </x:c>
      <x:c r="O172" s="19" t="n">
        <x:v>46188.2256712963</x:v>
      </x:c>
      <x:c r="P172" s="21" t="str">
        <x:v>4 acceptance criteria; 4 TC references; implementation=yes; smoke=yes; automated=no; Story-level regression template</x:v>
      </x:c>
      <x:c r="Q172" s="21" t="str"/>
      <x:c r="R172" s="21" t="str">
        <x:v>Retain traceability; rerun focused verification if the affected boundary changes.</x:v>
      </x:c>
      <x:c r="S172" s="18" t="str"/>
      <x:c r="T172" s="20"/>
      <x:c r="U172" s="21" t="str">
        <x:v>Completion is based on immutable repository evidence; tests were not rerun and current working-tree drift was not re-certified in this reporting-only task.</x:v>
      </x:c>
      <x:c r="V172" s="1"/>
    </x:row>
    <x:row r="173" ht="46" customHeight="1">
      <x:c r="A173" s="17" t="n">
        <x:v>169</x:v>
      </x:c>
      <x:c r="B173" s="17" t="str">
        <x:v>Phase 1</x:v>
      </x:c>
      <x:c r="C173" s="17" t="str">
        <x:v>13.2</x:v>
      </x:c>
      <x:c r="D173" s="21" t="str">
        <x:v>Control Readiness</x:v>
      </x:c>
      <x:c r="E173" s="17" t="n">
        <x:v>1</x:v>
      </x:c>
      <x:c r="F173" s="21" t="str">
        <x:v>Load Level 1 controls and Level 2 readiness mappings.</x:v>
      </x:c>
      <x:c r="G173" s="17" t="str">
        <x:v>Software implementation</x:v>
      </x:c>
      <x:c r="H173" s="17" t="str">
        <x:v>Planned</x:v>
      </x:c>
      <x:c r="I173" s="18" t="str">
        <x:v>Completed</x:v>
      </x:c>
      <x:c r="J173" s="17" t="str">
        <x:f>IF(OR(I173="Completed",I173="Not Applicable"),"No","Yes")</x:f>
        <x:v>No</x:v>
      </x:c>
      <x:c r="K173" s="17" t="str">
        <x:v>13.1</x:v>
      </x:c>
      <x:c r="L173" s="21" t="str">
        <x:v>Story-labeled commit acc9cb2c contains delivery and focused test/test-result files: feat: implement story 13.2 control readiness</x:v>
      </x:c>
      <x:c r="M173" s="17" t="str">
        <x:v>Implementation commit + focused test artifacts</x:v>
      </x:c>
      <x:c r="N173" s="21" t="str">
        <x:v>git commit acc9cb2c9973ea7badc1dfe97d3ba0b8e8755fdd; /Users/devups/Development/CodexProjects/Gccs/docs/development-story-test-cases.md</x:v>
      </x:c>
      <x:c r="O173" s="19" t="n">
        <x:v>46188.23068287037</x:v>
      </x:c>
      <x:c r="P173" s="21" t="str">
        <x:v>4 acceptance criteria; 4 TC references; implementation=yes; smoke=yes; automated=no; Story-level regression template</x:v>
      </x:c>
      <x:c r="Q173" s="21" t="str"/>
      <x:c r="R173" s="21" t="str">
        <x:v>Retain traceability; rerun focused verification if the affected boundary changes.</x:v>
      </x:c>
      <x:c r="S173" s="18" t="str"/>
      <x:c r="T173" s="20"/>
      <x:c r="U173" s="21" t="str">
        <x:v>Completion is based on immutable repository evidence; tests were not rerun and current working-tree drift was not re-certified in this reporting-only task.</x:v>
      </x:c>
      <x:c r="V173" s="1"/>
    </x:row>
    <x:row r="174" ht="46" customHeight="1">
      <x:c r="A174" s="17" t="n">
        <x:v>170</x:v>
      </x:c>
      <x:c r="B174" s="17" t="str">
        <x:v>Phase 1</x:v>
      </x:c>
      <x:c r="C174" s="17" t="str">
        <x:v>13.2</x:v>
      </x:c>
      <x:c r="D174" s="21" t="str">
        <x:v>Control Readiness</x:v>
      </x:c>
      <x:c r="E174" s="17" t="n">
        <x:v>2</x:v>
      </x:c>
      <x:c r="F174" s="21" t="str">
        <x:v>Add control status values such as not_started, implemented, partially_implemented, not_applicable, and needs_review.</x:v>
      </x:c>
      <x:c r="G174" s="17" t="str">
        <x:v>Software implementation</x:v>
      </x:c>
      <x:c r="H174" s="17" t="str">
        <x:v>Planned</x:v>
      </x:c>
      <x:c r="I174" s="18" t="str">
        <x:v>Completed</x:v>
      </x:c>
      <x:c r="J174" s="17" t="str">
        <x:f>IF(OR(I174="Completed",I174="Not Applicable"),"No","Yes")</x:f>
        <x:v>No</x:v>
      </x:c>
      <x:c r="K174" s="17" t="str">
        <x:v>13.2 task 1</x:v>
      </x:c>
      <x:c r="L174" s="21" t="str">
        <x:v>Story-labeled commit acc9cb2c contains delivery and focused test/test-result files: feat: implement story 13.2 control readiness</x:v>
      </x:c>
      <x:c r="M174" s="17" t="str">
        <x:v>Implementation commit + focused test artifacts</x:v>
      </x:c>
      <x:c r="N174" s="21" t="str">
        <x:v>git commit acc9cb2c9973ea7badc1dfe97d3ba0b8e8755fdd; /Users/devups/Development/CodexProjects/Gccs/docs/development-story-test-cases.md</x:v>
      </x:c>
      <x:c r="O174" s="19" t="n">
        <x:v>46188.23068287037</x:v>
      </x:c>
      <x:c r="P174" s="21" t="str">
        <x:v>4 acceptance criteria; 4 TC references; implementation=yes; smoke=yes; automated=no; Story-level regression template</x:v>
      </x:c>
      <x:c r="Q174" s="21" t="str"/>
      <x:c r="R174" s="21" t="str">
        <x:v>Retain traceability; rerun focused verification if the affected boundary changes.</x:v>
      </x:c>
      <x:c r="S174" s="18" t="str"/>
      <x:c r="T174" s="20"/>
      <x:c r="U174" s="21" t="str">
        <x:v>Completion is based on immutable repository evidence; tests were not rerun and current working-tree drift was not re-certified in this reporting-only task.</x:v>
      </x:c>
      <x:c r="V174" s="1"/>
    </x:row>
    <x:row r="175" ht="46" customHeight="1">
      <x:c r="A175" s="17" t="n">
        <x:v>171</x:v>
      </x:c>
      <x:c r="B175" s="17" t="str">
        <x:v>Phase 1</x:v>
      </x:c>
      <x:c r="C175" s="17" t="str">
        <x:v>13.2</x:v>
      </x:c>
      <x:c r="D175" s="21" t="str">
        <x:v>Control Readiness</x:v>
      </x:c>
      <x:c r="E175" s="17" t="n">
        <x:v>3</x:v>
      </x:c>
      <x:c r="F175" s="21" t="str">
        <x:v>Link controls to evidence, tasks, assets, and POA&amp;M items.</x:v>
      </x:c>
      <x:c r="G175" s="17" t="str">
        <x:v>Software implementation</x:v>
      </x:c>
      <x:c r="H175" s="17" t="str">
        <x:v>Planned</x:v>
      </x:c>
      <x:c r="I175" s="18" t="str">
        <x:v>Completed</x:v>
      </x:c>
      <x:c r="J175" s="17" t="str">
        <x:f>IF(OR(I175="Completed",I175="Not Applicable"),"No","Yes")</x:f>
        <x:v>No</x:v>
      </x:c>
      <x:c r="K175" s="17" t="str">
        <x:v>13.2 task 2</x:v>
      </x:c>
      <x:c r="L175" s="21" t="str">
        <x:v>Story-labeled commit acc9cb2c contains delivery and focused test/test-result files: feat: implement story 13.2 control readiness</x:v>
      </x:c>
      <x:c r="M175" s="17" t="str">
        <x:v>Implementation commit + focused test artifacts</x:v>
      </x:c>
      <x:c r="N175" s="21" t="str">
        <x:v>git commit acc9cb2c9973ea7badc1dfe97d3ba0b8e8755fdd; /Users/devups/Development/CodexProjects/Gccs/docs/development-story-test-cases.md</x:v>
      </x:c>
      <x:c r="O175" s="19" t="n">
        <x:v>46188.23068287037</x:v>
      </x:c>
      <x:c r="P175" s="21" t="str">
        <x:v>4 acceptance criteria; 4 TC references; implementation=yes; smoke=yes; automated=no; Story-level regression template</x:v>
      </x:c>
      <x:c r="Q175" s="21" t="str"/>
      <x:c r="R175" s="21" t="str">
        <x:v>Retain traceability; rerun focused verification if the affected boundary changes.</x:v>
      </x:c>
      <x:c r="S175" s="18" t="str"/>
      <x:c r="T175" s="20"/>
      <x:c r="U175" s="21" t="str">
        <x:v>Completion is based on immutable repository evidence; tests were not rerun and current working-tree drift was not re-certified in this reporting-only task.</x:v>
      </x:c>
      <x:c r="V175" s="1"/>
    </x:row>
    <x:row r="176" ht="46" customHeight="1">
      <x:c r="A176" s="17" t="n">
        <x:v>172</x:v>
      </x:c>
      <x:c r="B176" s="17" t="str">
        <x:v>Phase 1</x:v>
      </x:c>
      <x:c r="C176" s="17" t="str">
        <x:v>13.2</x:v>
      </x:c>
      <x:c r="D176" s="21" t="str">
        <x:v>Control Readiness</x:v>
      </x:c>
      <x:c r="E176" s="17" t="n">
        <x:v>4</x:v>
      </x:c>
      <x:c r="F176" s="21" t="str">
        <x:v>Add control detail page.</x:v>
      </x:c>
      <x:c r="G176" s="17" t="str">
        <x:v>Software implementation</x:v>
      </x:c>
      <x:c r="H176" s="17" t="str">
        <x:v>Planned</x:v>
      </x:c>
      <x:c r="I176" s="18" t="str">
        <x:v>Completed</x:v>
      </x:c>
      <x:c r="J176" s="17" t="str">
        <x:f>IF(OR(I176="Completed",I176="Not Applicable"),"No","Yes")</x:f>
        <x:v>No</x:v>
      </x:c>
      <x:c r="K176" s="17" t="str">
        <x:v>13.2 task 3</x:v>
      </x:c>
      <x:c r="L176" s="21" t="str">
        <x:v>Story-labeled commit acc9cb2c contains delivery and focused test/test-result files: feat: implement story 13.2 control readiness</x:v>
      </x:c>
      <x:c r="M176" s="17" t="str">
        <x:v>Implementation commit + focused test artifacts</x:v>
      </x:c>
      <x:c r="N176" s="21" t="str">
        <x:v>git commit acc9cb2c9973ea7badc1dfe97d3ba0b8e8755fdd; /Users/devups/Development/CodexProjects/Gccs/docs/development-story-test-cases.md</x:v>
      </x:c>
      <x:c r="O176" s="19" t="n">
        <x:v>46188.23068287037</x:v>
      </x:c>
      <x:c r="P176" s="21" t="str">
        <x:v>4 acceptance criteria; 4 TC references; implementation=yes; smoke=yes; automated=no; Story-level regression template</x:v>
      </x:c>
      <x:c r="Q176" s="21" t="str"/>
      <x:c r="R176" s="21" t="str">
        <x:v>Retain traceability; rerun focused verification if the affected boundary changes.</x:v>
      </x:c>
      <x:c r="S176" s="18" t="str"/>
      <x:c r="T176" s="20"/>
      <x:c r="U176" s="21" t="str">
        <x:v>Completion is based on immutable repository evidence; tests were not rerun and current working-tree drift was not re-certified in this reporting-only task.</x:v>
      </x:c>
      <x:c r="V176" s="1"/>
    </x:row>
    <x:row r="177" ht="46" customHeight="1">
      <x:c r="A177" s="17" t="n">
        <x:v>173</x:v>
      </x:c>
      <x:c r="B177" s="17" t="str">
        <x:v>Phase 1</x:v>
      </x:c>
      <x:c r="C177" s="17" t="str">
        <x:v>13.3</x:v>
      </x:c>
      <x:c r="D177" s="21" t="str">
        <x:v>POA&amp;M Items</x:v>
      </x:c>
      <x:c r="E177" s="17" t="n">
        <x:v>1</x:v>
      </x:c>
      <x:c r="F177" s="21" t="str">
        <x:v>Add POA&amp;M model with control, gap, remediation plan, owner, due date, risk, and status.</x:v>
      </x:c>
      <x:c r="G177" s="17" t="str">
        <x:v>Software implementation</x:v>
      </x:c>
      <x:c r="H177" s="17" t="str">
        <x:v>Planned</x:v>
      </x:c>
      <x:c r="I177" s="18" t="str">
        <x:v>Completed</x:v>
      </x:c>
      <x:c r="J177" s="17" t="str">
        <x:f>IF(OR(I177="Completed",I177="Not Applicable"),"No","Yes")</x:f>
        <x:v>No</x:v>
      </x:c>
      <x:c r="K177" s="17" t="str">
        <x:v>13.2</x:v>
      </x:c>
      <x:c r="L177" s="21" t="str">
        <x:v>Story-labeled commit 6ffa0e31 contains delivery and focused test/test-result files: feat: implement story 13.3 poam items</x:v>
      </x:c>
      <x:c r="M177" s="17" t="str">
        <x:v>Implementation commit + focused test artifacts</x:v>
      </x:c>
      <x:c r="N177" s="21" t="str">
        <x:v>git commit 6ffa0e31736e029bf69fb5ea19d3cbcfc63c3787; /Users/devups/Development/CodexProjects/Gccs/docs/development-story-test-cases.md</x:v>
      </x:c>
      <x:c r="O177" s="19" t="n">
        <x:v>46188.23709490741</x:v>
      </x:c>
      <x:c r="P177" s="21" t="str">
        <x:v>4 acceptance criteria; 4 TC references; implementation=yes; smoke=yes; automated=no; Story-level regression template</x:v>
      </x:c>
      <x:c r="Q177" s="21" t="str"/>
      <x:c r="R177" s="21" t="str">
        <x:v>Retain traceability; rerun focused verification if the affected boundary changes.</x:v>
      </x:c>
      <x:c r="S177" s="18" t="str"/>
      <x:c r="T177" s="20"/>
      <x:c r="U177" s="21" t="str">
        <x:v>Completion is based on immutable repository evidence; tests were not rerun and current working-tree drift was not re-certified in this reporting-only task.</x:v>
      </x:c>
      <x:c r="V177" s="1"/>
    </x:row>
    <x:row r="178" ht="46" customHeight="1">
      <x:c r="A178" s="17" t="n">
        <x:v>174</x:v>
      </x:c>
      <x:c r="B178" s="17" t="str">
        <x:v>Phase 1</x:v>
      </x:c>
      <x:c r="C178" s="17" t="str">
        <x:v>13.3</x:v>
      </x:c>
      <x:c r="D178" s="21" t="str">
        <x:v>POA&amp;M Items</x:v>
      </x:c>
      <x:c r="E178" s="17" t="n">
        <x:v>2</x:v>
      </x:c>
      <x:c r="F178" s="21" t="str">
        <x:v>Link POA&amp;M items to tasks.</x:v>
      </x:c>
      <x:c r="G178" s="17" t="str">
        <x:v>Software implementation</x:v>
      </x:c>
      <x:c r="H178" s="17" t="str">
        <x:v>Planned</x:v>
      </x:c>
      <x:c r="I178" s="18" t="str">
        <x:v>Completed</x:v>
      </x:c>
      <x:c r="J178" s="17" t="str">
        <x:f>IF(OR(I178="Completed",I178="Not Applicable"),"No","Yes")</x:f>
        <x:v>No</x:v>
      </x:c>
      <x:c r="K178" s="17" t="str">
        <x:v>13.3 task 1</x:v>
      </x:c>
      <x:c r="L178" s="21" t="str">
        <x:v>Story-labeled commit 6ffa0e31 contains delivery and focused test/test-result files: feat: implement story 13.3 poam items</x:v>
      </x:c>
      <x:c r="M178" s="17" t="str">
        <x:v>Implementation commit + focused test artifacts</x:v>
      </x:c>
      <x:c r="N178" s="21" t="str">
        <x:v>git commit 6ffa0e31736e029bf69fb5ea19d3cbcfc63c3787; /Users/devups/Development/CodexProjects/Gccs/docs/development-story-test-cases.md</x:v>
      </x:c>
      <x:c r="O178" s="19" t="n">
        <x:v>46188.23709490741</x:v>
      </x:c>
      <x:c r="P178" s="21" t="str">
        <x:v>4 acceptance criteria; 4 TC references; implementation=yes; smoke=yes; automated=no; Story-level regression template</x:v>
      </x:c>
      <x:c r="Q178" s="21" t="str"/>
      <x:c r="R178" s="21" t="str">
        <x:v>Retain traceability; rerun focused verification if the affected boundary changes.</x:v>
      </x:c>
      <x:c r="S178" s="18" t="str"/>
      <x:c r="T178" s="20"/>
      <x:c r="U178" s="21" t="str">
        <x:v>Completion is based on immutable repository evidence; tests were not rerun and current working-tree drift was not re-certified in this reporting-only task.</x:v>
      </x:c>
      <x:c r="V178" s="1"/>
    </x:row>
    <x:row r="179" ht="46" customHeight="1">
      <x:c r="A179" s="17" t="n">
        <x:v>175</x:v>
      </x:c>
      <x:c r="B179" s="17" t="str">
        <x:v>Phase 1</x:v>
      </x:c>
      <x:c r="C179" s="17" t="str">
        <x:v>13.3</x:v>
      </x:c>
      <x:c r="D179" s="21" t="str">
        <x:v>POA&amp;M Items</x:v>
      </x:c>
      <x:c r="E179" s="17" t="n">
        <x:v>3</x:v>
      </x:c>
      <x:c r="F179" s="21" t="str">
        <x:v>Show open POA&amp;M count on CMMC summary.</x:v>
      </x:c>
      <x:c r="G179" s="17" t="str">
        <x:v>Software implementation</x:v>
      </x:c>
      <x:c r="H179" s="17" t="str">
        <x:v>Planned</x:v>
      </x:c>
      <x:c r="I179" s="18" t="str">
        <x:v>Completed</x:v>
      </x:c>
      <x:c r="J179" s="17" t="str">
        <x:f>IF(OR(I179="Completed",I179="Not Applicable"),"No","Yes")</x:f>
        <x:v>No</x:v>
      </x:c>
      <x:c r="K179" s="17" t="str">
        <x:v>13.3 task 2</x:v>
      </x:c>
      <x:c r="L179" s="21" t="str">
        <x:v>Story-labeled commit 6ffa0e31 contains delivery and focused test/test-result files: feat: implement story 13.3 poam items</x:v>
      </x:c>
      <x:c r="M179" s="17" t="str">
        <x:v>Implementation commit + focused test artifacts</x:v>
      </x:c>
      <x:c r="N179" s="21" t="str">
        <x:v>git commit 6ffa0e31736e029bf69fb5ea19d3cbcfc63c3787; /Users/devups/Development/CodexProjects/Gccs/docs/development-story-test-cases.md</x:v>
      </x:c>
      <x:c r="O179" s="19" t="n">
        <x:v>46188.23709490741</x:v>
      </x:c>
      <x:c r="P179" s="21" t="str">
        <x:v>4 acceptance criteria; 4 TC references; implementation=yes; smoke=yes; automated=no; Story-level regression template</x:v>
      </x:c>
      <x:c r="Q179" s="21" t="str"/>
      <x:c r="R179" s="21" t="str">
        <x:v>Retain traceability; rerun focused verification if the affected boundary changes.</x:v>
      </x:c>
      <x:c r="S179" s="18" t="str"/>
      <x:c r="T179" s="20"/>
      <x:c r="U179" s="21" t="str">
        <x:v>Completion is based on immutable repository evidence; tests were not rerun and current working-tree drift was not re-certified in this reporting-only task.</x:v>
      </x:c>
      <x:c r="V179" s="1"/>
    </x:row>
    <x:row r="180" ht="46" customHeight="1">
      <x:c r="A180" s="17" t="n">
        <x:v>176</x:v>
      </x:c>
      <x:c r="B180" s="17" t="str">
        <x:v>Phase 1</x:v>
      </x:c>
      <x:c r="C180" s="17" t="str">
        <x:v>13.3</x:v>
      </x:c>
      <x:c r="D180" s="21" t="str">
        <x:v>POA&amp;M Items</x:v>
      </x:c>
      <x:c r="E180" s="17" t="n">
        <x:v>4</x:v>
      </x:c>
      <x:c r="F180" s="21" t="str">
        <x:v>Add overdue handling.</x:v>
      </x:c>
      <x:c r="G180" s="17" t="str">
        <x:v>Software implementation</x:v>
      </x:c>
      <x:c r="H180" s="17" t="str">
        <x:v>Planned</x:v>
      </x:c>
      <x:c r="I180" s="18" t="str">
        <x:v>Completed</x:v>
      </x:c>
      <x:c r="J180" s="17" t="str">
        <x:f>IF(OR(I180="Completed",I180="Not Applicable"),"No","Yes")</x:f>
        <x:v>No</x:v>
      </x:c>
      <x:c r="K180" s="17" t="str">
        <x:v>13.3 task 3</x:v>
      </x:c>
      <x:c r="L180" s="21" t="str">
        <x:v>Story-labeled commit 6ffa0e31 contains delivery and focused test/test-result files: feat: implement story 13.3 poam items</x:v>
      </x:c>
      <x:c r="M180" s="17" t="str">
        <x:v>Implementation commit + focused test artifacts</x:v>
      </x:c>
      <x:c r="N180" s="21" t="str">
        <x:v>git commit 6ffa0e31736e029bf69fb5ea19d3cbcfc63c3787; /Users/devups/Development/CodexProjects/Gccs/docs/development-story-test-cases.md</x:v>
      </x:c>
      <x:c r="O180" s="19" t="n">
        <x:v>46188.23709490741</x:v>
      </x:c>
      <x:c r="P180" s="21" t="str">
        <x:v>4 acceptance criteria; 4 TC references; implementation=yes; smoke=yes; automated=no; Story-level regression template</x:v>
      </x:c>
      <x:c r="Q180" s="21" t="str"/>
      <x:c r="R180" s="21" t="str">
        <x:v>Retain traceability; rerun focused verification if the affected boundary changes.</x:v>
      </x:c>
      <x:c r="S180" s="18" t="str"/>
      <x:c r="T180" s="20"/>
      <x:c r="U180" s="21" t="str">
        <x:v>Completion is based on immutable repository evidence; tests were not rerun and current working-tree drift was not re-certified in this reporting-only task.</x:v>
      </x:c>
      <x:c r="V180" s="1"/>
    </x:row>
    <x:row r="181" ht="46" customHeight="1">
      <x:c r="A181" s="17" t="n">
        <x:v>177</x:v>
      </x:c>
      <x:c r="B181" s="17" t="str">
        <x:v>Phase 1</x:v>
      </x:c>
      <x:c r="C181" s="17" t="str">
        <x:v>13.4</x:v>
      </x:c>
      <x:c r="D181" s="21" t="str">
        <x:v>Annual Affirmation Tracker</x:v>
      </x:c>
      <x:c r="E181" s="17" t="n">
        <x:v>1</x:v>
      </x:c>
      <x:c r="F181" s="21" t="str">
        <x:v>Add affirmation due date and last affirmation date.</x:v>
      </x:c>
      <x:c r="G181" s="17" t="str">
        <x:v>Software implementation</x:v>
      </x:c>
      <x:c r="H181" s="17" t="str">
        <x:v>Planned</x:v>
      </x:c>
      <x:c r="I181" s="18" t="str">
        <x:v>Completed</x:v>
      </x:c>
      <x:c r="J181" s="17" t="str">
        <x:f>IF(OR(I181="Completed",I181="Not Applicable"),"No","Yes")</x:f>
        <x:v>No</x:v>
      </x:c>
      <x:c r="K181" s="17" t="str">
        <x:v>13.3</x:v>
      </x:c>
      <x:c r="L181" s="21" t="str">
        <x:v>Story-labeled commit f578d6d7 contains delivery and focused test/test-result files: feat: implement story 13.4 annual affirmation tracker</x:v>
      </x:c>
      <x:c r="M181" s="17" t="str">
        <x:v>Implementation commit + focused test artifacts</x:v>
      </x:c>
      <x:c r="N181" s="21" t="str">
        <x:v>git commit f578d6d70bf50c0a418607f0a637228890366863; /Users/devups/Development/CodexProjects/Gccs/docs/development-story-test-cases.md</x:v>
      </x:c>
      <x:c r="O181" s="19" t="n">
        <x:v>46188.24074074074</x:v>
      </x:c>
      <x:c r="P181" s="21" t="str">
        <x:v>4 acceptance criteria; 4 TC references; implementation=yes; smoke=yes; automated=no; Story-level regression template</x:v>
      </x:c>
      <x:c r="Q181" s="21" t="str"/>
      <x:c r="R181" s="21" t="str">
        <x:v>Retain traceability; rerun focused verification if the affected boundary changes.</x:v>
      </x:c>
      <x:c r="S181" s="18" t="str"/>
      <x:c r="T181" s="20"/>
      <x:c r="U181" s="21" t="str">
        <x:v>Completion is based on immutable repository evidence; tests were not rerun and current working-tree drift was not re-certified in this reporting-only task.</x:v>
      </x:c>
      <x:c r="V181" s="1"/>
    </x:row>
    <x:row r="182" ht="46" customHeight="1">
      <x:c r="A182" s="17" t="n">
        <x:v>178</x:v>
      </x:c>
      <x:c r="B182" s="17" t="str">
        <x:v>Phase 1</x:v>
      </x:c>
      <x:c r="C182" s="17" t="str">
        <x:v>13.4</x:v>
      </x:c>
      <x:c r="D182" s="21" t="str">
        <x:v>Annual Affirmation Tracker</x:v>
      </x:c>
      <x:c r="E182" s="17" t="n">
        <x:v>2</x:v>
      </x:c>
      <x:c r="F182" s="21" t="str">
        <x:v>Generate affirmation renewal task.</x:v>
      </x:c>
      <x:c r="G182" s="17" t="str">
        <x:v>Software implementation</x:v>
      </x:c>
      <x:c r="H182" s="17" t="str">
        <x:v>Planned</x:v>
      </x:c>
      <x:c r="I182" s="18" t="str">
        <x:v>Completed</x:v>
      </x:c>
      <x:c r="J182" s="17" t="str">
        <x:f>IF(OR(I182="Completed",I182="Not Applicable"),"No","Yes")</x:f>
        <x:v>No</x:v>
      </x:c>
      <x:c r="K182" s="17" t="str">
        <x:v>13.4 task 1</x:v>
      </x:c>
      <x:c r="L182" s="21" t="str">
        <x:v>Story-labeled commit f578d6d7 contains delivery and focused test/test-result files: feat: implement story 13.4 annual affirmation tracker</x:v>
      </x:c>
      <x:c r="M182" s="17" t="str">
        <x:v>Implementation commit + focused test artifacts</x:v>
      </x:c>
      <x:c r="N182" s="21" t="str">
        <x:v>git commit f578d6d70bf50c0a418607f0a637228890366863; /Users/devups/Development/CodexProjects/Gccs/docs/development-story-test-cases.md</x:v>
      </x:c>
      <x:c r="O182" s="19" t="n">
        <x:v>46188.24074074074</x:v>
      </x:c>
      <x:c r="P182" s="21" t="str">
        <x:v>4 acceptance criteria; 4 TC references; implementation=yes; smoke=yes; automated=no; Story-level regression template</x:v>
      </x:c>
      <x:c r="Q182" s="21" t="str"/>
      <x:c r="R182" s="21" t="str">
        <x:v>Retain traceability; rerun focused verification if the affected boundary changes.</x:v>
      </x:c>
      <x:c r="S182" s="18" t="str"/>
      <x:c r="T182" s="20"/>
      <x:c r="U182" s="21" t="str">
        <x:v>Completion is based on immutable repository evidence; tests were not rerun and current working-tree drift was not re-certified in this reporting-only task.</x:v>
      </x:c>
      <x:c r="V182" s="1"/>
    </x:row>
    <x:row r="183" ht="46" customHeight="1">
      <x:c r="A183" s="17" t="n">
        <x:v>179</x:v>
      </x:c>
      <x:c r="B183" s="17" t="str">
        <x:v>Phase 1</x:v>
      </x:c>
      <x:c r="C183" s="17" t="str">
        <x:v>13.4</x:v>
      </x:c>
      <x:c r="D183" s="21" t="str">
        <x:v>Annual Affirmation Tracker</x:v>
      </x:c>
      <x:c r="E183" s="17" t="n">
        <x:v>3</x:v>
      </x:c>
      <x:c r="F183" s="21" t="str">
        <x:v>Add evidence link for affirmation record.</x:v>
      </x:c>
      <x:c r="G183" s="17" t="str">
        <x:v>Software implementation</x:v>
      </x:c>
      <x:c r="H183" s="17" t="str">
        <x:v>Planned</x:v>
      </x:c>
      <x:c r="I183" s="18" t="str">
        <x:v>Completed</x:v>
      </x:c>
      <x:c r="J183" s="17" t="str">
        <x:f>IF(OR(I183="Completed",I183="Not Applicable"),"No","Yes")</x:f>
        <x:v>No</x:v>
      </x:c>
      <x:c r="K183" s="17" t="str">
        <x:v>13.4 task 2</x:v>
      </x:c>
      <x:c r="L183" s="21" t="str">
        <x:v>Story-labeled commit f578d6d7 contains delivery and focused test/test-result files: feat: implement story 13.4 annual affirmation tracker</x:v>
      </x:c>
      <x:c r="M183" s="17" t="str">
        <x:v>Implementation commit + focused test artifacts</x:v>
      </x:c>
      <x:c r="N183" s="21" t="str">
        <x:v>git commit f578d6d70bf50c0a418607f0a637228890366863; /Users/devups/Development/CodexProjects/Gccs/docs/development-story-test-cases.md</x:v>
      </x:c>
      <x:c r="O183" s="19" t="n">
        <x:v>46188.24074074074</x:v>
      </x:c>
      <x:c r="P183" s="21" t="str">
        <x:v>4 acceptance criteria; 4 TC references; implementation=yes; smoke=yes; automated=no; Story-level regression template</x:v>
      </x:c>
      <x:c r="Q183" s="21" t="str"/>
      <x:c r="R183" s="21" t="str">
        <x:v>Retain traceability; rerun focused verification if the affected boundary changes.</x:v>
      </x:c>
      <x:c r="S183" s="18" t="str"/>
      <x:c r="T183" s="20"/>
      <x:c r="U183" s="21" t="str">
        <x:v>Completion is based on immutable repository evidence; tests were not rerun and current working-tree drift was not re-certified in this reporting-only task.</x:v>
      </x:c>
      <x:c r="V183" s="1"/>
    </x:row>
    <x:row r="184" ht="46" customHeight="1">
      <x:c r="A184" s="17" t="n">
        <x:v>180</x:v>
      </x:c>
      <x:c r="B184" s="17" t="str">
        <x:v>Phase 1</x:v>
      </x:c>
      <x:c r="C184" s="17" t="str">
        <x:v>13.4</x:v>
      </x:c>
      <x:c r="D184" s="21" t="str">
        <x:v>Annual Affirmation Tracker</x:v>
      </x:c>
      <x:c r="E184" s="17" t="n">
        <x:v>4</x:v>
      </x:c>
      <x:c r="F184" s="21" t="str">
        <x:v>Add dashboard warning for upcoming affirmation.</x:v>
      </x:c>
      <x:c r="G184" s="17" t="str">
        <x:v>Software implementation</x:v>
      </x:c>
      <x:c r="H184" s="17" t="str">
        <x:v>Planned</x:v>
      </x:c>
      <x:c r="I184" s="18" t="str">
        <x:v>Completed</x:v>
      </x:c>
      <x:c r="J184" s="17" t="str">
        <x:f>IF(OR(I184="Completed",I184="Not Applicable"),"No","Yes")</x:f>
        <x:v>No</x:v>
      </x:c>
      <x:c r="K184" s="17" t="str">
        <x:v>13.4 task 3</x:v>
      </x:c>
      <x:c r="L184" s="21" t="str">
        <x:v>Story-labeled commit f578d6d7 contains delivery and focused test/test-result files: feat: implement story 13.4 annual affirmation tracker</x:v>
      </x:c>
      <x:c r="M184" s="17" t="str">
        <x:v>Implementation commit + focused test artifacts</x:v>
      </x:c>
      <x:c r="N184" s="21" t="str">
        <x:v>git commit f578d6d70bf50c0a418607f0a637228890366863; /Users/devups/Development/CodexProjects/Gccs/docs/development-story-test-cases.md</x:v>
      </x:c>
      <x:c r="O184" s="19" t="n">
        <x:v>46188.24074074074</x:v>
      </x:c>
      <x:c r="P184" s="21" t="str">
        <x:v>4 acceptance criteria; 4 TC references; implementation=yes; smoke=yes; automated=no; Story-level regression template</x:v>
      </x:c>
      <x:c r="Q184" s="21" t="str"/>
      <x:c r="R184" s="21" t="str">
        <x:v>Retain traceability; rerun focused verification if the affected boundary changes.</x:v>
      </x:c>
      <x:c r="S184" s="18" t="str"/>
      <x:c r="T184" s="20"/>
      <x:c r="U184" s="21" t="str">
        <x:v>Completion is based on immutable repository evidence; tests were not rerun and current working-tree drift was not re-certified in this reporting-only task.</x:v>
      </x:c>
      <x:c r="V184" s="1"/>
    </x:row>
    <x:row r="185" ht="46" customHeight="1">
      <x:c r="A185" s="17" t="n">
        <x:v>181</x:v>
      </x:c>
      <x:c r="B185" s="17" t="str">
        <x:v>Phase 1</x:v>
      </x:c>
      <x:c r="C185" s="17" t="str">
        <x:v>14.1</x:v>
      </x:c>
      <x:c r="D185" s="21" t="str">
        <x:v>Subcontractor Profile</x:v>
      </x:c>
      <x:c r="E185" s="17" t="n">
        <x:v>1</x:v>
      </x:c>
      <x:c r="F185" s="21" t="str">
        <x:v>Add subcontractor model and API.</x:v>
      </x:c>
      <x:c r="G185" s="17" t="str">
        <x:v>Software implementation</x:v>
      </x:c>
      <x:c r="H185" s="17" t="str">
        <x:v>Planned</x:v>
      </x:c>
      <x:c r="I185" s="18" t="str">
        <x:v>Completed</x:v>
      </x:c>
      <x:c r="J185" s="17" t="str">
        <x:f>IF(OR(I185="Completed",I185="Not Applicable"),"No","Yes")</x:f>
        <x:v>No</x:v>
      </x:c>
      <x:c r="K185" s="17" t="str">
        <x:v>13.4</x:v>
      </x:c>
      <x:c r="L185" s="21" t="str">
        <x:v>Story-labeled commit bc7867f0 contains delivery and focused test/test-result files: feat: implement story 14.1 subcontractor profile</x:v>
      </x:c>
      <x:c r="M185" s="17" t="str">
        <x:v>Implementation commit + focused test artifacts</x:v>
      </x:c>
      <x:c r="N185" s="21" t="str">
        <x:v>git commit bc7867f068c525cc3583b25c7308dfd977bb14d8; /Users/devups/Development/CodexProjects/Gccs/docs/development-story-test-cases.md</x:v>
      </x:c>
      <x:c r="O185" s="19" t="n">
        <x:v>46188.24652777778</x:v>
      </x:c>
      <x:c r="P185" s="21" t="str">
        <x:v>4 acceptance criteria; 4 TC references; implementation=yes; smoke=yes; automated=no; Story-level regression template</x:v>
      </x:c>
      <x:c r="Q185" s="21" t="str"/>
      <x:c r="R185" s="21" t="str">
        <x:v>Retain traceability; rerun focused verification if the affected boundary changes.</x:v>
      </x:c>
      <x:c r="S185" s="18" t="str"/>
      <x:c r="T185" s="20"/>
      <x:c r="U185" s="21" t="str">
        <x:v>Completion is based on immutable repository evidence; tests were not rerun and current working-tree drift was not re-certified in this reporting-only task.</x:v>
      </x:c>
      <x:c r="V185" s="1"/>
    </x:row>
    <x:row r="186" ht="46" customHeight="1">
      <x:c r="A186" s="17" t="n">
        <x:v>182</x:v>
      </x:c>
      <x:c r="B186" s="17" t="str">
        <x:v>Phase 1</x:v>
      </x:c>
      <x:c r="C186" s="17" t="str">
        <x:v>14.1</x:v>
      </x:c>
      <x:c r="D186" s="21" t="str">
        <x:v>Subcontractor Profile</x:v>
      </x:c>
      <x:c r="E186" s="17" t="n">
        <x:v>2</x:v>
      </x:c>
      <x:c r="F186" s="21" t="str">
        <x:v>Capture legal name, point of contact, role, small business status, CMMC status, insurance expiration, NDA status, CUI access flag, export-control flag, and workshare percentage.</x:v>
      </x:c>
      <x:c r="G186" s="17" t="str">
        <x:v>Software implementation</x:v>
      </x:c>
      <x:c r="H186" s="17" t="str">
        <x:v>Planned</x:v>
      </x:c>
      <x:c r="I186" s="18" t="str">
        <x:v>Completed</x:v>
      </x:c>
      <x:c r="J186" s="17" t="str">
        <x:f>IF(OR(I186="Completed",I186="Not Applicable"),"No","Yes")</x:f>
        <x:v>No</x:v>
      </x:c>
      <x:c r="K186" s="17" t="str">
        <x:v>14.1 task 1</x:v>
      </x:c>
      <x:c r="L186" s="21" t="str">
        <x:v>Story-labeled commit bc7867f0 contains delivery and focused test/test-result files: feat: implement story 14.1 subcontractor profile</x:v>
      </x:c>
      <x:c r="M186" s="17" t="str">
        <x:v>Implementation commit + focused test artifacts</x:v>
      </x:c>
      <x:c r="N186" s="21" t="str">
        <x:v>git commit bc7867f068c525cc3583b25c7308dfd977bb14d8; /Users/devups/Development/CodexProjects/Gccs/docs/development-story-test-cases.md</x:v>
      </x:c>
      <x:c r="O186" s="19" t="n">
        <x:v>46188.24652777778</x:v>
      </x:c>
      <x:c r="P186" s="21" t="str">
        <x:v>4 acceptance criteria; 4 TC references; implementation=yes; smoke=yes; automated=no; Story-level regression template</x:v>
      </x:c>
      <x:c r="Q186" s="21" t="str"/>
      <x:c r="R186" s="21" t="str">
        <x:v>Retain traceability; rerun focused verification if the affected boundary changes.</x:v>
      </x:c>
      <x:c r="S186" s="18" t="str"/>
      <x:c r="T186" s="20"/>
      <x:c r="U186" s="21" t="str">
        <x:v>Completion is based on immutable repository evidence; tests were not rerun and current working-tree drift was not re-certified in this reporting-only task.</x:v>
      </x:c>
      <x:c r="V186" s="1"/>
    </x:row>
    <x:row r="187" ht="46" customHeight="1">
      <x:c r="A187" s="17" t="n">
        <x:v>183</x:v>
      </x:c>
      <x:c r="B187" s="17" t="str">
        <x:v>Phase 1</x:v>
      </x:c>
      <x:c r="C187" s="17" t="str">
        <x:v>14.1</x:v>
      </x:c>
      <x:c r="D187" s="21" t="str">
        <x:v>Subcontractor Profile</x:v>
      </x:c>
      <x:c r="E187" s="17" t="n">
        <x:v>3</x:v>
      </x:c>
      <x:c r="F187" s="21" t="str">
        <x:v>Add subcontractor list and detail pages.</x:v>
      </x:c>
      <x:c r="G187" s="17" t="str">
        <x:v>Software implementation</x:v>
      </x:c>
      <x:c r="H187" s="17" t="str">
        <x:v>Planned</x:v>
      </x:c>
      <x:c r="I187" s="18" t="str">
        <x:v>Completed</x:v>
      </x:c>
      <x:c r="J187" s="17" t="str">
        <x:f>IF(OR(I187="Completed",I187="Not Applicable"),"No","Yes")</x:f>
        <x:v>No</x:v>
      </x:c>
      <x:c r="K187" s="17" t="str">
        <x:v>14.1 task 2</x:v>
      </x:c>
      <x:c r="L187" s="21" t="str">
        <x:v>Story-labeled commit bc7867f0 contains delivery and focused test/test-result files: feat: implement story 14.1 subcontractor profile</x:v>
      </x:c>
      <x:c r="M187" s="17" t="str">
        <x:v>Implementation commit + focused test artifacts</x:v>
      </x:c>
      <x:c r="N187" s="21" t="str">
        <x:v>git commit bc7867f068c525cc3583b25c7308dfd977bb14d8; /Users/devups/Development/CodexProjects/Gccs/docs/development-story-test-cases.md</x:v>
      </x:c>
      <x:c r="O187" s="19" t="n">
        <x:v>46188.24652777778</x:v>
      </x:c>
      <x:c r="P187" s="21" t="str">
        <x:v>4 acceptance criteria; 4 TC references; implementation=yes; smoke=yes; automated=no; Story-level regression template</x:v>
      </x:c>
      <x:c r="Q187" s="21" t="str"/>
      <x:c r="R187" s="21" t="str">
        <x:v>Retain traceability; rerun focused verification if the affected boundary changes.</x:v>
      </x:c>
      <x:c r="S187" s="18" t="str"/>
      <x:c r="T187" s="20"/>
      <x:c r="U187" s="21" t="str">
        <x:v>Completion is based on immutable repository evidence; tests were not rerun and current working-tree drift was not re-certified in this reporting-only task.</x:v>
      </x:c>
      <x:c r="V187" s="1"/>
    </x:row>
    <x:row r="188" ht="46" customHeight="1">
      <x:c r="A188" s="17" t="n">
        <x:v>184</x:v>
      </x:c>
      <x:c r="B188" s="17" t="str">
        <x:v>Phase 1</x:v>
      </x:c>
      <x:c r="C188" s="17" t="str">
        <x:v>14.1</x:v>
      </x:c>
      <x:c r="D188" s="21" t="str">
        <x:v>Subcontractor Profile</x:v>
      </x:c>
      <x:c r="E188" s="17" t="n">
        <x:v>4</x:v>
      </x:c>
      <x:c r="F188" s="21" t="str">
        <x:v>Link subcontractor to contracts.</x:v>
      </x:c>
      <x:c r="G188" s="17" t="str">
        <x:v>Software implementation</x:v>
      </x:c>
      <x:c r="H188" s="17" t="str">
        <x:v>Planned</x:v>
      </x:c>
      <x:c r="I188" s="18" t="str">
        <x:v>Completed</x:v>
      </x:c>
      <x:c r="J188" s="17" t="str">
        <x:f>IF(OR(I188="Completed",I188="Not Applicable"),"No","Yes")</x:f>
        <x:v>No</x:v>
      </x:c>
      <x:c r="K188" s="17" t="str">
        <x:v>14.1 task 3</x:v>
      </x:c>
      <x:c r="L188" s="21" t="str">
        <x:v>Story-labeled commit bc7867f0 contains delivery and focused test/test-result files: feat: implement story 14.1 subcontractor profile</x:v>
      </x:c>
      <x:c r="M188" s="17" t="str">
        <x:v>Implementation commit + focused test artifacts</x:v>
      </x:c>
      <x:c r="N188" s="21" t="str">
        <x:v>git commit bc7867f068c525cc3583b25c7308dfd977bb14d8; /Users/devups/Development/CodexProjects/Gccs/docs/development-story-test-cases.md</x:v>
      </x:c>
      <x:c r="O188" s="19" t="n">
        <x:v>46188.24652777778</x:v>
      </x:c>
      <x:c r="P188" s="21" t="str">
        <x:v>4 acceptance criteria; 4 TC references; implementation=yes; smoke=yes; automated=no; Story-level regression template</x:v>
      </x:c>
      <x:c r="Q188" s="21" t="str"/>
      <x:c r="R188" s="21" t="str">
        <x:v>Retain traceability; rerun focused verification if the affected boundary changes.</x:v>
      </x:c>
      <x:c r="S188" s="18" t="str"/>
      <x:c r="T188" s="20"/>
      <x:c r="U188" s="21" t="str">
        <x:v>Completion is based on immutable repository evidence; tests were not rerun and current working-tree drift was not re-certified in this reporting-only task.</x:v>
      </x:c>
      <x:c r="V188" s="1"/>
    </x:row>
    <x:row r="189" ht="46" customHeight="1">
      <x:c r="A189" s="17" t="n">
        <x:v>185</x:v>
      </x:c>
      <x:c r="B189" s="17" t="str">
        <x:v>Phase 1</x:v>
      </x:c>
      <x:c r="C189" s="17" t="str">
        <x:v>14.2</x:v>
      </x:c>
      <x:c r="D189" s="21" t="str">
        <x:v>Flow-Down Clause Tracking</x:v>
      </x:c>
      <x:c r="E189" s="17" t="n">
        <x:v>1</x:v>
      </x:c>
      <x:c r="F189" s="21" t="str">
        <x:v>Add subcontractor flow-down relationship.</x:v>
      </x:c>
      <x:c r="G189" s="17" t="str">
        <x:v>Software implementation</x:v>
      </x:c>
      <x:c r="H189" s="17" t="str">
        <x:v>Planned</x:v>
      </x:c>
      <x:c r="I189" s="18" t="str">
        <x:v>Completed</x:v>
      </x:c>
      <x:c r="J189" s="17" t="str">
        <x:f>IF(OR(I189="Completed",I189="Not Applicable"),"No","Yes")</x:f>
        <x:v>No</x:v>
      </x:c>
      <x:c r="K189" s="17" t="str">
        <x:v>14.1</x:v>
      </x:c>
      <x:c r="L189" s="21" t="str">
        <x:v>Story-labeled commit b52555d4 contains delivery and focused test/test-result files: feat: implement story 14.2 flow-down tracking</x:v>
      </x:c>
      <x:c r="M189" s="17" t="str">
        <x:v>Implementation commit + focused test artifacts</x:v>
      </x:c>
      <x:c r="N189" s="21" t="str">
        <x:v>git commit b52555d46924abe2dade788d88c26c25ab999ccf; /Users/devups/Development/CodexProjects/Gccs/docs/development-story-test-cases.md</x:v>
      </x:c>
      <x:c r="O189" s="19" t="n">
        <x:v>46188.763194444444</x:v>
      </x:c>
      <x:c r="P189" s="21" t="str">
        <x:v>4 acceptance criteria; 4 TC references; implementation=yes; smoke=yes; automated=no; Story-level regression template</x:v>
      </x:c>
      <x:c r="Q189" s="21" t="str"/>
      <x:c r="R189" s="21" t="str">
        <x:v>Retain traceability; rerun focused verification if the affected boundary changes.</x:v>
      </x:c>
      <x:c r="S189" s="18" t="str"/>
      <x:c r="T189" s="20"/>
      <x:c r="U189" s="21" t="str">
        <x:v>Completion is based on immutable repository evidence; tests were not rerun and current working-tree drift was not re-certified in this reporting-only task.</x:v>
      </x:c>
      <x:c r="V189" s="1"/>
    </x:row>
    <x:row r="190" ht="46" customHeight="1">
      <x:c r="A190" s="17" t="n">
        <x:v>186</x:v>
      </x:c>
      <x:c r="B190" s="17" t="str">
        <x:v>Phase 1</x:v>
      </x:c>
      <x:c r="C190" s="17" t="str">
        <x:v>14.2</x:v>
      </x:c>
      <x:c r="D190" s="21" t="str">
        <x:v>Flow-Down Clause Tracking</x:v>
      </x:c>
      <x:c r="E190" s="17" t="n">
        <x:v>2</x:v>
      </x:c>
      <x:c r="F190" s="21" t="str">
        <x:v>Allow clauses to be assigned from contract obligations.</x:v>
      </x:c>
      <x:c r="G190" s="17" t="str">
        <x:v>Software implementation</x:v>
      </x:c>
      <x:c r="H190" s="17" t="str">
        <x:v>Planned</x:v>
      </x:c>
      <x:c r="I190" s="18" t="str">
        <x:v>Completed</x:v>
      </x:c>
      <x:c r="J190" s="17" t="str">
        <x:f>IF(OR(I190="Completed",I190="Not Applicable"),"No","Yes")</x:f>
        <x:v>No</x:v>
      </x:c>
      <x:c r="K190" s="17" t="str">
        <x:v>14.2 task 1</x:v>
      </x:c>
      <x:c r="L190" s="21" t="str">
        <x:v>Story-labeled commit b52555d4 contains delivery and focused test/test-result files: feat: implement story 14.2 flow-down tracking</x:v>
      </x:c>
      <x:c r="M190" s="17" t="str">
        <x:v>Implementation commit + focused test artifacts</x:v>
      </x:c>
      <x:c r="N190" s="21" t="str">
        <x:v>git commit b52555d46924abe2dade788d88c26c25ab999ccf; /Users/devups/Development/CodexProjects/Gccs/docs/development-story-test-cases.md</x:v>
      </x:c>
      <x:c r="O190" s="19" t="n">
        <x:v>46188.763194444444</x:v>
      </x:c>
      <x:c r="P190" s="21" t="str">
        <x:v>4 acceptance criteria; 4 TC references; implementation=yes; smoke=yes; automated=no; Story-level regression template</x:v>
      </x:c>
      <x:c r="Q190" s="21" t="str"/>
      <x:c r="R190" s="21" t="str">
        <x:v>Retain traceability; rerun focused verification if the affected boundary changes.</x:v>
      </x:c>
      <x:c r="S190" s="18" t="str"/>
      <x:c r="T190" s="20"/>
      <x:c r="U190" s="21" t="str">
        <x:v>Completion is based on immutable repository evidence; tests were not rerun and current working-tree drift was not re-certified in this reporting-only task.</x:v>
      </x:c>
      <x:c r="V190" s="1"/>
    </x:row>
    <x:row r="191" ht="46" customHeight="1">
      <x:c r="A191" s="17" t="n">
        <x:v>187</x:v>
      </x:c>
      <x:c r="B191" s="17" t="str">
        <x:v>Phase 1</x:v>
      </x:c>
      <x:c r="C191" s="17" t="str">
        <x:v>14.2</x:v>
      </x:c>
      <x:c r="D191" s="21" t="str">
        <x:v>Flow-Down Clause Tracking</x:v>
      </x:c>
      <x:c r="E191" s="17" t="n">
        <x:v>3</x:v>
      </x:c>
      <x:c r="F191" s="21" t="str">
        <x:v>Track status such as required, sent, acknowledged, signed, waived, or not_applicable.</x:v>
      </x:c>
      <x:c r="G191" s="17" t="str">
        <x:v>Software implementation</x:v>
      </x:c>
      <x:c r="H191" s="17" t="str">
        <x:v>Planned</x:v>
      </x:c>
      <x:c r="I191" s="18" t="str">
        <x:v>Completed</x:v>
      </x:c>
      <x:c r="J191" s="17" t="str">
        <x:f>IF(OR(I191="Completed",I191="Not Applicable"),"No","Yes")</x:f>
        <x:v>No</x:v>
      </x:c>
      <x:c r="K191" s="17" t="str">
        <x:v>14.2 task 2</x:v>
      </x:c>
      <x:c r="L191" s="21" t="str">
        <x:v>Story-labeled commit b52555d4 contains delivery and focused test/test-result files: feat: implement story 14.2 flow-down tracking</x:v>
      </x:c>
      <x:c r="M191" s="17" t="str">
        <x:v>Implementation commit + focused test artifacts</x:v>
      </x:c>
      <x:c r="N191" s="21" t="str">
        <x:v>git commit b52555d46924abe2dade788d88c26c25ab999ccf; /Users/devups/Development/CodexProjects/Gccs/docs/development-story-test-cases.md</x:v>
      </x:c>
      <x:c r="O191" s="19" t="n">
        <x:v>46188.763194444444</x:v>
      </x:c>
      <x:c r="P191" s="21" t="str">
        <x:v>4 acceptance criteria; 4 TC references; implementation=yes; smoke=yes; automated=no; Story-level regression template</x:v>
      </x:c>
      <x:c r="Q191" s="21" t="str"/>
      <x:c r="R191" s="21" t="str">
        <x:v>Retain traceability; rerun focused verification if the affected boundary changes.</x:v>
      </x:c>
      <x:c r="S191" s="18" t="str"/>
      <x:c r="T191" s="20"/>
      <x:c r="U191" s="21" t="str">
        <x:v>Completion is based on immutable repository evidence; tests were not rerun and current working-tree drift was not re-certified in this reporting-only task.</x:v>
      </x:c>
      <x:c r="V191" s="1"/>
    </x:row>
    <x:row r="192" ht="46" customHeight="1">
      <x:c r="A192" s="17" t="n">
        <x:v>188</x:v>
      </x:c>
      <x:c r="B192" s="17" t="str">
        <x:v>Phase 1</x:v>
      </x:c>
      <x:c r="C192" s="17" t="str">
        <x:v>14.2</x:v>
      </x:c>
      <x:c r="D192" s="21" t="str">
        <x:v>Flow-Down Clause Tracking</x:v>
      </x:c>
      <x:c r="E192" s="17" t="n">
        <x:v>4</x:v>
      </x:c>
      <x:c r="F192" s="21" t="str">
        <x:v>Link signed flow-down evidence.</x:v>
      </x:c>
      <x:c r="G192" s="17" t="str">
        <x:v>Software implementation</x:v>
      </x:c>
      <x:c r="H192" s="17" t="str">
        <x:v>Planned</x:v>
      </x:c>
      <x:c r="I192" s="18" t="str">
        <x:v>Completed</x:v>
      </x:c>
      <x:c r="J192" s="17" t="str">
        <x:f>IF(OR(I192="Completed",I192="Not Applicable"),"No","Yes")</x:f>
        <x:v>No</x:v>
      </x:c>
      <x:c r="K192" s="17" t="str">
        <x:v>14.2 task 3</x:v>
      </x:c>
      <x:c r="L192" s="21" t="str">
        <x:v>Story-labeled commit b52555d4 contains delivery and focused test/test-result files: feat: implement story 14.2 flow-down tracking</x:v>
      </x:c>
      <x:c r="M192" s="17" t="str">
        <x:v>Implementation commit + focused test artifacts</x:v>
      </x:c>
      <x:c r="N192" s="21" t="str">
        <x:v>git commit b52555d46924abe2dade788d88c26c25ab999ccf; /Users/devups/Development/CodexProjects/Gccs/docs/development-story-test-cases.md</x:v>
      </x:c>
      <x:c r="O192" s="19" t="n">
        <x:v>46188.763194444444</x:v>
      </x:c>
      <x:c r="P192" s="21" t="str">
        <x:v>4 acceptance criteria; 4 TC references; implementation=yes; smoke=yes; automated=no; Story-level regression template</x:v>
      </x:c>
      <x:c r="Q192" s="21" t="str"/>
      <x:c r="R192" s="21" t="str">
        <x:v>Retain traceability; rerun focused verification if the affected boundary changes.</x:v>
      </x:c>
      <x:c r="S192" s="18" t="str"/>
      <x:c r="T192" s="20"/>
      <x:c r="U192" s="21" t="str">
        <x:v>Completion is based on immutable repository evidence; tests were not rerun and current working-tree drift was not re-certified in this reporting-only task.</x:v>
      </x:c>
      <x:c r="V192" s="1"/>
    </x:row>
    <x:row r="193" ht="46" customHeight="1">
      <x:c r="A193" s="17" t="n">
        <x:v>189</x:v>
      </x:c>
      <x:c r="B193" s="17" t="str">
        <x:v>Phase 1</x:v>
      </x:c>
      <x:c r="C193" s="17" t="str">
        <x:v>14.3</x:v>
      </x:c>
      <x:c r="D193" s="21" t="str">
        <x:v>Subcontractor Evidence Requests</x:v>
      </x:c>
      <x:c r="E193" s="17" t="n">
        <x:v>1</x:v>
      </x:c>
      <x:c r="F193" s="21" t="str">
        <x:v>Add evidence request model with requested item, due date, status, recipient, and linked obligation.</x:v>
      </x:c>
      <x:c r="G193" s="17" t="str">
        <x:v>Software implementation</x:v>
      </x:c>
      <x:c r="H193" s="17" t="str">
        <x:v>Planned</x:v>
      </x:c>
      <x:c r="I193" s="18" t="str">
        <x:v>Completed</x:v>
      </x:c>
      <x:c r="J193" s="17" t="str">
        <x:f>IF(OR(I193="Completed",I193="Not Applicable"),"No","Yes")</x:f>
        <x:v>No</x:v>
      </x:c>
      <x:c r="K193" s="17" t="str">
        <x:v>14.2</x:v>
      </x:c>
      <x:c r="L193" s="21" t="str">
        <x:v>Story-labeled commit 9b6c49cf contains delivery and focused test/test-result files: feat: implement story 14.3 evidence requests</x:v>
      </x:c>
      <x:c r="M193" s="17" t="str">
        <x:v>Implementation commit + focused test artifacts</x:v>
      </x:c>
      <x:c r="N193" s="21" t="str">
        <x:v>git commit 9b6c49cf1a28eb1e0d803c0e846157a4eb4de77e; /Users/devups/Development/CodexProjects/Gccs/docs/development-story-test-cases.md</x:v>
      </x:c>
      <x:c r="O193" s="19" t="n">
        <x:v>46188.77376157408</x:v>
      </x:c>
      <x:c r="P193" s="21" t="str">
        <x:v>4 acceptance criteria; 4 TC references; implementation=yes; smoke=yes; automated=no; Story-level regression template</x:v>
      </x:c>
      <x:c r="Q193" s="21" t="str"/>
      <x:c r="R193" s="21" t="str">
        <x:v>Retain traceability; rerun focused verification if the affected boundary changes.</x:v>
      </x:c>
      <x:c r="S193" s="18" t="str"/>
      <x:c r="T193" s="20"/>
      <x:c r="U193" s="21" t="str">
        <x:v>Completion is based on immutable repository evidence; tests were not rerun and current working-tree drift was not re-certified in this reporting-only task.</x:v>
      </x:c>
      <x:c r="V193" s="1"/>
    </x:row>
    <x:row r="194" ht="46" customHeight="1">
      <x:c r="A194" s="17" t="n">
        <x:v>190</x:v>
      </x:c>
      <x:c r="B194" s="17" t="str">
        <x:v>Phase 1</x:v>
      </x:c>
      <x:c r="C194" s="17" t="str">
        <x:v>14.3</x:v>
      </x:c>
      <x:c r="D194" s="21" t="str">
        <x:v>Subcontractor Evidence Requests</x:v>
      </x:c>
      <x:c r="E194" s="17" t="n">
        <x:v>2</x:v>
      </x:c>
      <x:c r="F194" s="21" t="str">
        <x:v>Add internal request workflow for MVP.</x:v>
      </x:c>
      <x:c r="G194" s="17" t="str">
        <x:v>Software implementation</x:v>
      </x:c>
      <x:c r="H194" s="17" t="str">
        <x:v>Planned</x:v>
      </x:c>
      <x:c r="I194" s="18" t="str">
        <x:v>Completed</x:v>
      </x:c>
      <x:c r="J194" s="17" t="str">
        <x:f>IF(OR(I194="Completed",I194="Not Applicable"),"No","Yes")</x:f>
        <x:v>No</x:v>
      </x:c>
      <x:c r="K194" s="17" t="str">
        <x:v>14.3 task 1</x:v>
      </x:c>
      <x:c r="L194" s="21" t="str">
        <x:v>Story-labeled commit 9b6c49cf contains delivery and focused test/test-result files: feat: implement story 14.3 evidence requests</x:v>
      </x:c>
      <x:c r="M194" s="17" t="str">
        <x:v>Implementation commit + focused test artifacts</x:v>
      </x:c>
      <x:c r="N194" s="21" t="str">
        <x:v>git commit 9b6c49cf1a28eb1e0d803c0e846157a4eb4de77e; /Users/devups/Development/CodexProjects/Gccs/docs/development-story-test-cases.md</x:v>
      </x:c>
      <x:c r="O194" s="19" t="n">
        <x:v>46188.77376157408</x:v>
      </x:c>
      <x:c r="P194" s="21" t="str">
        <x:v>4 acceptance criteria; 4 TC references; implementation=yes; smoke=yes; automated=no; Story-level regression template</x:v>
      </x:c>
      <x:c r="Q194" s="21" t="str"/>
      <x:c r="R194" s="21" t="str">
        <x:v>Retain traceability; rerun focused verification if the affected boundary changes.</x:v>
      </x:c>
      <x:c r="S194" s="18" t="str"/>
      <x:c r="T194" s="20"/>
      <x:c r="U194" s="21" t="str">
        <x:v>Completion is based on immutable repository evidence; tests were not rerun and current working-tree drift was not re-certified in this reporting-only task.</x:v>
      </x:c>
      <x:c r="V194" s="1"/>
    </x:row>
    <x:row r="195" ht="46" customHeight="1">
      <x:c r="A195" s="17" t="n">
        <x:v>191</x:v>
      </x:c>
      <x:c r="B195" s="17" t="str">
        <x:v>Phase 1</x:v>
      </x:c>
      <x:c r="C195" s="17" t="str">
        <x:v>14.3</x:v>
      </x:c>
      <x:c r="D195" s="21" t="str">
        <x:v>Subcontractor Evidence Requests</x:v>
      </x:c>
      <x:c r="E195" s="17" t="n">
        <x:v>3</x:v>
      </x:c>
      <x:c r="F195" s="21" t="str">
        <x:v>Add overdue tracking.</x:v>
      </x:c>
      <x:c r="G195" s="17" t="str">
        <x:v>Software implementation</x:v>
      </x:c>
      <x:c r="H195" s="17" t="str">
        <x:v>Planned</x:v>
      </x:c>
      <x:c r="I195" s="18" t="str">
        <x:v>Completed</x:v>
      </x:c>
      <x:c r="J195" s="17" t="str">
        <x:f>IF(OR(I195="Completed",I195="Not Applicable"),"No","Yes")</x:f>
        <x:v>No</x:v>
      </x:c>
      <x:c r="K195" s="17" t="str">
        <x:v>14.3 task 2</x:v>
      </x:c>
      <x:c r="L195" s="21" t="str">
        <x:v>Story-labeled commit 9b6c49cf contains delivery and focused test/test-result files: feat: implement story 14.3 evidence requests</x:v>
      </x:c>
      <x:c r="M195" s="17" t="str">
        <x:v>Implementation commit + focused test artifacts</x:v>
      </x:c>
      <x:c r="N195" s="21" t="str">
        <x:v>git commit 9b6c49cf1a28eb1e0d803c0e846157a4eb4de77e; /Users/devups/Development/CodexProjects/Gccs/docs/development-story-test-cases.md</x:v>
      </x:c>
      <x:c r="O195" s="19" t="n">
        <x:v>46188.77376157408</x:v>
      </x:c>
      <x:c r="P195" s="21" t="str">
        <x:v>4 acceptance criteria; 4 TC references; implementation=yes; smoke=yes; automated=no; Story-level regression template</x:v>
      </x:c>
      <x:c r="Q195" s="21" t="str"/>
      <x:c r="R195" s="21" t="str">
        <x:v>Retain traceability; rerun focused verification if the affected boundary changes.</x:v>
      </x:c>
      <x:c r="S195" s="18" t="str"/>
      <x:c r="T195" s="20"/>
      <x:c r="U195" s="21" t="str">
        <x:v>Completion is based on immutable repository evidence; tests were not rerun and current working-tree drift was not re-certified in this reporting-only task.</x:v>
      </x:c>
      <x:c r="V195" s="1"/>
    </x:row>
    <x:row r="196" ht="46" customHeight="1">
      <x:c r="A196" s="17" t="n">
        <x:v>192</x:v>
      </x:c>
      <x:c r="B196" s="17" t="str">
        <x:v>Phase 1</x:v>
      </x:c>
      <x:c r="C196" s="17" t="str">
        <x:v>14.3</x:v>
      </x:c>
      <x:c r="D196" s="21" t="str">
        <x:v>Subcontractor Evidence Requests</x:v>
      </x:c>
      <x:c r="E196" s="17" t="n">
        <x:v>4</x:v>
      </x:c>
      <x:c r="F196" s="21" t="str">
        <x:v>Link received evidence to subcontractor.</x:v>
      </x:c>
      <x:c r="G196" s="17" t="str">
        <x:v>Software implementation</x:v>
      </x:c>
      <x:c r="H196" s="17" t="str">
        <x:v>Planned</x:v>
      </x:c>
      <x:c r="I196" s="18" t="str">
        <x:v>Completed</x:v>
      </x:c>
      <x:c r="J196" s="17" t="str">
        <x:f>IF(OR(I196="Completed",I196="Not Applicable"),"No","Yes")</x:f>
        <x:v>No</x:v>
      </x:c>
      <x:c r="K196" s="17" t="str">
        <x:v>14.3 task 3</x:v>
      </x:c>
      <x:c r="L196" s="21" t="str">
        <x:v>Story-labeled commit 9b6c49cf contains delivery and focused test/test-result files: feat: implement story 14.3 evidence requests</x:v>
      </x:c>
      <x:c r="M196" s="17" t="str">
        <x:v>Implementation commit + focused test artifacts</x:v>
      </x:c>
      <x:c r="N196" s="21" t="str">
        <x:v>git commit 9b6c49cf1a28eb1e0d803c0e846157a4eb4de77e; /Users/devups/Development/CodexProjects/Gccs/docs/development-story-test-cases.md</x:v>
      </x:c>
      <x:c r="O196" s="19" t="n">
        <x:v>46188.77376157408</x:v>
      </x:c>
      <x:c r="P196" s="21" t="str">
        <x:v>4 acceptance criteria; 4 TC references; implementation=yes; smoke=yes; automated=no; Story-level regression template</x:v>
      </x:c>
      <x:c r="Q196" s="21" t="str"/>
      <x:c r="R196" s="21" t="str">
        <x:v>Retain traceability; rerun focused verification if the affected boundary changes.</x:v>
      </x:c>
      <x:c r="S196" s="18" t="str"/>
      <x:c r="T196" s="20"/>
      <x:c r="U196" s="21" t="str">
        <x:v>Completion is based on immutable repository evidence; tests were not rerun and current working-tree drift was not re-certified in this reporting-only task.</x:v>
      </x:c>
      <x:c r="V196" s="1"/>
    </x:row>
    <x:row r="197" ht="46" customHeight="1">
      <x:c r="A197" s="17" t="n">
        <x:v>193</x:v>
      </x:c>
      <x:c r="B197" s="17" t="str">
        <x:v>Phase 1</x:v>
      </x:c>
      <x:c r="C197" s="17" t="str">
        <x:v>15.1</x:v>
      </x:c>
      <x:c r="D197" s="21" t="str">
        <x:v>Compliance Status Report</x:v>
      </x:c>
      <x:c r="E197" s="17" t="n">
        <x:v>1</x:v>
      </x:c>
      <x:c r="F197" s="21" t="str">
        <x:v>Define report snapshot model.</x:v>
      </x:c>
      <x:c r="G197" s="17" t="str">
        <x:v>Software implementation</x:v>
      </x:c>
      <x:c r="H197" s="17" t="str">
        <x:v>Planned</x:v>
      </x:c>
      <x:c r="I197" s="18" t="str">
        <x:v>Completed</x:v>
      </x:c>
      <x:c r="J197" s="17" t="str">
        <x:f>IF(OR(I197="Completed",I197="Not Applicable"),"No","Yes")</x:f>
        <x:v>No</x:v>
      </x:c>
      <x:c r="K197" s="17" t="str">
        <x:v>14.3</x:v>
      </x:c>
      <x:c r="L197" s="21" t="str">
        <x:v>Story-labeled commit 2be2115d contains delivery and focused test/test-result files: feat: implement story 15.1 compliance status report</x:v>
      </x:c>
      <x:c r="M197" s="17" t="str">
        <x:v>Implementation commit + focused test artifacts</x:v>
      </x:c>
      <x:c r="N197" s="21" t="str">
        <x:v>git commit 2be2115d98058c35a694f37b99a513d2020f338f; /Users/devups/Development/CodexProjects/Gccs/docs/development-story-test-cases.md</x:v>
      </x:c>
      <x:c r="O197" s="19" t="n">
        <x:v>46188.77953703704</x:v>
      </x:c>
      <x:c r="P197" s="21" t="str">
        <x:v>4 acceptance criteria; 4 TC references; implementation=yes; smoke=yes; automated=no; Story-level regression template</x:v>
      </x:c>
      <x:c r="Q197" s="21" t="str"/>
      <x:c r="R197" s="21" t="str">
        <x:v>Retain traceability; rerun focused verification if the affected boundary changes.</x:v>
      </x:c>
      <x:c r="S197" s="18" t="str"/>
      <x:c r="T197" s="20"/>
      <x:c r="U197" s="21" t="str">
        <x:v>Completion is based on immutable repository evidence; tests were not rerun and current working-tree drift was not re-certified in this reporting-only task.</x:v>
      </x:c>
      <x:c r="V197" s="1"/>
    </x:row>
    <x:row r="198" ht="46" customHeight="1">
      <x:c r="A198" s="17" t="n">
        <x:v>194</x:v>
      </x:c>
      <x:c r="B198" s="17" t="str">
        <x:v>Phase 1</x:v>
      </x:c>
      <x:c r="C198" s="17" t="str">
        <x:v>15.1</x:v>
      </x:c>
      <x:c r="D198" s="21" t="str">
        <x:v>Compliance Status Report</x:v>
      </x:c>
      <x:c r="E198" s="17" t="n">
        <x:v>2</x:v>
      </x:c>
      <x:c r="F198" s="21" t="str">
        <x:v>Include obligation status, overdue tasks, evidence status, CMMC progress, subcontractor gaps, and high-risk items.</x:v>
      </x:c>
      <x:c r="G198" s="17" t="str">
        <x:v>Software implementation</x:v>
      </x:c>
      <x:c r="H198" s="17" t="str">
        <x:v>Planned</x:v>
      </x:c>
      <x:c r="I198" s="18" t="str">
        <x:v>Completed</x:v>
      </x:c>
      <x:c r="J198" s="17" t="str">
        <x:f>IF(OR(I198="Completed",I198="Not Applicable"),"No","Yes")</x:f>
        <x:v>No</x:v>
      </x:c>
      <x:c r="K198" s="17" t="str">
        <x:v>15.1 task 1</x:v>
      </x:c>
      <x:c r="L198" s="21" t="str">
        <x:v>Story-labeled commit 2be2115d contains delivery and focused test/test-result files: feat: implement story 15.1 compliance status report</x:v>
      </x:c>
      <x:c r="M198" s="17" t="str">
        <x:v>Implementation commit + focused test artifacts</x:v>
      </x:c>
      <x:c r="N198" s="21" t="str">
        <x:v>git commit 2be2115d98058c35a694f37b99a513d2020f338f; /Users/devups/Development/CodexProjects/Gccs/docs/development-story-test-cases.md</x:v>
      </x:c>
      <x:c r="O198" s="19" t="n">
        <x:v>46188.77953703704</x:v>
      </x:c>
      <x:c r="P198" s="21" t="str">
        <x:v>4 acceptance criteria; 4 TC references; implementation=yes; smoke=yes; automated=no; Story-level regression template</x:v>
      </x:c>
      <x:c r="Q198" s="21" t="str"/>
      <x:c r="R198" s="21" t="str">
        <x:v>Retain traceability; rerun focused verification if the affected boundary changes.</x:v>
      </x:c>
      <x:c r="S198" s="18" t="str"/>
      <x:c r="T198" s="20"/>
      <x:c r="U198" s="21" t="str">
        <x:v>Completion is based on immutable repository evidence; tests were not rerun and current working-tree drift was not re-certified in this reporting-only task.</x:v>
      </x:c>
      <x:c r="V198" s="1"/>
    </x:row>
    <x:row r="199" ht="46" customHeight="1">
      <x:c r="A199" s="17" t="n">
        <x:v>195</x:v>
      </x:c>
      <x:c r="B199" s="17" t="str">
        <x:v>Phase 1</x:v>
      </x:c>
      <x:c r="C199" s="17" t="str">
        <x:v>15.1</x:v>
      </x:c>
      <x:c r="D199" s="21" t="str">
        <x:v>Compliance Status Report</x:v>
      </x:c>
      <x:c r="E199" s="17" t="n">
        <x:v>3</x:v>
      </x:c>
      <x:c r="F199" s="21" t="str">
        <x:v>Add generate report action.</x:v>
      </x:c>
      <x:c r="G199" s="17" t="str">
        <x:v>Software implementation</x:v>
      </x:c>
      <x:c r="H199" s="17" t="str">
        <x:v>Planned</x:v>
      </x:c>
      <x:c r="I199" s="18" t="str">
        <x:v>Completed</x:v>
      </x:c>
      <x:c r="J199" s="17" t="str">
        <x:f>IF(OR(I199="Completed",I199="Not Applicable"),"No","Yes")</x:f>
        <x:v>No</x:v>
      </x:c>
      <x:c r="K199" s="17" t="str">
        <x:v>15.1 task 2</x:v>
      </x:c>
      <x:c r="L199" s="21" t="str">
        <x:v>Story-labeled commit 2be2115d contains delivery and focused test/test-result files: feat: implement story 15.1 compliance status report</x:v>
      </x:c>
      <x:c r="M199" s="17" t="str">
        <x:v>Implementation commit + focused test artifacts</x:v>
      </x:c>
      <x:c r="N199" s="21" t="str">
        <x:v>git commit 2be2115d98058c35a694f37b99a513d2020f338f; /Users/devups/Development/CodexProjects/Gccs/docs/development-story-test-cases.md</x:v>
      </x:c>
      <x:c r="O199" s="19" t="n">
        <x:v>46188.77953703704</x:v>
      </x:c>
      <x:c r="P199" s="21" t="str">
        <x:v>4 acceptance criteria; 4 TC references; implementation=yes; smoke=yes; automated=no; Story-level regression template</x:v>
      </x:c>
      <x:c r="Q199" s="21" t="str"/>
      <x:c r="R199" s="21" t="str">
        <x:v>Retain traceability; rerun focused verification if the affected boundary changes.</x:v>
      </x:c>
      <x:c r="S199" s="18" t="str"/>
      <x:c r="T199" s="20"/>
      <x:c r="U199" s="21" t="str">
        <x:v>Completion is based on immutable repository evidence; tests were not rerun and current working-tree drift was not re-certified in this reporting-only task.</x:v>
      </x:c>
      <x:c r="V199" s="1"/>
    </x:row>
    <x:row r="200" ht="46" customHeight="1">
      <x:c r="A200" s="17" t="n">
        <x:v>196</x:v>
      </x:c>
      <x:c r="B200" s="17" t="str">
        <x:v>Phase 1</x:v>
      </x:c>
      <x:c r="C200" s="17" t="str">
        <x:v>15.1</x:v>
      </x:c>
      <x:c r="D200" s="21" t="str">
        <x:v>Compliance Status Report</x:v>
      </x:c>
      <x:c r="E200" s="17" t="n">
        <x:v>4</x:v>
      </x:c>
      <x:c r="F200" s="21" t="str">
        <x:v>Add export to PDF or HTML for MVP.</x:v>
      </x:c>
      <x:c r="G200" s="17" t="str">
        <x:v>Software implementation</x:v>
      </x:c>
      <x:c r="H200" s="17" t="str">
        <x:v>Planned</x:v>
      </x:c>
      <x:c r="I200" s="18" t="str">
        <x:v>Completed</x:v>
      </x:c>
      <x:c r="J200" s="17" t="str">
        <x:f>IF(OR(I200="Completed",I200="Not Applicable"),"No","Yes")</x:f>
        <x:v>No</x:v>
      </x:c>
      <x:c r="K200" s="17" t="str">
        <x:v>15.1 task 3</x:v>
      </x:c>
      <x:c r="L200" s="21" t="str">
        <x:v>Story-labeled commit 2be2115d contains delivery and focused test/test-result files: feat: implement story 15.1 compliance status report</x:v>
      </x:c>
      <x:c r="M200" s="17" t="str">
        <x:v>Implementation commit + focused test artifacts</x:v>
      </x:c>
      <x:c r="N200" s="21" t="str">
        <x:v>git commit 2be2115d98058c35a694f37b99a513d2020f338f; /Users/devups/Development/CodexProjects/Gccs/docs/development-story-test-cases.md</x:v>
      </x:c>
      <x:c r="O200" s="19" t="n">
        <x:v>46188.77953703704</x:v>
      </x:c>
      <x:c r="P200" s="21" t="str">
        <x:v>4 acceptance criteria; 4 TC references; implementation=yes; smoke=yes; automated=no; Story-level regression template</x:v>
      </x:c>
      <x:c r="Q200" s="21" t="str"/>
      <x:c r="R200" s="21" t="str">
        <x:v>Retain traceability; rerun focused verification if the affected boundary changes.</x:v>
      </x:c>
      <x:c r="S200" s="18" t="str"/>
      <x:c r="T200" s="20"/>
      <x:c r="U200" s="21" t="str">
        <x:v>Completion is based on immutable repository evidence; tests were not rerun and current working-tree drift was not re-certified in this reporting-only task.</x:v>
      </x:c>
      <x:c r="V200" s="1"/>
    </x:row>
    <x:row r="201" ht="46" customHeight="1">
      <x:c r="A201" s="17" t="n">
        <x:v>197</x:v>
      </x:c>
      <x:c r="B201" s="17" t="str">
        <x:v>Phase 1</x:v>
      </x:c>
      <x:c r="C201" s="17" t="str">
        <x:v>15.2</x:v>
      </x:c>
      <x:c r="D201" s="21" t="str">
        <x:v>Contract Obligation Matrix</x:v>
      </x:c>
      <x:c r="E201" s="17" t="n">
        <x:v>1</x:v>
      </x:c>
      <x:c r="F201" s="21" t="str">
        <x:v>Build contract-level report query.</x:v>
      </x:c>
      <x:c r="G201" s="17" t="str">
        <x:v>Software implementation</x:v>
      </x:c>
      <x:c r="H201" s="17" t="str">
        <x:v>Planned</x:v>
      </x:c>
      <x:c r="I201" s="18" t="str">
        <x:v>Completed</x:v>
      </x:c>
      <x:c r="J201" s="17" t="str">
        <x:f>IF(OR(I201="Completed",I201="Not Applicable"),"No","Yes")</x:f>
        <x:v>No</x:v>
      </x:c>
      <x:c r="K201" s="17" t="str">
        <x:v>15.1</x:v>
      </x:c>
      <x:c r="L201" s="21" t="str">
        <x:v>Story-labeled commit cac3f96c contains delivery and focused test/test-result files: feat: implement story 15.2 obligation matrix</x:v>
      </x:c>
      <x:c r="M201" s="17" t="str">
        <x:v>Implementation commit + focused test artifacts</x:v>
      </x:c>
      <x:c r="N201" s="21" t="str">
        <x:v>git commit cac3f96c6fc318b3e017719220abc8945f7bd173; /Users/devups/Development/CodexProjects/Gccs/docs/development-story-test-cases.md</x:v>
      </x:c>
      <x:c r="O201" s="19" t="n">
        <x:v>46188.78418981482</x:v>
      </x:c>
      <x:c r="P201" s="21" t="str">
        <x:v>4 acceptance criteria; 4 TC references; implementation=yes; smoke=yes; automated=no; Story-level regression template</x:v>
      </x:c>
      <x:c r="Q201" s="21" t="str"/>
      <x:c r="R201" s="21" t="str">
        <x:v>Retain traceability; rerun focused verification if the affected boundary changes.</x:v>
      </x:c>
      <x:c r="S201" s="18" t="str"/>
      <x:c r="T201" s="20"/>
      <x:c r="U201" s="21" t="str">
        <x:v>Completion is based on immutable repository evidence; tests were not rerun and current working-tree drift was not re-certified in this reporting-only task.</x:v>
      </x:c>
      <x:c r="V201" s="1"/>
    </x:row>
    <x:row r="202" ht="46" customHeight="1">
      <x:c r="A202" s="17" t="n">
        <x:v>198</x:v>
      </x:c>
      <x:c r="B202" s="17" t="str">
        <x:v>Phase 1</x:v>
      </x:c>
      <x:c r="C202" s="17" t="str">
        <x:v>15.2</x:v>
      </x:c>
      <x:c r="D202" s="21" t="str">
        <x:v>Contract Obligation Matrix</x:v>
      </x:c>
      <x:c r="E202" s="17" t="n">
        <x:v>2</x:v>
      </x:c>
      <x:c r="F202" s="21" t="str">
        <x:v>Include clause, source, obligation, owner, status, risk, due date, evidence, and flow-down requirement.</x:v>
      </x:c>
      <x:c r="G202" s="17" t="str">
        <x:v>Software implementation</x:v>
      </x:c>
      <x:c r="H202" s="17" t="str">
        <x:v>Planned</x:v>
      </x:c>
      <x:c r="I202" s="18" t="str">
        <x:v>Completed</x:v>
      </x:c>
      <x:c r="J202" s="17" t="str">
        <x:f>IF(OR(I202="Completed",I202="Not Applicable"),"No","Yes")</x:f>
        <x:v>No</x:v>
      </x:c>
      <x:c r="K202" s="17" t="str">
        <x:v>15.2 task 1</x:v>
      </x:c>
      <x:c r="L202" s="21" t="str">
        <x:v>Story-labeled commit cac3f96c contains delivery and focused test/test-result files: feat: implement story 15.2 obligation matrix</x:v>
      </x:c>
      <x:c r="M202" s="17" t="str">
        <x:v>Implementation commit + focused test artifacts</x:v>
      </x:c>
      <x:c r="N202" s="21" t="str">
        <x:v>git commit cac3f96c6fc318b3e017719220abc8945f7bd173; /Users/devups/Development/CodexProjects/Gccs/docs/development-story-test-cases.md</x:v>
      </x:c>
      <x:c r="O202" s="19" t="n">
        <x:v>46188.78418981482</x:v>
      </x:c>
      <x:c r="P202" s="21" t="str">
        <x:v>4 acceptance criteria; 4 TC references; implementation=yes; smoke=yes; automated=no; Story-level regression template</x:v>
      </x:c>
      <x:c r="Q202" s="21" t="str"/>
      <x:c r="R202" s="21" t="str">
        <x:v>Retain traceability; rerun focused verification if the affected boundary changes.</x:v>
      </x:c>
      <x:c r="S202" s="18" t="str"/>
      <x:c r="T202" s="20"/>
      <x:c r="U202" s="21" t="str">
        <x:v>Completion is based on immutable repository evidence; tests were not rerun and current working-tree drift was not re-certified in this reporting-only task.</x:v>
      </x:c>
      <x:c r="V202" s="1"/>
    </x:row>
    <x:row r="203" ht="46" customHeight="1">
      <x:c r="A203" s="17" t="n">
        <x:v>199</x:v>
      </x:c>
      <x:c r="B203" s="17" t="str">
        <x:v>Phase 1</x:v>
      </x:c>
      <x:c r="C203" s="17" t="str">
        <x:v>15.2</x:v>
      </x:c>
      <x:c r="D203" s="21" t="str">
        <x:v>Contract Obligation Matrix</x:v>
      </x:c>
      <x:c r="E203" s="17" t="n">
        <x:v>3</x:v>
      </x:c>
      <x:c r="F203" s="21" t="str">
        <x:v>Add filter by contract.</x:v>
      </x:c>
      <x:c r="G203" s="17" t="str">
        <x:v>Software implementation</x:v>
      </x:c>
      <x:c r="H203" s="17" t="str">
        <x:v>Planned</x:v>
      </x:c>
      <x:c r="I203" s="18" t="str">
        <x:v>Completed</x:v>
      </x:c>
      <x:c r="J203" s="17" t="str">
        <x:f>IF(OR(I203="Completed",I203="Not Applicable"),"No","Yes")</x:f>
        <x:v>No</x:v>
      </x:c>
      <x:c r="K203" s="17" t="str">
        <x:v>15.2 task 2</x:v>
      </x:c>
      <x:c r="L203" s="21" t="str">
        <x:v>Story-labeled commit cac3f96c contains delivery and focused test/test-result files: feat: implement story 15.2 obligation matrix</x:v>
      </x:c>
      <x:c r="M203" s="17" t="str">
        <x:v>Implementation commit + focused test artifacts</x:v>
      </x:c>
      <x:c r="N203" s="21" t="str">
        <x:v>git commit cac3f96c6fc318b3e017719220abc8945f7bd173; /Users/devups/Development/CodexProjects/Gccs/docs/development-story-test-cases.md</x:v>
      </x:c>
      <x:c r="O203" s="19" t="n">
        <x:v>46188.78418981482</x:v>
      </x:c>
      <x:c r="P203" s="21" t="str">
        <x:v>4 acceptance criteria; 4 TC references; implementation=yes; smoke=yes; automated=no; Story-level regression template</x:v>
      </x:c>
      <x:c r="Q203" s="21" t="str"/>
      <x:c r="R203" s="21" t="str">
        <x:v>Retain traceability; rerun focused verification if the affected boundary changes.</x:v>
      </x:c>
      <x:c r="S203" s="18" t="str"/>
      <x:c r="T203" s="20"/>
      <x:c r="U203" s="21" t="str">
        <x:v>Completion is based on immutable repository evidence; tests were not rerun and current working-tree drift was not re-certified in this reporting-only task.</x:v>
      </x:c>
      <x:c r="V203" s="1"/>
    </x:row>
    <x:row r="204" ht="46" customHeight="1">
      <x:c r="A204" s="17" t="n">
        <x:v>200</x:v>
      </x:c>
      <x:c r="B204" s="17" t="str">
        <x:v>Phase 1</x:v>
      </x:c>
      <x:c r="C204" s="17" t="str">
        <x:v>15.2</x:v>
      </x:c>
      <x:c r="D204" s="21" t="str">
        <x:v>Contract Obligation Matrix</x:v>
      </x:c>
      <x:c r="E204" s="17" t="n">
        <x:v>4</x:v>
      </x:c>
      <x:c r="F204" s="21" t="str">
        <x:v>Add export.</x:v>
      </x:c>
      <x:c r="G204" s="17" t="str">
        <x:v>Software implementation</x:v>
      </x:c>
      <x:c r="H204" s="17" t="str">
        <x:v>Planned</x:v>
      </x:c>
      <x:c r="I204" s="18" t="str">
        <x:v>Completed</x:v>
      </x:c>
      <x:c r="J204" s="17" t="str">
        <x:f>IF(OR(I204="Completed",I204="Not Applicable"),"No","Yes")</x:f>
        <x:v>No</x:v>
      </x:c>
      <x:c r="K204" s="17" t="str">
        <x:v>15.2 task 3</x:v>
      </x:c>
      <x:c r="L204" s="21" t="str">
        <x:v>Story-labeled commit cac3f96c contains delivery and focused test/test-result files: feat: implement story 15.2 obligation matrix</x:v>
      </x:c>
      <x:c r="M204" s="17" t="str">
        <x:v>Implementation commit + focused test artifacts</x:v>
      </x:c>
      <x:c r="N204" s="21" t="str">
        <x:v>git commit cac3f96c6fc318b3e017719220abc8945f7bd173; /Users/devups/Development/CodexProjects/Gccs/docs/development-story-test-cases.md</x:v>
      </x:c>
      <x:c r="O204" s="19" t="n">
        <x:v>46188.78418981482</x:v>
      </x:c>
      <x:c r="P204" s="21" t="str">
        <x:v>4 acceptance criteria; 4 TC references; implementation=yes; smoke=yes; automated=no; Story-level regression template</x:v>
      </x:c>
      <x:c r="Q204" s="21" t="str"/>
      <x:c r="R204" s="21" t="str">
        <x:v>Retain traceability; rerun focused verification if the affected boundary changes.</x:v>
      </x:c>
      <x:c r="S204" s="18" t="str"/>
      <x:c r="T204" s="20"/>
      <x:c r="U204" s="21" t="str">
        <x:v>Completion is based on immutable repository evidence; tests were not rerun and current working-tree drift was not re-certified in this reporting-only task.</x:v>
      </x:c>
      <x:c r="V204" s="1"/>
    </x:row>
    <x:row r="205" ht="46" customHeight="1">
      <x:c r="A205" s="17" t="n">
        <x:v>201</x:v>
      </x:c>
      <x:c r="B205" s="17" t="str">
        <x:v>Phase 1</x:v>
      </x:c>
      <x:c r="C205" s="17" t="str">
        <x:v>15.3</x:v>
      </x:c>
      <x:c r="D205" s="21" t="str">
        <x:v>CMMC Readiness Report</x:v>
      </x:c>
      <x:c r="E205" s="17" t="n">
        <x:v>1</x:v>
      </x:c>
      <x:c r="F205" s="21" t="str">
        <x:v>Include assessment target level, control statuses, evidence links, POA&amp;M items, open gaps, and affirmation dates.</x:v>
      </x:c>
      <x:c r="G205" s="17" t="str">
        <x:v>Software implementation</x:v>
      </x:c>
      <x:c r="H205" s="17" t="str">
        <x:v>Planned</x:v>
      </x:c>
      <x:c r="I205" s="18" t="str">
        <x:v>Completed</x:v>
      </x:c>
      <x:c r="J205" s="17" t="str">
        <x:f>IF(OR(I205="Completed",I205="Not Applicable"),"No","Yes")</x:f>
        <x:v>No</x:v>
      </x:c>
      <x:c r="K205" s="17" t="str">
        <x:v>15.2</x:v>
      </x:c>
      <x:c r="L205" s="21" t="str">
        <x:v>Story-labeled commit 5d205315 contains delivery and focused test/test-result files: feat: implement story 15.3 cmmc readiness report</x:v>
      </x:c>
      <x:c r="M205" s="17" t="str">
        <x:v>Implementation commit + focused test artifacts</x:v>
      </x:c>
      <x:c r="N205" s="21" t="str">
        <x:v>git commit 5d205315fe89b2498016e0523708488b5d364532; /Users/devups/Development/CodexProjects/Gccs/docs/development-story-test-cases.md</x:v>
      </x:c>
      <x:c r="O205" s="19" t="n">
        <x:v>46188.79059027778</x:v>
      </x:c>
      <x:c r="P205" s="21" t="str">
        <x:v>4 acceptance criteria; 4 TC references; implementation=yes; smoke=yes; automated=no; Story-level regression template</x:v>
      </x:c>
      <x:c r="Q205" s="21" t="str"/>
      <x:c r="R205" s="21" t="str">
        <x:v>Retain traceability; rerun focused verification if the affected boundary changes.</x:v>
      </x:c>
      <x:c r="S205" s="18" t="str"/>
      <x:c r="T205" s="20"/>
      <x:c r="U205" s="21" t="str">
        <x:v>Completion is based on immutable repository evidence; tests were not rerun and current working-tree drift was not re-certified in this reporting-only task.</x:v>
      </x:c>
      <x:c r="V205" s="1"/>
    </x:row>
    <x:row r="206" ht="46" customHeight="1">
      <x:c r="A206" s="17" t="n">
        <x:v>202</x:v>
      </x:c>
      <x:c r="B206" s="17" t="str">
        <x:v>Phase 1</x:v>
      </x:c>
      <x:c r="C206" s="17" t="str">
        <x:v>15.3</x:v>
      </x:c>
      <x:c r="D206" s="21" t="str">
        <x:v>CMMC Readiness Report</x:v>
      </x:c>
      <x:c r="E206" s="17" t="n">
        <x:v>2</x:v>
      </x:c>
      <x:c r="F206" s="21" t="str">
        <x:v>Add export.</x:v>
      </x:c>
      <x:c r="G206" s="17" t="str">
        <x:v>Software implementation</x:v>
      </x:c>
      <x:c r="H206" s="17" t="str">
        <x:v>Planned</x:v>
      </x:c>
      <x:c r="I206" s="18" t="str">
        <x:v>Completed</x:v>
      </x:c>
      <x:c r="J206" s="17" t="str">
        <x:f>IF(OR(I206="Completed",I206="Not Applicable"),"No","Yes")</x:f>
        <x:v>No</x:v>
      </x:c>
      <x:c r="K206" s="17" t="str">
        <x:v>15.3 task 1</x:v>
      </x:c>
      <x:c r="L206" s="21" t="str">
        <x:v>Story-labeled commit 5d205315 contains delivery and focused test/test-result files: feat: implement story 15.3 cmmc readiness report</x:v>
      </x:c>
      <x:c r="M206" s="17" t="str">
        <x:v>Implementation commit + focused test artifacts</x:v>
      </x:c>
      <x:c r="N206" s="21" t="str">
        <x:v>git commit 5d205315fe89b2498016e0523708488b5d364532; /Users/devups/Development/CodexProjects/Gccs/docs/development-story-test-cases.md</x:v>
      </x:c>
      <x:c r="O206" s="19" t="n">
        <x:v>46188.79059027778</x:v>
      </x:c>
      <x:c r="P206" s="21" t="str">
        <x:v>4 acceptance criteria; 4 TC references; implementation=yes; smoke=yes; automated=no; Story-level regression template</x:v>
      </x:c>
      <x:c r="Q206" s="21" t="str"/>
      <x:c r="R206" s="21" t="str">
        <x:v>Retain traceability; rerun focused verification if the affected boundary changes.</x:v>
      </x:c>
      <x:c r="S206" s="18" t="str"/>
      <x:c r="T206" s="20"/>
      <x:c r="U206" s="21" t="str">
        <x:v>Completion is based on immutable repository evidence; tests were not rerun and current working-tree drift was not re-certified in this reporting-only task.</x:v>
      </x:c>
      <x:c r="V206" s="1"/>
    </x:row>
    <x:row r="207" ht="46" customHeight="1">
      <x:c r="A207" s="17" t="n">
        <x:v>203</x:v>
      </x:c>
      <x:c r="B207" s="17" t="str">
        <x:v>Phase 1</x:v>
      </x:c>
      <x:c r="C207" s="17" t="str">
        <x:v>15.3</x:v>
      </x:c>
      <x:c r="D207" s="21" t="str">
        <x:v>CMMC Readiness Report</x:v>
      </x:c>
      <x:c r="E207" s="17" t="n">
        <x:v>3</x:v>
      </x:c>
      <x:c r="F207" s="21" t="str">
        <x:v>Restrict report access by role.</x:v>
      </x:c>
      <x:c r="G207" s="17" t="str">
        <x:v>Software implementation</x:v>
      </x:c>
      <x:c r="H207" s="17" t="str">
        <x:v>Planned</x:v>
      </x:c>
      <x:c r="I207" s="18" t="str">
        <x:v>Completed</x:v>
      </x:c>
      <x:c r="J207" s="17" t="str">
        <x:f>IF(OR(I207="Completed",I207="Not Applicable"),"No","Yes")</x:f>
        <x:v>No</x:v>
      </x:c>
      <x:c r="K207" s="17" t="str">
        <x:v>15.3 task 2</x:v>
      </x:c>
      <x:c r="L207" s="21" t="str">
        <x:v>Story-labeled commit 5d205315 contains delivery and focused test/test-result files: feat: implement story 15.3 cmmc readiness report</x:v>
      </x:c>
      <x:c r="M207" s="17" t="str">
        <x:v>Implementation commit + focused test artifacts</x:v>
      </x:c>
      <x:c r="N207" s="21" t="str">
        <x:v>git commit 5d205315fe89b2498016e0523708488b5d364532; /Users/devups/Development/CodexProjects/Gccs/docs/development-story-test-cases.md</x:v>
      </x:c>
      <x:c r="O207" s="19" t="n">
        <x:v>46188.79059027778</x:v>
      </x:c>
      <x:c r="P207" s="21" t="str">
        <x:v>4 acceptance criteria; 4 TC references; implementation=yes; smoke=yes; automated=no; Story-level regression template</x:v>
      </x:c>
      <x:c r="Q207" s="21" t="str"/>
      <x:c r="R207" s="21" t="str">
        <x:v>Retain traceability; rerun focused verification if the affected boundary changes.</x:v>
      </x:c>
      <x:c r="S207" s="18" t="str"/>
      <x:c r="T207" s="20"/>
      <x:c r="U207" s="21" t="str">
        <x:v>Completion is based on immutable repository evidence; tests were not rerun and current working-tree drift was not re-certified in this reporting-only task.</x:v>
      </x:c>
      <x:c r="V207" s="1"/>
    </x:row>
    <x:row r="208" ht="46" customHeight="1">
      <x:c r="A208" s="17" t="n">
        <x:v>204</x:v>
      </x:c>
      <x:c r="B208" s="17" t="str">
        <x:v>Phase 1</x:v>
      </x:c>
      <x:c r="C208" s="17" t="str">
        <x:v>15.3</x:v>
      </x:c>
      <x:c r="D208" s="21" t="str">
        <x:v>CMMC Readiness Report</x:v>
      </x:c>
      <x:c r="E208" s="17" t="n">
        <x:v>4</x:v>
      </x:c>
      <x:c r="F208" s="21" t="str">
        <x:v>Add report snapshot history.</x:v>
      </x:c>
      <x:c r="G208" s="17" t="str">
        <x:v>Software implementation</x:v>
      </x:c>
      <x:c r="H208" s="17" t="str">
        <x:v>Planned</x:v>
      </x:c>
      <x:c r="I208" s="18" t="str">
        <x:v>Completed</x:v>
      </x:c>
      <x:c r="J208" s="17" t="str">
        <x:f>IF(OR(I208="Completed",I208="Not Applicable"),"No","Yes")</x:f>
        <x:v>No</x:v>
      </x:c>
      <x:c r="K208" s="17" t="str">
        <x:v>15.3 task 3</x:v>
      </x:c>
      <x:c r="L208" s="21" t="str">
        <x:v>Story-labeled commit 5d205315 contains delivery and focused test/test-result files: feat: implement story 15.3 cmmc readiness report</x:v>
      </x:c>
      <x:c r="M208" s="17" t="str">
        <x:v>Implementation commit + focused test artifacts</x:v>
      </x:c>
      <x:c r="N208" s="21" t="str">
        <x:v>git commit 5d205315fe89b2498016e0523708488b5d364532; /Users/devups/Development/CodexProjects/Gccs/docs/development-story-test-cases.md</x:v>
      </x:c>
      <x:c r="O208" s="19" t="n">
        <x:v>46188.79059027778</x:v>
      </x:c>
      <x:c r="P208" s="21" t="str">
        <x:v>4 acceptance criteria; 4 TC references; implementation=yes; smoke=yes; automated=no; Story-level regression template</x:v>
      </x:c>
      <x:c r="Q208" s="21" t="str"/>
      <x:c r="R208" s="21" t="str">
        <x:v>Retain traceability; rerun focused verification if the affected boundary changes.</x:v>
      </x:c>
      <x:c r="S208" s="18" t="str"/>
      <x:c r="T208" s="20"/>
      <x:c r="U208" s="21" t="str">
        <x:v>Completion is based on immutable repository evidence; tests were not rerun and current working-tree drift was not re-certified in this reporting-only task.</x:v>
      </x:c>
      <x:c r="V208" s="1"/>
    </x:row>
    <x:row r="209" ht="46" customHeight="1">
      <x:c r="A209" s="17" t="n">
        <x:v>205</x:v>
      </x:c>
      <x:c r="B209" s="17" t="str">
        <x:v>Phase 1</x:v>
      </x:c>
      <x:c r="C209" s="17" t="str">
        <x:v>15.4</x:v>
      </x:c>
      <x:c r="D209" s="21" t="str">
        <x:v>Evidence Package</x:v>
      </x:c>
      <x:c r="E209" s="17" t="n">
        <x:v>1</x:v>
      </x:c>
      <x:c r="F209" s="21" t="str">
        <x:v>Allow user to select obligations, contract, CMMC controls, or subcontractor scope.</x:v>
      </x:c>
      <x:c r="G209" s="17" t="str">
        <x:v>Software implementation</x:v>
      </x:c>
      <x:c r="H209" s="17" t="str">
        <x:v>Planned</x:v>
      </x:c>
      <x:c r="I209" s="18" t="str">
        <x:v>Completed</x:v>
      </x:c>
      <x:c r="J209" s="17" t="str">
        <x:f>IF(OR(I209="Completed",I209="Not Applicable"),"No","Yes")</x:f>
        <x:v>No</x:v>
      </x:c>
      <x:c r="K209" s="17" t="str">
        <x:v>15.3</x:v>
      </x:c>
      <x:c r="L209" s="21" t="str">
        <x:v>Story-labeled commit a4c57798 contains delivery and focused test/test-result files: feat: implement story 15.4 evidence package</x:v>
      </x:c>
      <x:c r="M209" s="17" t="str">
        <x:v>Implementation commit + focused test artifacts</x:v>
      </x:c>
      <x:c r="N209" s="21" t="str">
        <x:v>git commit a4c577984e776c411786f6d5ba1b50aefd93436c; /Users/devups/Development/CodexProjects/Gccs/docs/development-story-test-cases.md</x:v>
      </x:c>
      <x:c r="O209" s="19" t="n">
        <x:v>46188.79645833333</x:v>
      </x:c>
      <x:c r="P209" s="21" t="str">
        <x:v>4 acceptance criteria; 4 TC references; implementation=yes; smoke=yes; automated=no; Story-level regression template</x:v>
      </x:c>
      <x:c r="Q209" s="21" t="str"/>
      <x:c r="R209" s="21" t="str">
        <x:v>Retain traceability; rerun focused verification if the affected boundary changes.</x:v>
      </x:c>
      <x:c r="S209" s="18" t="str"/>
      <x:c r="T209" s="20"/>
      <x:c r="U209" s="21" t="str">
        <x:v>Completion is based on immutable repository evidence; tests were not rerun and current working-tree drift was not re-certified in this reporting-only task.</x:v>
      </x:c>
      <x:c r="V209" s="1"/>
    </x:row>
    <x:row r="210" ht="46" customHeight="1">
      <x:c r="A210" s="17" t="n">
        <x:v>206</x:v>
      </x:c>
      <x:c r="B210" s="17" t="str">
        <x:v>Phase 1</x:v>
      </x:c>
      <x:c r="C210" s="17" t="str">
        <x:v>15.4</x:v>
      </x:c>
      <x:c r="D210" s="21" t="str">
        <x:v>Evidence Package</x:v>
      </x:c>
      <x:c r="E210" s="17" t="n">
        <x:v>2</x:v>
      </x:c>
      <x:c r="F210" s="21" t="str">
        <x:v>Include approved evidence only by default.</x:v>
      </x:c>
      <x:c r="G210" s="17" t="str">
        <x:v>Software implementation</x:v>
      </x:c>
      <x:c r="H210" s="17" t="str">
        <x:v>Planned</x:v>
      </x:c>
      <x:c r="I210" s="18" t="str">
        <x:v>Completed</x:v>
      </x:c>
      <x:c r="J210" s="17" t="str">
        <x:f>IF(OR(I210="Completed",I210="Not Applicable"),"No","Yes")</x:f>
        <x:v>No</x:v>
      </x:c>
      <x:c r="K210" s="17" t="str">
        <x:v>15.4 task 1</x:v>
      </x:c>
      <x:c r="L210" s="21" t="str">
        <x:v>Story-labeled commit a4c57798 contains delivery and focused test/test-result files: feat: implement story 15.4 evidence package</x:v>
      </x:c>
      <x:c r="M210" s="17" t="str">
        <x:v>Implementation commit + focused test artifacts</x:v>
      </x:c>
      <x:c r="N210" s="21" t="str">
        <x:v>git commit a4c577984e776c411786f6d5ba1b50aefd93436c; /Users/devups/Development/CodexProjects/Gccs/docs/development-story-test-cases.md</x:v>
      </x:c>
      <x:c r="O210" s="19" t="n">
        <x:v>46188.79645833333</x:v>
      </x:c>
      <x:c r="P210" s="21" t="str">
        <x:v>4 acceptance criteria; 4 TC references; implementation=yes; smoke=yes; automated=no; Story-level regression template</x:v>
      </x:c>
      <x:c r="Q210" s="21" t="str"/>
      <x:c r="R210" s="21" t="str">
        <x:v>Retain traceability; rerun focused verification if the affected boundary changes.</x:v>
      </x:c>
      <x:c r="S210" s="18" t="str"/>
      <x:c r="T210" s="20"/>
      <x:c r="U210" s="21" t="str">
        <x:v>Completion is based on immutable repository evidence; tests were not rerun and current working-tree drift was not re-certified in this reporting-only task.</x:v>
      </x:c>
      <x:c r="V210" s="1"/>
    </x:row>
    <x:row r="211" ht="46" customHeight="1">
      <x:c r="A211" s="17" t="n">
        <x:v>207</x:v>
      </x:c>
      <x:c r="B211" s="17" t="str">
        <x:v>Phase 1</x:v>
      </x:c>
      <x:c r="C211" s="17" t="str">
        <x:v>15.4</x:v>
      </x:c>
      <x:c r="D211" s="21" t="str">
        <x:v>Evidence Package</x:v>
      </x:c>
      <x:c r="E211" s="17" t="n">
        <x:v>3</x:v>
      </x:c>
      <x:c r="F211" s="21" t="str">
        <x:v>Include metadata manifest.</x:v>
      </x:c>
      <x:c r="G211" s="17" t="str">
        <x:v>Software implementation</x:v>
      </x:c>
      <x:c r="H211" s="17" t="str">
        <x:v>Planned</x:v>
      </x:c>
      <x:c r="I211" s="18" t="str">
        <x:v>Completed</x:v>
      </x:c>
      <x:c r="J211" s="17" t="str">
        <x:f>IF(OR(I211="Completed",I211="Not Applicable"),"No","Yes")</x:f>
        <x:v>No</x:v>
      </x:c>
      <x:c r="K211" s="17" t="str">
        <x:v>15.4 task 2</x:v>
      </x:c>
      <x:c r="L211" s="21" t="str">
        <x:v>Story-labeled commit a4c57798 contains delivery and focused test/test-result files: feat: implement story 15.4 evidence package</x:v>
      </x:c>
      <x:c r="M211" s="17" t="str">
        <x:v>Implementation commit + focused test artifacts</x:v>
      </x:c>
      <x:c r="N211" s="21" t="str">
        <x:v>git commit a4c577984e776c411786f6d5ba1b50aefd93436c; /Users/devups/Development/CodexProjects/Gccs/docs/development-story-test-cases.md</x:v>
      </x:c>
      <x:c r="O211" s="19" t="n">
        <x:v>46188.79645833333</x:v>
      </x:c>
      <x:c r="P211" s="21" t="str">
        <x:v>4 acceptance criteria; 4 TC references; implementation=yes; smoke=yes; automated=no; Story-level regression template</x:v>
      </x:c>
      <x:c r="Q211" s="21" t="str"/>
      <x:c r="R211" s="21" t="str">
        <x:v>Retain traceability; rerun focused verification if the affected boundary changes.</x:v>
      </x:c>
      <x:c r="S211" s="18" t="str"/>
      <x:c r="T211" s="20"/>
      <x:c r="U211" s="21" t="str">
        <x:v>Completion is based on immutable repository evidence; tests were not rerun and current working-tree drift was not re-certified in this reporting-only task.</x:v>
      </x:c>
      <x:c r="V211" s="1"/>
    </x:row>
    <x:row r="212" ht="46" customHeight="1">
      <x:c r="A212" s="17" t="n">
        <x:v>208</x:v>
      </x:c>
      <x:c r="B212" s="17" t="str">
        <x:v>Phase 1</x:v>
      </x:c>
      <x:c r="C212" s="17" t="str">
        <x:v>15.4</x:v>
      </x:c>
      <x:c r="D212" s="21" t="str">
        <x:v>Evidence Package</x:v>
      </x:c>
      <x:c r="E212" s="17" t="n">
        <x:v>4</x:v>
      </x:c>
      <x:c r="F212" s="21" t="str">
        <x:v>Add read-only package view.</x:v>
      </x:c>
      <x:c r="G212" s="17" t="str">
        <x:v>Software implementation</x:v>
      </x:c>
      <x:c r="H212" s="17" t="str">
        <x:v>Planned</x:v>
      </x:c>
      <x:c r="I212" s="18" t="str">
        <x:v>Completed</x:v>
      </x:c>
      <x:c r="J212" s="17" t="str">
        <x:f>IF(OR(I212="Completed",I212="Not Applicable"),"No","Yes")</x:f>
        <x:v>No</x:v>
      </x:c>
      <x:c r="K212" s="17" t="str">
        <x:v>15.4 task 3</x:v>
      </x:c>
      <x:c r="L212" s="21" t="str">
        <x:v>Story-labeled commit a4c57798 contains delivery and focused test/test-result files: feat: implement story 15.4 evidence package</x:v>
      </x:c>
      <x:c r="M212" s="17" t="str">
        <x:v>Implementation commit + focused test artifacts</x:v>
      </x:c>
      <x:c r="N212" s="21" t="str">
        <x:v>git commit a4c577984e776c411786f6d5ba1b50aefd93436c; /Users/devups/Development/CodexProjects/Gccs/docs/development-story-test-cases.md</x:v>
      </x:c>
      <x:c r="O212" s="19" t="n">
        <x:v>46188.79645833333</x:v>
      </x:c>
      <x:c r="P212" s="21" t="str">
        <x:v>4 acceptance criteria; 4 TC references; implementation=yes; smoke=yes; automated=no; Story-level regression template</x:v>
      </x:c>
      <x:c r="Q212" s="21" t="str"/>
      <x:c r="R212" s="21" t="str">
        <x:v>Retain traceability; rerun focused verification if the affected boundary changes.</x:v>
      </x:c>
      <x:c r="S212" s="18" t="str"/>
      <x:c r="T212" s="20"/>
      <x:c r="U212" s="21" t="str">
        <x:v>Completion is based on immutable repository evidence; tests were not rerun and current working-tree drift was not re-certified in this reporting-only task.</x:v>
      </x:c>
      <x:c r="V212" s="1"/>
    </x:row>
    <x:row r="213" ht="46" customHeight="1">
      <x:c r="A213" s="17" t="n">
        <x:v>209</x:v>
      </x:c>
      <x:c r="B213" s="17" t="str">
        <x:v>Phase 1</x:v>
      </x:c>
      <x:c r="C213" s="17" t="str">
        <x:v>15.5</x:v>
      </x:c>
      <x:c r="D213" s="21" t="str">
        <x:v>Subcontractor Compliance Report</x:v>
      </x:c>
      <x:c r="E213" s="17" t="n">
        <x:v>1</x:v>
      </x:c>
      <x:c r="F213" s="21" t="str">
        <x:v>Include subcontractor profile status, flow-down status, CMMC status, insurance expiration, NDA status, evidence requests, and overdue items.</x:v>
      </x:c>
      <x:c r="G213" s="17" t="str">
        <x:v>Software implementation</x:v>
      </x:c>
      <x:c r="H213" s="17" t="str">
        <x:v>Planned</x:v>
      </x:c>
      <x:c r="I213" s="18" t="str">
        <x:v>Completed</x:v>
      </x:c>
      <x:c r="J213" s="17" t="str">
        <x:f>IF(OR(I213="Completed",I213="Not Applicable"),"No","Yes")</x:f>
        <x:v>No</x:v>
      </x:c>
      <x:c r="K213" s="17" t="str">
        <x:v>15.4</x:v>
      </x:c>
      <x:c r="L213" s="21" t="str">
        <x:v>Story-labeled commit 0cdbaa0c contains delivery and focused test/test-result files: feat: implement story 15.5 subcontractor compliance report</x:v>
      </x:c>
      <x:c r="M213" s="17" t="str">
        <x:v>Implementation commit + focused test artifacts</x:v>
      </x:c>
      <x:c r="N213" s="21" t="str">
        <x:v>git commit 0cdbaa0cca6ea0b6b0407a8bc5981917d8900c39; /Users/devups/Development/CodexProjects/Gccs/docs/development-story-test-cases.md</x:v>
      </x:c>
      <x:c r="O213" s="19" t="n">
        <x:v>46188.800787037035</x:v>
      </x:c>
      <x:c r="P213" s="21" t="str">
        <x:v>4 acceptance criteria; 4 TC references; implementation=yes; smoke=yes; automated=no; Story-level regression template</x:v>
      </x:c>
      <x:c r="Q213" s="21" t="str"/>
      <x:c r="R213" s="21" t="str">
        <x:v>Retain traceability; rerun focused verification if the affected boundary changes.</x:v>
      </x:c>
      <x:c r="S213" s="18" t="str"/>
      <x:c r="T213" s="20"/>
      <x:c r="U213" s="21" t="str">
        <x:v>Completion is based on immutable repository evidence; tests were not rerun and current working-tree drift was not re-certified in this reporting-only task.</x:v>
      </x:c>
      <x:c r="V213" s="1"/>
    </x:row>
    <x:row r="214" ht="46" customHeight="1">
      <x:c r="A214" s="17" t="n">
        <x:v>210</x:v>
      </x:c>
      <x:c r="B214" s="17" t="str">
        <x:v>Phase 1</x:v>
      </x:c>
      <x:c r="C214" s="17" t="str">
        <x:v>15.5</x:v>
      </x:c>
      <x:c r="D214" s="21" t="str">
        <x:v>Subcontractor Compliance Report</x:v>
      </x:c>
      <x:c r="E214" s="17" t="n">
        <x:v>2</x:v>
      </x:c>
      <x:c r="F214" s="21" t="str">
        <x:v>Add contract filter.</x:v>
      </x:c>
      <x:c r="G214" s="17" t="str">
        <x:v>Software implementation</x:v>
      </x:c>
      <x:c r="H214" s="17" t="str">
        <x:v>Planned</x:v>
      </x:c>
      <x:c r="I214" s="18" t="str">
        <x:v>Completed</x:v>
      </x:c>
      <x:c r="J214" s="17" t="str">
        <x:f>IF(OR(I214="Completed",I214="Not Applicable"),"No","Yes")</x:f>
        <x:v>No</x:v>
      </x:c>
      <x:c r="K214" s="17" t="str">
        <x:v>15.5 task 1</x:v>
      </x:c>
      <x:c r="L214" s="21" t="str">
        <x:v>Story-labeled commit 0cdbaa0c contains delivery and focused test/test-result files: feat: implement story 15.5 subcontractor compliance report</x:v>
      </x:c>
      <x:c r="M214" s="17" t="str">
        <x:v>Implementation commit + focused test artifacts</x:v>
      </x:c>
      <x:c r="N214" s="21" t="str">
        <x:v>git commit 0cdbaa0cca6ea0b6b0407a8bc5981917d8900c39; /Users/devups/Development/CodexProjects/Gccs/docs/development-story-test-cases.md</x:v>
      </x:c>
      <x:c r="O214" s="19" t="n">
        <x:v>46188.800787037035</x:v>
      </x:c>
      <x:c r="P214" s="21" t="str">
        <x:v>4 acceptance criteria; 4 TC references; implementation=yes; smoke=yes; automated=no; Story-level regression template</x:v>
      </x:c>
      <x:c r="Q214" s="21" t="str"/>
      <x:c r="R214" s="21" t="str">
        <x:v>Retain traceability; rerun focused verification if the affected boundary changes.</x:v>
      </x:c>
      <x:c r="S214" s="18" t="str"/>
      <x:c r="T214" s="20"/>
      <x:c r="U214" s="21" t="str">
        <x:v>Completion is based on immutable repository evidence; tests were not rerun and current working-tree drift was not re-certified in this reporting-only task.</x:v>
      </x:c>
      <x:c r="V214" s="1"/>
    </x:row>
    <x:row r="215" ht="46" customHeight="1">
      <x:c r="A215" s="17" t="n">
        <x:v>211</x:v>
      </x:c>
      <x:c r="B215" s="17" t="str">
        <x:v>Phase 1</x:v>
      </x:c>
      <x:c r="C215" s="17" t="str">
        <x:v>15.5</x:v>
      </x:c>
      <x:c r="D215" s="21" t="str">
        <x:v>Subcontractor Compliance Report</x:v>
      </x:c>
      <x:c r="E215" s="17" t="n">
        <x:v>3</x:v>
      </x:c>
      <x:c r="F215" s="21" t="str">
        <x:v>Add export.</x:v>
      </x:c>
      <x:c r="G215" s="17" t="str">
        <x:v>Software implementation</x:v>
      </x:c>
      <x:c r="H215" s="17" t="str">
        <x:v>Planned</x:v>
      </x:c>
      <x:c r="I215" s="18" t="str">
        <x:v>Completed</x:v>
      </x:c>
      <x:c r="J215" s="17" t="str">
        <x:f>IF(OR(I215="Completed",I215="Not Applicable"),"No","Yes")</x:f>
        <x:v>No</x:v>
      </x:c>
      <x:c r="K215" s="17" t="str">
        <x:v>15.5 task 2</x:v>
      </x:c>
      <x:c r="L215" s="21" t="str">
        <x:v>Story-labeled commit 0cdbaa0c contains delivery and focused test/test-result files: feat: implement story 15.5 subcontractor compliance report</x:v>
      </x:c>
      <x:c r="M215" s="17" t="str">
        <x:v>Implementation commit + focused test artifacts</x:v>
      </x:c>
      <x:c r="N215" s="21" t="str">
        <x:v>git commit 0cdbaa0cca6ea0b6b0407a8bc5981917d8900c39; /Users/devups/Development/CodexProjects/Gccs/docs/development-story-test-cases.md</x:v>
      </x:c>
      <x:c r="O215" s="19" t="n">
        <x:v>46188.800787037035</x:v>
      </x:c>
      <x:c r="P215" s="21" t="str">
        <x:v>4 acceptance criteria; 4 TC references; implementation=yes; smoke=yes; automated=no; Story-level regression template</x:v>
      </x:c>
      <x:c r="Q215" s="21" t="str"/>
      <x:c r="R215" s="21" t="str">
        <x:v>Retain traceability; rerun focused verification if the affected boundary changes.</x:v>
      </x:c>
      <x:c r="S215" s="18" t="str"/>
      <x:c r="T215" s="20"/>
      <x:c r="U215" s="21" t="str">
        <x:v>Completion is based on immutable repository evidence; tests were not rerun and current working-tree drift was not re-certified in this reporting-only task.</x:v>
      </x:c>
      <x:c r="V215" s="1"/>
    </x:row>
    <x:row r="216" ht="46" customHeight="1">
      <x:c r="A216" s="17" t="n">
        <x:v>212</x:v>
      </x:c>
      <x:c r="B216" s="17" t="str">
        <x:v>Phase 1</x:v>
      </x:c>
      <x:c r="C216" s="17" t="str">
        <x:v>15.5</x:v>
      </x:c>
      <x:c r="D216" s="21" t="str">
        <x:v>Subcontractor Compliance Report</x:v>
      </x:c>
      <x:c r="E216" s="17" t="n">
        <x:v>4</x:v>
      </x:c>
      <x:c r="F216" s="21" t="str">
        <x:v>Add risk summary.</x:v>
      </x:c>
      <x:c r="G216" s="17" t="str">
        <x:v>Software implementation</x:v>
      </x:c>
      <x:c r="H216" s="17" t="str">
        <x:v>Planned</x:v>
      </x:c>
      <x:c r="I216" s="18" t="str">
        <x:v>Completed</x:v>
      </x:c>
      <x:c r="J216" s="17" t="str">
        <x:f>IF(OR(I216="Completed",I216="Not Applicable"),"No","Yes")</x:f>
        <x:v>No</x:v>
      </x:c>
      <x:c r="K216" s="17" t="str">
        <x:v>15.5 task 3</x:v>
      </x:c>
      <x:c r="L216" s="21" t="str">
        <x:v>Story-labeled commit 0cdbaa0c contains delivery and focused test/test-result files: feat: implement story 15.5 subcontractor compliance report</x:v>
      </x:c>
      <x:c r="M216" s="17" t="str">
        <x:v>Implementation commit + focused test artifacts</x:v>
      </x:c>
      <x:c r="N216" s="21" t="str">
        <x:v>git commit 0cdbaa0cca6ea0b6b0407a8bc5981917d8900c39; /Users/devups/Development/CodexProjects/Gccs/docs/development-story-test-cases.md</x:v>
      </x:c>
      <x:c r="O216" s="19" t="n">
        <x:v>46188.800787037035</x:v>
      </x:c>
      <x:c r="P216" s="21" t="str">
        <x:v>4 acceptance criteria; 4 TC references; implementation=yes; smoke=yes; automated=no; Story-level regression template</x:v>
      </x:c>
      <x:c r="Q216" s="21" t="str"/>
      <x:c r="R216" s="21" t="str">
        <x:v>Retain traceability; rerun focused verification if the affected boundary changes.</x:v>
      </x:c>
      <x:c r="S216" s="18" t="str"/>
      <x:c r="T216" s="20"/>
      <x:c r="U216" s="21" t="str">
        <x:v>Completion is based on immutable repository evidence; tests were not rerun and current working-tree drift was not re-certified in this reporting-only task.</x:v>
      </x:c>
      <x:c r="V216" s="1"/>
    </x:row>
    <x:row r="217" ht="46" customHeight="1">
      <x:c r="A217" s="17" t="n">
        <x:v>213</x:v>
      </x:c>
      <x:c r="B217" s="17" t="str">
        <x:v>Phase 1</x:v>
      </x:c>
      <x:c r="C217" s="17" t="str">
        <x:v>16.1</x:v>
      </x:c>
      <x:c r="D217" s="21" t="str">
        <x:v>Notification Preferences</x:v>
      </x:c>
      <x:c r="E217" s="17" t="n">
        <x:v>1</x:v>
      </x:c>
      <x:c r="F217" s="21" t="str">
        <x:v>Add notification preference model.</x:v>
      </x:c>
      <x:c r="G217" s="17" t="str">
        <x:v>Software implementation</x:v>
      </x:c>
      <x:c r="H217" s="17" t="str">
        <x:v>Planned</x:v>
      </x:c>
      <x:c r="I217" s="18" t="str">
        <x:v>Completed</x:v>
      </x:c>
      <x:c r="J217" s="17" t="str">
        <x:f>IF(OR(I217="Completed",I217="Not Applicable"),"No","Yes")</x:f>
        <x:v>No</x:v>
      </x:c>
      <x:c r="K217" s="17" t="str">
        <x:v>15.5</x:v>
      </x:c>
      <x:c r="L217" s="21" t="str">
        <x:v>Story-labeled commit 5a229a6a contains delivery and focused test/test-result files: feat: implement story 16.1 notification preferences</x:v>
      </x:c>
      <x:c r="M217" s="17" t="str">
        <x:v>Implementation commit + focused test artifacts</x:v>
      </x:c>
      <x:c r="N217" s="21" t="str">
        <x:v>git commit 5a229a6a6c6120b3ee4b42c598326f8b3a55e9ea; /Users/devups/Development/CodexProjects/Gccs/docs/development-story-test-cases.md</x:v>
      </x:c>
      <x:c r="O217" s="19" t="n">
        <x:v>46188.80564814815</x:v>
      </x:c>
      <x:c r="P217" s="21" t="str">
        <x:v>4 acceptance criteria; 4 TC references; implementation=yes; smoke=yes; automated=no; Story-level regression template</x:v>
      </x:c>
      <x:c r="Q217" s="21" t="str"/>
      <x:c r="R217" s="21" t="str">
        <x:v>Retain traceability; rerun focused verification if the affected boundary changes.</x:v>
      </x:c>
      <x:c r="S217" s="18" t="str"/>
      <x:c r="T217" s="20"/>
      <x:c r="U217" s="21" t="str">
        <x:v>Completion is based on immutable repository evidence; tests were not rerun and current working-tree drift was not re-certified in this reporting-only task.</x:v>
      </x:c>
      <x:c r="V217" s="1"/>
    </x:row>
    <x:row r="218" ht="46" customHeight="1">
      <x:c r="A218" s="17" t="n">
        <x:v>214</x:v>
      </x:c>
      <x:c r="B218" s="17" t="str">
        <x:v>Phase 1</x:v>
      </x:c>
      <x:c r="C218" s="17" t="str">
        <x:v>16.1</x:v>
      </x:c>
      <x:c r="D218" s="21" t="str">
        <x:v>Notification Preferences</x:v>
      </x:c>
      <x:c r="E218" s="17" t="n">
        <x:v>2</x:v>
      </x:c>
      <x:c r="F218" s="21" t="str">
        <x:v>Support preferences for assignments, due soon, overdue, evidence requests, certification renewals, and CMMC affirmation.</x:v>
      </x:c>
      <x:c r="G218" s="17" t="str">
        <x:v>Software implementation</x:v>
      </x:c>
      <x:c r="H218" s="17" t="str">
        <x:v>Planned</x:v>
      </x:c>
      <x:c r="I218" s="18" t="str">
        <x:v>Completed</x:v>
      </x:c>
      <x:c r="J218" s="17" t="str">
        <x:f>IF(OR(I218="Completed",I218="Not Applicable"),"No","Yes")</x:f>
        <x:v>No</x:v>
      </x:c>
      <x:c r="K218" s="17" t="str">
        <x:v>16.1 task 1</x:v>
      </x:c>
      <x:c r="L218" s="21" t="str">
        <x:v>Story-labeled commit 5a229a6a contains delivery and focused test/test-result files: feat: implement story 16.1 notification preferences</x:v>
      </x:c>
      <x:c r="M218" s="17" t="str">
        <x:v>Implementation commit + focused test artifacts</x:v>
      </x:c>
      <x:c r="N218" s="21" t="str">
        <x:v>git commit 5a229a6a6c6120b3ee4b42c598326f8b3a55e9ea; /Users/devups/Development/CodexProjects/Gccs/docs/development-story-test-cases.md</x:v>
      </x:c>
      <x:c r="O218" s="19" t="n">
        <x:v>46188.80564814815</x:v>
      </x:c>
      <x:c r="P218" s="21" t="str">
        <x:v>4 acceptance criteria; 4 TC references; implementation=yes; smoke=yes; automated=no; Story-level regression template</x:v>
      </x:c>
      <x:c r="Q218" s="21" t="str"/>
      <x:c r="R218" s="21" t="str">
        <x:v>Retain traceability; rerun focused verification if the affected boundary changes.</x:v>
      </x:c>
      <x:c r="S218" s="18" t="str"/>
      <x:c r="T218" s="20"/>
      <x:c r="U218" s="21" t="str">
        <x:v>Completion is based on immutable repository evidence; tests were not rerun and current working-tree drift was not re-certified in this reporting-only task.</x:v>
      </x:c>
      <x:c r="V218" s="1"/>
    </x:row>
    <x:row r="219" ht="46" customHeight="1">
      <x:c r="A219" s="17" t="n">
        <x:v>215</x:v>
      </x:c>
      <x:c r="B219" s="17" t="str">
        <x:v>Phase 1</x:v>
      </x:c>
      <x:c r="C219" s="17" t="str">
        <x:v>16.1</x:v>
      </x:c>
      <x:c r="D219" s="21" t="str">
        <x:v>Notification Preferences</x:v>
      </x:c>
      <x:c r="E219" s="17" t="n">
        <x:v>3</x:v>
      </x:c>
      <x:c r="F219" s="21" t="str">
        <x:v>Add UI settings.</x:v>
      </x:c>
      <x:c r="G219" s="17" t="str">
        <x:v>Software implementation</x:v>
      </x:c>
      <x:c r="H219" s="17" t="str">
        <x:v>Planned</x:v>
      </x:c>
      <x:c r="I219" s="18" t="str">
        <x:v>Completed</x:v>
      </x:c>
      <x:c r="J219" s="17" t="str">
        <x:f>IF(OR(I219="Completed",I219="Not Applicable"),"No","Yes")</x:f>
        <x:v>No</x:v>
      </x:c>
      <x:c r="K219" s="17" t="str">
        <x:v>16.1 task 2</x:v>
      </x:c>
      <x:c r="L219" s="21" t="str">
        <x:v>Story-labeled commit 5a229a6a contains delivery and focused test/test-result files: feat: implement story 16.1 notification preferences</x:v>
      </x:c>
      <x:c r="M219" s="17" t="str">
        <x:v>Implementation commit + focused test artifacts</x:v>
      </x:c>
      <x:c r="N219" s="21" t="str">
        <x:v>git commit 5a229a6a6c6120b3ee4b42c598326f8b3a55e9ea; /Users/devups/Development/CodexProjects/Gccs/docs/development-story-test-cases.md</x:v>
      </x:c>
      <x:c r="O219" s="19" t="n">
        <x:v>46188.80564814815</x:v>
      </x:c>
      <x:c r="P219" s="21" t="str">
        <x:v>4 acceptance criteria; 4 TC references; implementation=yes; smoke=yes; automated=no; Story-level regression template</x:v>
      </x:c>
      <x:c r="Q219" s="21" t="str"/>
      <x:c r="R219" s="21" t="str">
        <x:v>Retain traceability; rerun focused verification if the affected boundary changes.</x:v>
      </x:c>
      <x:c r="S219" s="18" t="str"/>
      <x:c r="T219" s="20"/>
      <x:c r="U219" s="21" t="str">
        <x:v>Completion is based on immutable repository evidence; tests were not rerun and current working-tree drift was not re-certified in this reporting-only task.</x:v>
      </x:c>
      <x:c r="V219" s="1"/>
    </x:row>
    <x:row r="220" ht="46" customHeight="1">
      <x:c r="A220" s="17" t="n">
        <x:v>216</x:v>
      </x:c>
      <x:c r="B220" s="17" t="str">
        <x:v>Phase 1</x:v>
      </x:c>
      <x:c r="C220" s="17" t="str">
        <x:v>16.1</x:v>
      </x:c>
      <x:c r="D220" s="21" t="str">
        <x:v>Notification Preferences</x:v>
      </x:c>
      <x:c r="E220" s="17" t="n">
        <x:v>4</x:v>
      </x:c>
      <x:c r="F220" s="21" t="str">
        <x:v>Add defaults by role.</x:v>
      </x:c>
      <x:c r="G220" s="17" t="str">
        <x:v>Software implementation</x:v>
      </x:c>
      <x:c r="H220" s="17" t="str">
        <x:v>Planned</x:v>
      </x:c>
      <x:c r="I220" s="18" t="str">
        <x:v>Completed</x:v>
      </x:c>
      <x:c r="J220" s="17" t="str">
        <x:f>IF(OR(I220="Completed",I220="Not Applicable"),"No","Yes")</x:f>
        <x:v>No</x:v>
      </x:c>
      <x:c r="K220" s="17" t="str">
        <x:v>16.1 task 3</x:v>
      </x:c>
      <x:c r="L220" s="21" t="str">
        <x:v>Story-labeled commit 5a229a6a contains delivery and focused test/test-result files: feat: implement story 16.1 notification preferences</x:v>
      </x:c>
      <x:c r="M220" s="17" t="str">
        <x:v>Implementation commit + focused test artifacts</x:v>
      </x:c>
      <x:c r="N220" s="21" t="str">
        <x:v>git commit 5a229a6a6c6120b3ee4b42c598326f8b3a55e9ea; /Users/devups/Development/CodexProjects/Gccs/docs/development-story-test-cases.md</x:v>
      </x:c>
      <x:c r="O220" s="19" t="n">
        <x:v>46188.80564814815</x:v>
      </x:c>
      <x:c r="P220" s="21" t="str">
        <x:v>4 acceptance criteria; 4 TC references; implementation=yes; smoke=yes; automated=no; Story-level regression template</x:v>
      </x:c>
      <x:c r="Q220" s="21" t="str"/>
      <x:c r="R220" s="21" t="str">
        <x:v>Retain traceability; rerun focused verification if the affected boundary changes.</x:v>
      </x:c>
      <x:c r="S220" s="18" t="str"/>
      <x:c r="T220" s="20"/>
      <x:c r="U220" s="21" t="str">
        <x:v>Completion is based on immutable repository evidence; tests were not rerun and current working-tree drift was not re-certified in this reporting-only task.</x:v>
      </x:c>
      <x:c r="V220" s="1"/>
    </x:row>
    <x:row r="221" ht="46" customHeight="1">
      <x:c r="A221" s="17" t="n">
        <x:v>217</x:v>
      </x:c>
      <x:c r="B221" s="17" t="str">
        <x:v>Phase 1</x:v>
      </x:c>
      <x:c r="C221" s="17" t="str">
        <x:v>16.2</x:v>
      </x:c>
      <x:c r="D221" s="21" t="str">
        <x:v>Due-Date Reminders</x:v>
      </x:c>
      <x:c r="E221" s="17" t="n">
        <x:v>1</x:v>
      </x:c>
      <x:c r="F221" s="21" t="str">
        <x:v>Add reminder job.</x:v>
      </x:c>
      <x:c r="G221" s="17" t="str">
        <x:v>Software implementation</x:v>
      </x:c>
      <x:c r="H221" s="17" t="str">
        <x:v>Planned</x:v>
      </x:c>
      <x:c r="I221" s="18" t="str">
        <x:v>Completed</x:v>
      </x:c>
      <x:c r="J221" s="17" t="str">
        <x:f>IF(OR(I221="Completed",I221="Not Applicable"),"No","Yes")</x:f>
        <x:v>No</x:v>
      </x:c>
      <x:c r="K221" s="17" t="str">
        <x:v>16.1</x:v>
      </x:c>
      <x:c r="L221" s="21" t="str">
        <x:v>Story-labeled commit fdc1d1e7 contains delivery and focused test/test-result files: feat: implement story 16.2 due date reminders</x:v>
      </x:c>
      <x:c r="M221" s="17" t="str">
        <x:v>Implementation commit + focused test artifacts</x:v>
      </x:c>
      <x:c r="N221" s="21" t="str">
        <x:v>git commit fdc1d1e7edb0a79c34642560a94cb88cb483d0de; /Users/devups/Development/CodexProjects/Gccs/docs/development-story-test-cases.md</x:v>
      </x:c>
      <x:c r="O221" s="19" t="n">
        <x:v>46188.8091087963</x:v>
      </x:c>
      <x:c r="P221" s="21" t="str">
        <x:v>4 acceptance criteria; 4 TC references; implementation=yes; smoke=yes; automated=no; Story-level regression template</x:v>
      </x:c>
      <x:c r="Q221" s="21" t="str"/>
      <x:c r="R221" s="21" t="str">
        <x:v>Retain traceability; rerun focused verification if the affected boundary changes.</x:v>
      </x:c>
      <x:c r="S221" s="18" t="str"/>
      <x:c r="T221" s="20"/>
      <x:c r="U221" s="21" t="str">
        <x:v>Completion is based on immutable repository evidence; tests were not rerun and current working-tree drift was not re-certified in this reporting-only task.</x:v>
      </x:c>
      <x:c r="V221" s="1"/>
    </x:row>
    <x:row r="222" ht="46" customHeight="1">
      <x:c r="A222" s="17" t="n">
        <x:v>218</x:v>
      </x:c>
      <x:c r="B222" s="17" t="str">
        <x:v>Phase 1</x:v>
      </x:c>
      <x:c r="C222" s="17" t="str">
        <x:v>16.2</x:v>
      </x:c>
      <x:c r="D222" s="21" t="str">
        <x:v>Due-Date Reminders</x:v>
      </x:c>
      <x:c r="E222" s="17" t="n">
        <x:v>2</x:v>
      </x:c>
      <x:c r="F222" s="21" t="str">
        <x:v>Query upcoming and overdue tasks.</x:v>
      </x:c>
      <x:c r="G222" s="17" t="str">
        <x:v>Software implementation</x:v>
      </x:c>
      <x:c r="H222" s="17" t="str">
        <x:v>Planned</x:v>
      </x:c>
      <x:c r="I222" s="18" t="str">
        <x:v>Completed</x:v>
      </x:c>
      <x:c r="J222" s="17" t="str">
        <x:f>IF(OR(I222="Completed",I222="Not Applicable"),"No","Yes")</x:f>
        <x:v>No</x:v>
      </x:c>
      <x:c r="K222" s="17" t="str">
        <x:v>16.2 task 1</x:v>
      </x:c>
      <x:c r="L222" s="21" t="str">
        <x:v>Story-labeled commit fdc1d1e7 contains delivery and focused test/test-result files: feat: implement story 16.2 due date reminders</x:v>
      </x:c>
      <x:c r="M222" s="17" t="str">
        <x:v>Implementation commit + focused test artifacts</x:v>
      </x:c>
      <x:c r="N222" s="21" t="str">
        <x:v>git commit fdc1d1e7edb0a79c34642560a94cb88cb483d0de; /Users/devups/Development/CodexProjects/Gccs/docs/development-story-test-cases.md</x:v>
      </x:c>
      <x:c r="O222" s="19" t="n">
        <x:v>46188.8091087963</x:v>
      </x:c>
      <x:c r="P222" s="21" t="str">
        <x:v>4 acceptance criteria; 4 TC references; implementation=yes; smoke=yes; automated=no; Story-level regression template</x:v>
      </x:c>
      <x:c r="Q222" s="21" t="str"/>
      <x:c r="R222" s="21" t="str">
        <x:v>Retain traceability; rerun focused verification if the affected boundary changes.</x:v>
      </x:c>
      <x:c r="S222" s="18" t="str"/>
      <x:c r="T222" s="20"/>
      <x:c r="U222" s="21" t="str">
        <x:v>Completion is based on immutable repository evidence; tests were not rerun and current working-tree drift was not re-certified in this reporting-only task.</x:v>
      </x:c>
      <x:c r="V222" s="1"/>
    </x:row>
    <x:row r="223" ht="46" customHeight="1">
      <x:c r="A223" s="17" t="n">
        <x:v>219</x:v>
      </x:c>
      <x:c r="B223" s="17" t="str">
        <x:v>Phase 1</x:v>
      </x:c>
      <x:c r="C223" s="17" t="str">
        <x:v>16.2</x:v>
      </x:c>
      <x:c r="D223" s="21" t="str">
        <x:v>Due-Date Reminders</x:v>
      </x:c>
      <x:c r="E223" s="17" t="n">
        <x:v>3</x:v>
      </x:c>
      <x:c r="F223" s="21" t="str">
        <x:v>Send in-app notification and email placeholder.</x:v>
      </x:c>
      <x:c r="G223" s="17" t="str">
        <x:v>Software implementation</x:v>
      </x:c>
      <x:c r="H223" s="17" t="str">
        <x:v>Planned</x:v>
      </x:c>
      <x:c r="I223" s="18" t="str">
        <x:v>Completed</x:v>
      </x:c>
      <x:c r="J223" s="17" t="str">
        <x:f>IF(OR(I223="Completed",I223="Not Applicable"),"No","Yes")</x:f>
        <x:v>No</x:v>
      </x:c>
      <x:c r="K223" s="17" t="str">
        <x:v>16.2 task 2</x:v>
      </x:c>
      <x:c r="L223" s="21" t="str">
        <x:v>Story-labeled commit fdc1d1e7 contains delivery and focused test/test-result files: feat: implement story 16.2 due date reminders</x:v>
      </x:c>
      <x:c r="M223" s="17" t="str">
        <x:v>Implementation commit + focused test artifacts</x:v>
      </x:c>
      <x:c r="N223" s="21" t="str">
        <x:v>git commit fdc1d1e7edb0a79c34642560a94cb88cb483d0de; /Users/devups/Development/CodexProjects/Gccs/docs/development-story-test-cases.md</x:v>
      </x:c>
      <x:c r="O223" s="19" t="n">
        <x:v>46188.8091087963</x:v>
      </x:c>
      <x:c r="P223" s="21" t="str">
        <x:v>4 acceptance criteria; 4 TC references; implementation=yes; smoke=yes; automated=no; Story-level regression template</x:v>
      </x:c>
      <x:c r="Q223" s="21" t="str"/>
      <x:c r="R223" s="21" t="str">
        <x:v>Retain traceability; rerun focused verification if the affected boundary changes.</x:v>
      </x:c>
      <x:c r="S223" s="18" t="str"/>
      <x:c r="T223" s="20"/>
      <x:c r="U223" s="21" t="str">
        <x:v>Completion is based on immutable repository evidence; tests were not rerun and current working-tree drift was not re-certified in this reporting-only task.</x:v>
      </x:c>
      <x:c r="V223" s="1"/>
    </x:row>
    <x:row r="224" ht="46" customHeight="1">
      <x:c r="A224" s="17" t="n">
        <x:v>220</x:v>
      </x:c>
      <x:c r="B224" s="17" t="str">
        <x:v>Phase 1</x:v>
      </x:c>
      <x:c r="C224" s="17" t="str">
        <x:v>16.2</x:v>
      </x:c>
      <x:c r="D224" s="21" t="str">
        <x:v>Due-Date Reminders</x:v>
      </x:c>
      <x:c r="E224" s="17" t="n">
        <x:v>4</x:v>
      </x:c>
      <x:c r="F224" s="21" t="str">
        <x:v>Ensure idempotency.</x:v>
      </x:c>
      <x:c r="G224" s="17" t="str">
        <x:v>Software implementation</x:v>
      </x:c>
      <x:c r="H224" s="17" t="str">
        <x:v>Planned</x:v>
      </x:c>
      <x:c r="I224" s="18" t="str">
        <x:v>Completed</x:v>
      </x:c>
      <x:c r="J224" s="17" t="str">
        <x:f>IF(OR(I224="Completed",I224="Not Applicable"),"No","Yes")</x:f>
        <x:v>No</x:v>
      </x:c>
      <x:c r="K224" s="17" t="str">
        <x:v>16.2 task 3</x:v>
      </x:c>
      <x:c r="L224" s="21" t="str">
        <x:v>Story-labeled commit fdc1d1e7 contains delivery and focused test/test-result files: feat: implement story 16.2 due date reminders</x:v>
      </x:c>
      <x:c r="M224" s="17" t="str">
        <x:v>Implementation commit + focused test artifacts</x:v>
      </x:c>
      <x:c r="N224" s="21" t="str">
        <x:v>git commit fdc1d1e7edb0a79c34642560a94cb88cb483d0de; /Users/devups/Development/CodexProjects/Gccs/docs/development-story-test-cases.md</x:v>
      </x:c>
      <x:c r="O224" s="19" t="n">
        <x:v>46188.8091087963</x:v>
      </x:c>
      <x:c r="P224" s="21" t="str">
        <x:v>4 acceptance criteria; 4 TC references; implementation=yes; smoke=yes; automated=no; Story-level regression template</x:v>
      </x:c>
      <x:c r="Q224" s="21" t="str"/>
      <x:c r="R224" s="21" t="str">
        <x:v>Retain traceability; rerun focused verification if the affected boundary changes.</x:v>
      </x:c>
      <x:c r="S224" s="18" t="str"/>
      <x:c r="T224" s="20"/>
      <x:c r="U224" s="21" t="str">
        <x:v>Completion is based on immutable repository evidence; tests were not rerun and current working-tree drift was not re-certified in this reporting-only task.</x:v>
      </x:c>
      <x:c r="V224" s="1"/>
    </x:row>
    <x:row r="225" ht="46" customHeight="1">
      <x:c r="A225" s="17" t="n">
        <x:v>221</x:v>
      </x:c>
      <x:c r="B225" s="17" t="str">
        <x:v>Phase 1</x:v>
      </x:c>
      <x:c r="C225" s="17" t="str">
        <x:v>16.3</x:v>
      </x:c>
      <x:c r="D225" s="21" t="str">
        <x:v>Assignment Notifications</x:v>
      </x:c>
      <x:c r="E225" s="17" t="n">
        <x:v>1</x:v>
      </x:c>
      <x:c r="F225" s="21" t="str">
        <x:v>Emit notification when task, obligation, POA&amp;M item, or evidence request is assigned.</x:v>
      </x:c>
      <x:c r="G225" s="17" t="str">
        <x:v>Software implementation</x:v>
      </x:c>
      <x:c r="H225" s="17" t="str">
        <x:v>Planned</x:v>
      </x:c>
      <x:c r="I225" s="18" t="str">
        <x:v>Completed</x:v>
      </x:c>
      <x:c r="J225" s="17" t="str">
        <x:f>IF(OR(I225="Completed",I225="Not Applicable"),"No","Yes")</x:f>
        <x:v>No</x:v>
      </x:c>
      <x:c r="K225" s="17" t="str">
        <x:v>16.2</x:v>
      </x:c>
      <x:c r="L225" s="21" t="str">
        <x:v>Story-labeled commit 2ed07a39 contains delivery and focused test/test-result files: feat: implement story 16.3 assignment notifications</x:v>
      </x:c>
      <x:c r="M225" s="17" t="str">
        <x:v>Implementation commit + focused test artifacts</x:v>
      </x:c>
      <x:c r="N225" s="21" t="str">
        <x:v>git commit 2ed07a394419f1968efb525ce2a1a1898b040724; /Users/devups/Development/CodexProjects/Gccs/docs/development-story-test-cases.md</x:v>
      </x:c>
      <x:c r="O225" s="19" t="n">
        <x:v>46188.819872685184</x:v>
      </x:c>
      <x:c r="P225" s="21" t="str">
        <x:v>4 acceptance criteria; 4 TC references; implementation=yes; smoke=yes; automated=no; Story-level regression template</x:v>
      </x:c>
      <x:c r="Q225" s="21" t="str"/>
      <x:c r="R225" s="21" t="str">
        <x:v>Retain traceability; rerun focused verification if the affected boundary changes.</x:v>
      </x:c>
      <x:c r="S225" s="18" t="str"/>
      <x:c r="T225" s="20"/>
      <x:c r="U225" s="21" t="str">
        <x:v>Completion is based on immutable repository evidence; tests were not rerun and current working-tree drift was not re-certified in this reporting-only task.</x:v>
      </x:c>
      <x:c r="V225" s="1"/>
    </x:row>
    <x:row r="226" ht="46" customHeight="1">
      <x:c r="A226" s="17" t="n">
        <x:v>222</x:v>
      </x:c>
      <x:c r="B226" s="17" t="str">
        <x:v>Phase 1</x:v>
      </x:c>
      <x:c r="C226" s="17" t="str">
        <x:v>16.3</x:v>
      </x:c>
      <x:c r="D226" s="21" t="str">
        <x:v>Assignment Notifications</x:v>
      </x:c>
      <x:c r="E226" s="17" t="n">
        <x:v>2</x:v>
      </x:c>
      <x:c r="F226" s="21" t="str">
        <x:v>Add notification center UI.</x:v>
      </x:c>
      <x:c r="G226" s="17" t="str">
        <x:v>Software implementation</x:v>
      </x:c>
      <x:c r="H226" s="17" t="str">
        <x:v>Planned</x:v>
      </x:c>
      <x:c r="I226" s="18" t="str">
        <x:v>Completed</x:v>
      </x:c>
      <x:c r="J226" s="17" t="str">
        <x:f>IF(OR(I226="Completed",I226="Not Applicable"),"No","Yes")</x:f>
        <x:v>No</x:v>
      </x:c>
      <x:c r="K226" s="17" t="str">
        <x:v>16.3 task 1</x:v>
      </x:c>
      <x:c r="L226" s="21" t="str">
        <x:v>Story-labeled commit 2ed07a39 contains delivery and focused test/test-result files: feat: implement story 16.3 assignment notifications</x:v>
      </x:c>
      <x:c r="M226" s="17" t="str">
        <x:v>Implementation commit + focused test artifacts</x:v>
      </x:c>
      <x:c r="N226" s="21" t="str">
        <x:v>git commit 2ed07a394419f1968efb525ce2a1a1898b040724; /Users/devups/Development/CodexProjects/Gccs/docs/development-story-test-cases.md</x:v>
      </x:c>
      <x:c r="O226" s="19" t="n">
        <x:v>46188.819872685184</x:v>
      </x:c>
      <x:c r="P226" s="21" t="str">
        <x:v>4 acceptance criteria; 4 TC references; implementation=yes; smoke=yes; automated=no; Story-level regression template</x:v>
      </x:c>
      <x:c r="Q226" s="21" t="str"/>
      <x:c r="R226" s="21" t="str">
        <x:v>Retain traceability; rerun focused verification if the affected boundary changes.</x:v>
      </x:c>
      <x:c r="S226" s="18" t="str"/>
      <x:c r="T226" s="20"/>
      <x:c r="U226" s="21" t="str">
        <x:v>Completion is based on immutable repository evidence; tests were not rerun and current working-tree drift was not re-certified in this reporting-only task.</x:v>
      </x:c>
      <x:c r="V226" s="1"/>
    </x:row>
    <x:row r="227" ht="46" customHeight="1">
      <x:c r="A227" s="17" t="n">
        <x:v>223</x:v>
      </x:c>
      <x:c r="B227" s="17" t="str">
        <x:v>Phase 1</x:v>
      </x:c>
      <x:c r="C227" s="17" t="str">
        <x:v>16.3</x:v>
      </x:c>
      <x:c r="D227" s="21" t="str">
        <x:v>Assignment Notifications</x:v>
      </x:c>
      <x:c r="E227" s="17" t="n">
        <x:v>3</x:v>
      </x:c>
      <x:c r="F227" s="21" t="str">
        <x:v>Mark notifications as read.</x:v>
      </x:c>
      <x:c r="G227" s="17" t="str">
        <x:v>Software implementation</x:v>
      </x:c>
      <x:c r="H227" s="17" t="str">
        <x:v>Planned</x:v>
      </x:c>
      <x:c r="I227" s="18" t="str">
        <x:v>Completed</x:v>
      </x:c>
      <x:c r="J227" s="17" t="str">
        <x:f>IF(OR(I227="Completed",I227="Not Applicable"),"No","Yes")</x:f>
        <x:v>No</x:v>
      </x:c>
      <x:c r="K227" s="17" t="str">
        <x:v>16.3 task 2</x:v>
      </x:c>
      <x:c r="L227" s="21" t="str">
        <x:v>Story-labeled commit 2ed07a39 contains delivery and focused test/test-result files: feat: implement story 16.3 assignment notifications</x:v>
      </x:c>
      <x:c r="M227" s="17" t="str">
        <x:v>Implementation commit + focused test artifacts</x:v>
      </x:c>
      <x:c r="N227" s="21" t="str">
        <x:v>git commit 2ed07a394419f1968efb525ce2a1a1898b040724; /Users/devups/Development/CodexProjects/Gccs/docs/development-story-test-cases.md</x:v>
      </x:c>
      <x:c r="O227" s="19" t="n">
        <x:v>46188.819872685184</x:v>
      </x:c>
      <x:c r="P227" s="21" t="str">
        <x:v>4 acceptance criteria; 4 TC references; implementation=yes; smoke=yes; automated=no; Story-level regression template</x:v>
      </x:c>
      <x:c r="Q227" s="21" t="str"/>
      <x:c r="R227" s="21" t="str">
        <x:v>Retain traceability; rerun focused verification if the affected boundary changes.</x:v>
      </x:c>
      <x:c r="S227" s="18" t="str"/>
      <x:c r="T227" s="20"/>
      <x:c r="U227" s="21" t="str">
        <x:v>Completion is based on immutable repository evidence; tests were not rerun and current working-tree drift was not re-certified in this reporting-only task.</x:v>
      </x:c>
      <x:c r="V227" s="1"/>
    </x:row>
    <x:row r="228" ht="46" customHeight="1">
      <x:c r="A228" s="17" t="n">
        <x:v>224</x:v>
      </x:c>
      <x:c r="B228" s="17" t="str">
        <x:v>Phase 1</x:v>
      </x:c>
      <x:c r="C228" s="17" t="str">
        <x:v>16.3</x:v>
      </x:c>
      <x:c r="D228" s="21" t="str">
        <x:v>Assignment Notifications</x:v>
      </x:c>
      <x:c r="E228" s="17" t="n">
        <x:v>4</x:v>
      </x:c>
      <x:c r="F228" s="21" t="str">
        <x:v>Add link from notification to source record.</x:v>
      </x:c>
      <x:c r="G228" s="17" t="str">
        <x:v>Software implementation</x:v>
      </x:c>
      <x:c r="H228" s="17" t="str">
        <x:v>Planned</x:v>
      </x:c>
      <x:c r="I228" s="18" t="str">
        <x:v>Completed</x:v>
      </x:c>
      <x:c r="J228" s="17" t="str">
        <x:f>IF(OR(I228="Completed",I228="Not Applicable"),"No","Yes")</x:f>
        <x:v>No</x:v>
      </x:c>
      <x:c r="K228" s="17" t="str">
        <x:v>16.3 task 3</x:v>
      </x:c>
      <x:c r="L228" s="21" t="str">
        <x:v>Story-labeled commit 2ed07a39 contains delivery and focused test/test-result files: feat: implement story 16.3 assignment notifications</x:v>
      </x:c>
      <x:c r="M228" s="17" t="str">
        <x:v>Implementation commit + focused test artifacts</x:v>
      </x:c>
      <x:c r="N228" s="21" t="str">
        <x:v>git commit 2ed07a394419f1968efb525ce2a1a1898b040724; /Users/devups/Development/CodexProjects/Gccs/docs/development-story-test-cases.md</x:v>
      </x:c>
      <x:c r="O228" s="19" t="n">
        <x:v>46188.819872685184</x:v>
      </x:c>
      <x:c r="P228" s="21" t="str">
        <x:v>4 acceptance criteria; 4 TC references; implementation=yes; smoke=yes; automated=no; Story-level regression template</x:v>
      </x:c>
      <x:c r="Q228" s="21" t="str"/>
      <x:c r="R228" s="21" t="str">
        <x:v>Retain traceability; rerun focused verification if the affected boundary changes.</x:v>
      </x:c>
      <x:c r="S228" s="18" t="str"/>
      <x:c r="T228" s="20"/>
      <x:c r="U228" s="21" t="str">
        <x:v>Completion is based on immutable repository evidence; tests were not rerun and current working-tree drift was not re-certified in this reporting-only task.</x:v>
      </x:c>
      <x:c r="V228" s="1"/>
    </x:row>
    <x:row r="229" ht="46" customHeight="1">
      <x:c r="A229" s="17" t="n">
        <x:v>225</x:v>
      </x:c>
      <x:c r="B229" s="17" t="str">
        <x:v>Phase 1</x:v>
      </x:c>
      <x:c r="C229" s="17" t="str">
        <x:v>17.1</x:v>
      </x:c>
      <x:c r="D229" s="21" t="str">
        <x:v>End-To-End Pilot Workflow</x:v>
      </x:c>
      <x:c r="E229" s="17" t="n">
        <x:v>1</x:v>
      </x:c>
      <x:c r="F229" s="21" t="str">
        <x:v>Create test tenant and users for owner, admin, compliance manager, contributor, auditor, and advisor.</x:v>
      </x:c>
      <x:c r="G229" s="17" t="str">
        <x:v>Software implementation</x:v>
      </x:c>
      <x:c r="H229" s="17" t="str">
        <x:v>Planned</x:v>
      </x:c>
      <x:c r="I229" s="18" t="str">
        <x:v>Completed</x:v>
      </x:c>
      <x:c r="J229" s="17" t="str">
        <x:f>IF(OR(I229="Completed",I229="Not Applicable"),"No","Yes")</x:f>
        <x:v>No</x:v>
      </x:c>
      <x:c r="K229" s="17" t="str">
        <x:v>16.3</x:v>
      </x:c>
      <x:c r="L229" s="21" t="str">
        <x:v>Story-labeled commit de65bc3f contains delivery and focused test/test-result files: test: implement story 17.1 pilot workflow</x:v>
      </x:c>
      <x:c r="M229" s="17" t="str">
        <x:v>Implementation commit + focused test artifacts</x:v>
      </x:c>
      <x:c r="N229" s="21" t="str">
        <x:v>git commit de65bc3f3275a7acd11828182831576c7b7ef63f; /Users/devups/Development/CodexProjects/Gccs/docs/development-story-test-cases.md</x:v>
      </x:c>
      <x:c r="O229" s="19" t="n">
        <x:v>46188.82568287037</x:v>
      </x:c>
      <x:c r="P229" s="21" t="str">
        <x:v>4 acceptance criteria; 4 TC references; implementation=yes; smoke=yes; automated=no; Story-level regression template</x:v>
      </x:c>
      <x:c r="Q229" s="21" t="str"/>
      <x:c r="R229" s="21" t="str">
        <x:v>Retain traceability; rerun focused verification if the affected boundary changes.</x:v>
      </x:c>
      <x:c r="S229" s="18" t="str"/>
      <x:c r="T229" s="20"/>
      <x:c r="U229" s="21" t="str">
        <x:v>Completion is based on immutable repository evidence; tests were not rerun and current working-tree drift was not re-certified in this reporting-only task.</x:v>
      </x:c>
      <x:c r="V229" s="1"/>
    </x:row>
    <x:row r="230" ht="46" customHeight="1">
      <x:c r="A230" s="17" t="n">
        <x:v>226</x:v>
      </x:c>
      <x:c r="B230" s="17" t="str">
        <x:v>Phase 1</x:v>
      </x:c>
      <x:c r="C230" s="17" t="str">
        <x:v>17.1</x:v>
      </x:c>
      <x:c r="D230" s="21" t="str">
        <x:v>End-To-End Pilot Workflow</x:v>
      </x:c>
      <x:c r="E230" s="17" t="n">
        <x:v>2</x:v>
      </x:c>
      <x:c r="F230" s="21" t="str">
        <x:v>Run onboarding, company profile, contract intake, clause tagging, obligation dashboard, task calendar, evidence upload, CMMC tracker, subcontractor tracker, reports, and notifications.</x:v>
      </x:c>
      <x:c r="G230" s="17" t="str">
        <x:v>Software implementation</x:v>
      </x:c>
      <x:c r="H230" s="17" t="str">
        <x:v>Planned</x:v>
      </x:c>
      <x:c r="I230" s="18" t="str">
        <x:v>Completed</x:v>
      </x:c>
      <x:c r="J230" s="17" t="str">
        <x:f>IF(OR(I230="Completed",I230="Not Applicable"),"No","Yes")</x:f>
        <x:v>No</x:v>
      </x:c>
      <x:c r="K230" s="17" t="str">
        <x:v>17.1 task 1</x:v>
      </x:c>
      <x:c r="L230" s="21" t="str">
        <x:v>Story-labeled commit de65bc3f contains delivery and focused test/test-result files: test: implement story 17.1 pilot workflow</x:v>
      </x:c>
      <x:c r="M230" s="17" t="str">
        <x:v>Implementation commit + focused test artifacts</x:v>
      </x:c>
      <x:c r="N230" s="21" t="str">
        <x:v>git commit de65bc3f3275a7acd11828182831576c7b7ef63f; /Users/devups/Development/CodexProjects/Gccs/docs/development-story-test-cases.md</x:v>
      </x:c>
      <x:c r="O230" s="19" t="n">
        <x:v>46188.82568287037</x:v>
      </x:c>
      <x:c r="P230" s="21" t="str">
        <x:v>4 acceptance criteria; 4 TC references; implementation=yes; smoke=yes; automated=no; Story-level regression template</x:v>
      </x:c>
      <x:c r="Q230" s="21" t="str"/>
      <x:c r="R230" s="21" t="str">
        <x:v>Retain traceability; rerun focused verification if the affected boundary changes.</x:v>
      </x:c>
      <x:c r="S230" s="18" t="str"/>
      <x:c r="T230" s="20"/>
      <x:c r="U230" s="21" t="str">
        <x:v>Completion is based on immutable repository evidence; tests were not rerun and current working-tree drift was not re-certified in this reporting-only task.</x:v>
      </x:c>
      <x:c r="V230" s="1"/>
    </x:row>
    <x:row r="231" ht="46" customHeight="1">
      <x:c r="A231" s="17" t="n">
        <x:v>227</x:v>
      </x:c>
      <x:c r="B231" s="17" t="str">
        <x:v>Phase 1</x:v>
      </x:c>
      <x:c r="C231" s="17" t="str">
        <x:v>17.1</x:v>
      </x:c>
      <x:c r="D231" s="21" t="str">
        <x:v>End-To-End Pilot Workflow</x:v>
      </x:c>
      <x:c r="E231" s="17" t="n">
        <x:v>3</x:v>
      </x:c>
      <x:c r="F231" s="21" t="str">
        <x:v>Capture gaps and fix release blockers.</x:v>
      </x:c>
      <x:c r="G231" s="17" t="str">
        <x:v>Software implementation</x:v>
      </x:c>
      <x:c r="H231" s="17" t="str">
        <x:v>Planned</x:v>
      </x:c>
      <x:c r="I231" s="18" t="str">
        <x:v>Completed</x:v>
      </x:c>
      <x:c r="J231" s="17" t="str">
        <x:f>IF(OR(I231="Completed",I231="Not Applicable"),"No","Yes")</x:f>
        <x:v>No</x:v>
      </x:c>
      <x:c r="K231" s="17" t="str">
        <x:v>17.1 task 2</x:v>
      </x:c>
      <x:c r="L231" s="21" t="str">
        <x:v>Story-labeled commit de65bc3f contains delivery and focused test/test-result files: test: implement story 17.1 pilot workflow</x:v>
      </x:c>
      <x:c r="M231" s="17" t="str">
        <x:v>Implementation commit + focused test artifacts</x:v>
      </x:c>
      <x:c r="N231" s="21" t="str">
        <x:v>git commit de65bc3f3275a7acd11828182831576c7b7ef63f; /Users/devups/Development/CodexProjects/Gccs/docs/development-story-test-cases.md</x:v>
      </x:c>
      <x:c r="O231" s="19" t="n">
        <x:v>46188.82568287037</x:v>
      </x:c>
      <x:c r="P231" s="21" t="str">
        <x:v>4 acceptance criteria; 4 TC references; implementation=yes; smoke=yes; automated=no; Story-level regression template</x:v>
      </x:c>
      <x:c r="Q231" s="21" t="str"/>
      <x:c r="R231" s="21" t="str">
        <x:v>Retain traceability; rerun focused verification if the affected boundary changes.</x:v>
      </x:c>
      <x:c r="S231" s="18" t="str"/>
      <x:c r="T231" s="20"/>
      <x:c r="U231" s="21" t="str">
        <x:v>Completion is based on immutable repository evidence; tests were not rerun and current working-tree drift was not re-certified in this reporting-only task.</x:v>
      </x:c>
      <x:c r="V231" s="1"/>
    </x:row>
    <x:row r="232" ht="46" customHeight="1">
      <x:c r="A232" s="17" t="n">
        <x:v>228</x:v>
      </x:c>
      <x:c r="B232" s="17" t="str">
        <x:v>Phase 1</x:v>
      </x:c>
      <x:c r="C232" s="17" t="str">
        <x:v>17.1</x:v>
      </x:c>
      <x:c r="D232" s="21" t="str">
        <x:v>End-To-End Pilot Workflow</x:v>
      </x:c>
      <x:c r="E232" s="17" t="n">
        <x:v>4</x:v>
      </x:c>
      <x:c r="F232" s="21" t="str">
        <x:v>Add regression tests for the happy path.</x:v>
      </x:c>
      <x:c r="G232" s="17" t="str">
        <x:v>Software implementation</x:v>
      </x:c>
      <x:c r="H232" s="17" t="str">
        <x:v>Planned</x:v>
      </x:c>
      <x:c r="I232" s="18" t="str">
        <x:v>Completed</x:v>
      </x:c>
      <x:c r="J232" s="17" t="str">
        <x:f>IF(OR(I232="Completed",I232="Not Applicable"),"No","Yes")</x:f>
        <x:v>No</x:v>
      </x:c>
      <x:c r="K232" s="17" t="str">
        <x:v>17.1 task 3</x:v>
      </x:c>
      <x:c r="L232" s="21" t="str">
        <x:v>Story-labeled commit de65bc3f contains delivery and focused test/test-result files: test: implement story 17.1 pilot workflow</x:v>
      </x:c>
      <x:c r="M232" s="17" t="str">
        <x:v>Implementation commit + focused test artifacts</x:v>
      </x:c>
      <x:c r="N232" s="21" t="str">
        <x:v>git commit de65bc3f3275a7acd11828182831576c7b7ef63f; /Users/devups/Development/CodexProjects/Gccs/docs/development-story-test-cases.md</x:v>
      </x:c>
      <x:c r="O232" s="19" t="n">
        <x:v>46188.82568287037</x:v>
      </x:c>
      <x:c r="P232" s="21" t="str">
        <x:v>4 acceptance criteria; 4 TC references; implementation=yes; smoke=yes; automated=no; Story-level regression template</x:v>
      </x:c>
      <x:c r="Q232" s="21" t="str"/>
      <x:c r="R232" s="21" t="str">
        <x:v>Retain traceability; rerun focused verification if the affected boundary changes.</x:v>
      </x:c>
      <x:c r="S232" s="18" t="str"/>
      <x:c r="T232" s="20"/>
      <x:c r="U232" s="21" t="str">
        <x:v>Completion is based on immutable repository evidence; tests were not rerun and current working-tree drift was not re-certified in this reporting-only task.</x:v>
      </x:c>
      <x:c r="V232" s="1"/>
    </x:row>
    <x:row r="233" ht="46" customHeight="1">
      <x:c r="A233" s="17" t="n">
        <x:v>229</x:v>
      </x:c>
      <x:c r="B233" s="17" t="str">
        <x:v>Phase 1</x:v>
      </x:c>
      <x:c r="C233" s="17" t="str">
        <x:v>17.2</x:v>
      </x:c>
      <x:c r="D233" s="21" t="str">
        <x:v>Security And Tenant Isolation Verification</x:v>
      </x:c>
      <x:c r="E233" s="17" t="n">
        <x:v>1</x:v>
      </x:c>
      <x:c r="F233" s="21" t="str">
        <x:v>Add automated tests for cross-tenant access attempts.</x:v>
      </x:c>
      <x:c r="G233" s="17" t="str">
        <x:v>Software implementation</x:v>
      </x:c>
      <x:c r="H233" s="17" t="str">
        <x:v>Planned</x:v>
      </x:c>
      <x:c r="I233" s="18" t="str">
        <x:v>Completed</x:v>
      </x:c>
      <x:c r="J233" s="17" t="str">
        <x:f>IF(OR(I233="Completed",I233="Not Applicable"),"No","Yes")</x:f>
        <x:v>No</x:v>
      </x:c>
      <x:c r="K233" s="17" t="str">
        <x:v>17.1</x:v>
      </x:c>
      <x:c r="L233" s="21" t="str">
        <x:v>Story-labeled commit 1a62a4dd contains delivery and focused test/test-result files: test: implement story 17.2 security isolation verification</x:v>
      </x:c>
      <x:c r="M233" s="17" t="str">
        <x:v>Implementation commit + focused test artifacts</x:v>
      </x:c>
      <x:c r="N233" s="21" t="str">
        <x:v>git commit 1a62a4ddcf825180bcd53ef5e83587053b4c84e0; /Users/devups/Development/CodexProjects/Gccs/docs/development-story-test-cases.md</x:v>
      </x:c>
      <x:c r="O233" s="19" t="n">
        <x:v>46188.832141203704</x:v>
      </x:c>
      <x:c r="P233" s="21" t="str">
        <x:v>4 acceptance criteria; 4 TC references; implementation=yes; smoke=yes; automated=no; Story-level regression template</x:v>
      </x:c>
      <x:c r="Q233" s="21" t="str"/>
      <x:c r="R233" s="21" t="str">
        <x:v>Retain traceability; rerun focused verification if the affected boundary changes.</x:v>
      </x:c>
      <x:c r="S233" s="18" t="str"/>
      <x:c r="T233" s="20"/>
      <x:c r="U233" s="21" t="str">
        <x:v>Completion is based on immutable repository evidence; tests were not rerun and current working-tree drift was not re-certified in this reporting-only task.</x:v>
      </x:c>
      <x:c r="V233" s="1"/>
    </x:row>
    <x:row r="234" ht="46" customHeight="1">
      <x:c r="A234" s="17" t="n">
        <x:v>230</x:v>
      </x:c>
      <x:c r="B234" s="17" t="str">
        <x:v>Phase 1</x:v>
      </x:c>
      <x:c r="C234" s="17" t="str">
        <x:v>17.2</x:v>
      </x:c>
      <x:c r="D234" s="21" t="str">
        <x:v>Security And Tenant Isolation Verification</x:v>
      </x:c>
      <x:c r="E234" s="17" t="n">
        <x:v>2</x:v>
      </x:c>
      <x:c r="F234" s="21" t="str">
        <x:v>Add tests for direct API calls that bypass hidden UI controls.</x:v>
      </x:c>
      <x:c r="G234" s="17" t="str">
        <x:v>Software implementation</x:v>
      </x:c>
      <x:c r="H234" s="17" t="str">
        <x:v>Planned</x:v>
      </x:c>
      <x:c r="I234" s="18" t="str">
        <x:v>Completed</x:v>
      </x:c>
      <x:c r="J234" s="17" t="str">
        <x:f>IF(OR(I234="Completed",I234="Not Applicable"),"No","Yes")</x:f>
        <x:v>No</x:v>
      </x:c>
      <x:c r="K234" s="17" t="str">
        <x:v>17.2 task 1</x:v>
      </x:c>
      <x:c r="L234" s="21" t="str">
        <x:v>Story-labeled commit 1a62a4dd contains delivery and focused test/test-result files: test: implement story 17.2 security isolation verification</x:v>
      </x:c>
      <x:c r="M234" s="17" t="str">
        <x:v>Implementation commit + focused test artifacts</x:v>
      </x:c>
      <x:c r="N234" s="21" t="str">
        <x:v>git commit 1a62a4ddcf825180bcd53ef5e83587053b4c84e0; /Users/devups/Development/CodexProjects/Gccs/docs/development-story-test-cases.md</x:v>
      </x:c>
      <x:c r="O234" s="19" t="n">
        <x:v>46188.832141203704</x:v>
      </x:c>
      <x:c r="P234" s="21" t="str">
        <x:v>4 acceptance criteria; 4 TC references; implementation=yes; smoke=yes; automated=no; Story-level regression template</x:v>
      </x:c>
      <x:c r="Q234" s="21" t="str"/>
      <x:c r="R234" s="21" t="str">
        <x:v>Retain traceability; rerun focused verification if the affected boundary changes.</x:v>
      </x:c>
      <x:c r="S234" s="18" t="str"/>
      <x:c r="T234" s="20"/>
      <x:c r="U234" s="21" t="str">
        <x:v>Completion is based on immutable repository evidence; tests were not rerun and current working-tree drift was not re-certified in this reporting-only task.</x:v>
      </x:c>
      <x:c r="V234" s="1"/>
    </x:row>
    <x:row r="235" ht="46" customHeight="1">
      <x:c r="A235" s="17" t="n">
        <x:v>231</x:v>
      </x:c>
      <x:c r="B235" s="17" t="str">
        <x:v>Phase 1</x:v>
      </x:c>
      <x:c r="C235" s="17" t="str">
        <x:v>17.2</x:v>
      </x:c>
      <x:c r="D235" s="21" t="str">
        <x:v>Security And Tenant Isolation Verification</x:v>
      </x:c>
      <x:c r="E235" s="17" t="n">
        <x:v>3</x:v>
      </x:c>
      <x:c r="F235" s="21" t="str">
        <x:v>Review all tenant-owned queries for tenant filters.</x:v>
      </x:c>
      <x:c r="G235" s="17" t="str">
        <x:v>Software implementation</x:v>
      </x:c>
      <x:c r="H235" s="17" t="str">
        <x:v>Planned</x:v>
      </x:c>
      <x:c r="I235" s="18" t="str">
        <x:v>Completed</x:v>
      </x:c>
      <x:c r="J235" s="17" t="str">
        <x:f>IF(OR(I235="Completed",I235="Not Applicable"),"No","Yes")</x:f>
        <x:v>No</x:v>
      </x:c>
      <x:c r="K235" s="17" t="str">
        <x:v>17.2 task 2</x:v>
      </x:c>
      <x:c r="L235" s="21" t="str">
        <x:v>Story-labeled commit 1a62a4dd contains delivery and focused test/test-result files: test: implement story 17.2 security isolation verification</x:v>
      </x:c>
      <x:c r="M235" s="17" t="str">
        <x:v>Implementation commit + focused test artifacts</x:v>
      </x:c>
      <x:c r="N235" s="21" t="str">
        <x:v>git commit 1a62a4ddcf825180bcd53ef5e83587053b4c84e0; /Users/devups/Development/CodexProjects/Gccs/docs/development-story-test-cases.md</x:v>
      </x:c>
      <x:c r="O235" s="19" t="n">
        <x:v>46188.832141203704</x:v>
      </x:c>
      <x:c r="P235" s="21" t="str">
        <x:v>4 acceptance criteria; 4 TC references; implementation=yes; smoke=yes; automated=no; Story-level regression template</x:v>
      </x:c>
      <x:c r="Q235" s="21" t="str"/>
      <x:c r="R235" s="21" t="str">
        <x:v>Retain traceability; rerun focused verification if the affected boundary changes.</x:v>
      </x:c>
      <x:c r="S235" s="18" t="str"/>
      <x:c r="T235" s="20"/>
      <x:c r="U235" s="21" t="str">
        <x:v>Completion is based on immutable repository evidence; tests were not rerun and current working-tree drift was not re-certified in this reporting-only task.</x:v>
      </x:c>
      <x:c r="V235" s="1"/>
    </x:row>
    <x:row r="236" ht="46" customHeight="1">
      <x:c r="A236" s="17" t="n">
        <x:v>232</x:v>
      </x:c>
      <x:c r="B236" s="17" t="str">
        <x:v>Phase 1</x:v>
      </x:c>
      <x:c r="C236" s="17" t="str">
        <x:v>17.2</x:v>
      </x:c>
      <x:c r="D236" s="21" t="str">
        <x:v>Security And Tenant Isolation Verification</x:v>
      </x:c>
      <x:c r="E236" s="17" t="n">
        <x:v>4</x:v>
      </x:c>
      <x:c r="F236" s="21" t="str">
        <x:v>Verify audit logging for sensitive workflows.</x:v>
      </x:c>
      <x:c r="G236" s="17" t="str">
        <x:v>Software implementation</x:v>
      </x:c>
      <x:c r="H236" s="17" t="str">
        <x:v>Planned</x:v>
      </x:c>
      <x:c r="I236" s="18" t="str">
        <x:v>Completed</x:v>
      </x:c>
      <x:c r="J236" s="17" t="str">
        <x:f>IF(OR(I236="Completed",I236="Not Applicable"),"No","Yes")</x:f>
        <x:v>No</x:v>
      </x:c>
      <x:c r="K236" s="17" t="str">
        <x:v>17.2 task 3</x:v>
      </x:c>
      <x:c r="L236" s="21" t="str">
        <x:v>Story-labeled commit 1a62a4dd contains delivery and focused test/test-result files: test: implement story 17.2 security isolation verification</x:v>
      </x:c>
      <x:c r="M236" s="17" t="str">
        <x:v>Implementation commit + focused test artifacts</x:v>
      </x:c>
      <x:c r="N236" s="21" t="str">
        <x:v>git commit 1a62a4ddcf825180bcd53ef5e83587053b4c84e0; /Users/devups/Development/CodexProjects/Gccs/docs/development-story-test-cases.md</x:v>
      </x:c>
      <x:c r="O236" s="19" t="n">
        <x:v>46188.832141203704</x:v>
      </x:c>
      <x:c r="P236" s="21" t="str">
        <x:v>4 acceptance criteria; 4 TC references; implementation=yes; smoke=yes; automated=no; Story-level regression template</x:v>
      </x:c>
      <x:c r="Q236" s="21" t="str"/>
      <x:c r="R236" s="21" t="str">
        <x:v>Retain traceability; rerun focused verification if the affected boundary changes.</x:v>
      </x:c>
      <x:c r="S236" s="18" t="str"/>
      <x:c r="T236" s="20"/>
      <x:c r="U236" s="21" t="str">
        <x:v>Completion is based on immutable repository evidence; tests were not rerun and current working-tree drift was not re-certified in this reporting-only task.</x:v>
      </x:c>
      <x:c r="V236" s="1"/>
    </x:row>
    <x:row r="237" ht="46" customHeight="1">
      <x:c r="A237" s="17" t="n">
        <x:v>233</x:v>
      </x:c>
      <x:c r="B237" s="17" t="str">
        <x:v>Phase 1</x:v>
      </x:c>
      <x:c r="C237" s="17" t="str">
        <x:v>17.3</x:v>
      </x:c>
      <x:c r="D237" s="21" t="str">
        <x:v>Staging Environment</x:v>
      </x:c>
      <x:c r="E237" s="17" t="n">
        <x:v>1</x:v>
      </x:c>
      <x:c r="F237" s="21" t="str">
        <x:v>Provision staging API, web app, database, object storage, cache, queue, and secrets.</x:v>
      </x:c>
      <x:c r="G237" s="17" t="str">
        <x:v>Software implementation</x:v>
      </x:c>
      <x:c r="H237" s="17" t="str">
        <x:v>Planned</x:v>
      </x:c>
      <x:c r="I237" s="18" t="str">
        <x:v>Completed</x:v>
      </x:c>
      <x:c r="J237" s="17" t="str">
        <x:f>IF(OR(I237="Completed",I237="Not Applicable"),"No","Yes")</x:f>
        <x:v>No</x:v>
      </x:c>
      <x:c r="K237" s="17" t="str">
        <x:v>17.2</x:v>
      </x:c>
      <x:c r="L237" s="21" t="str">
        <x:v>Story-labeled commit ae4c1257 contains delivery and focused test/test-result files: chore: implement story 17.3 staging environment</x:v>
      </x:c>
      <x:c r="M237" s="17" t="str">
        <x:v>Implementation commit + focused test artifacts</x:v>
      </x:c>
      <x:c r="N237" s="21" t="str">
        <x:v>git commit ae4c12577a3e7aec6fb6a42db4a6b51eefeacb05; /Users/devups/Development/CodexProjects/Gccs/docs/development-story-test-cases.md</x:v>
      </x:c>
      <x:c r="O237" s="19" t="n">
        <x:v>46188.83565972222</x:v>
      </x:c>
      <x:c r="P237" s="21" t="str">
        <x:v>4 acceptance criteria; 4 TC references; implementation=yes; smoke=yes; automated=no; Story-level regression template</x:v>
      </x:c>
      <x:c r="Q237" s="21" t="str"/>
      <x:c r="R237" s="21" t="str">
        <x:v>Retain traceability; rerun focused verification if the affected boundary changes.</x:v>
      </x:c>
      <x:c r="S237" s="18" t="str"/>
      <x:c r="T237" s="20"/>
      <x:c r="U237" s="21" t="str">
        <x:v>Completion is based on immutable repository evidence; tests were not rerun and current working-tree drift was not re-certified in this reporting-only task.</x:v>
      </x:c>
      <x:c r="V237" s="1"/>
    </x:row>
    <x:row r="238" ht="46" customHeight="1">
      <x:c r="A238" s="17" t="n">
        <x:v>234</x:v>
      </x:c>
      <x:c r="B238" s="17" t="str">
        <x:v>Phase 1</x:v>
      </x:c>
      <x:c r="C238" s="17" t="str">
        <x:v>17.3</x:v>
      </x:c>
      <x:c r="D238" s="21" t="str">
        <x:v>Staging Environment</x:v>
      </x:c>
      <x:c r="E238" s="17" t="n">
        <x:v>2</x:v>
      </x:c>
      <x:c r="F238" s="21" t="str">
        <x:v>Run migrations automatically.</x:v>
      </x:c>
      <x:c r="G238" s="17" t="str">
        <x:v>Software implementation</x:v>
      </x:c>
      <x:c r="H238" s="17" t="str">
        <x:v>Planned</x:v>
      </x:c>
      <x:c r="I238" s="18" t="str">
        <x:v>Completed</x:v>
      </x:c>
      <x:c r="J238" s="17" t="str">
        <x:f>IF(OR(I238="Completed",I238="Not Applicable"),"No","Yes")</x:f>
        <x:v>No</x:v>
      </x:c>
      <x:c r="K238" s="17" t="str">
        <x:v>17.3 task 1</x:v>
      </x:c>
      <x:c r="L238" s="21" t="str">
        <x:v>Story-labeled commit ae4c1257 contains delivery and focused test/test-result files: chore: implement story 17.3 staging environment</x:v>
      </x:c>
      <x:c r="M238" s="17" t="str">
        <x:v>Implementation commit + focused test artifacts</x:v>
      </x:c>
      <x:c r="N238" s="21" t="str">
        <x:v>git commit ae4c12577a3e7aec6fb6a42db4a6b51eefeacb05; /Users/devups/Development/CodexProjects/Gccs/docs/development-story-test-cases.md</x:v>
      </x:c>
      <x:c r="O238" s="19" t="n">
        <x:v>46188.83565972222</x:v>
      </x:c>
      <x:c r="P238" s="21" t="str">
        <x:v>4 acceptance criteria; 4 TC references; implementation=yes; smoke=yes; automated=no; Story-level regression template</x:v>
      </x:c>
      <x:c r="Q238" s="21" t="str"/>
      <x:c r="R238" s="21" t="str">
        <x:v>Retain traceability; rerun focused verification if the affected boundary changes.</x:v>
      </x:c>
      <x:c r="S238" s="18" t="str"/>
      <x:c r="T238" s="20"/>
      <x:c r="U238" s="21" t="str">
        <x:v>Completion is based on immutable repository evidence; tests were not rerun and current working-tree drift was not re-certified in this reporting-only task.</x:v>
      </x:c>
      <x:c r="V238" s="1"/>
    </x:row>
    <x:row r="239" ht="46" customHeight="1">
      <x:c r="A239" s="17" t="n">
        <x:v>235</x:v>
      </x:c>
      <x:c r="B239" s="17" t="str">
        <x:v>Phase 1</x:v>
      </x:c>
      <x:c r="C239" s="17" t="str">
        <x:v>17.3</x:v>
      </x:c>
      <x:c r="D239" s="21" t="str">
        <x:v>Staging Environment</x:v>
      </x:c>
      <x:c r="E239" s="17" t="n">
        <x:v>3</x:v>
      </x:c>
      <x:c r="F239" s="21" t="str">
        <x:v>Configure logs, health checks, and basic alerts.</x:v>
      </x:c>
      <x:c r="G239" s="17" t="str">
        <x:v>Software implementation</x:v>
      </x:c>
      <x:c r="H239" s="17" t="str">
        <x:v>Planned</x:v>
      </x:c>
      <x:c r="I239" s="18" t="str">
        <x:v>Completed</x:v>
      </x:c>
      <x:c r="J239" s="17" t="str">
        <x:f>IF(OR(I239="Completed",I239="Not Applicable"),"No","Yes")</x:f>
        <x:v>No</x:v>
      </x:c>
      <x:c r="K239" s="17" t="str">
        <x:v>17.3 task 2</x:v>
      </x:c>
      <x:c r="L239" s="21" t="str">
        <x:v>Story-labeled commit ae4c1257 contains delivery and focused test/test-result files: chore: implement story 17.3 staging environment</x:v>
      </x:c>
      <x:c r="M239" s="17" t="str">
        <x:v>Implementation commit + focused test artifacts</x:v>
      </x:c>
      <x:c r="N239" s="21" t="str">
        <x:v>git commit ae4c12577a3e7aec6fb6a42db4a6b51eefeacb05; /Users/devups/Development/CodexProjects/Gccs/docs/development-story-test-cases.md</x:v>
      </x:c>
      <x:c r="O239" s="19" t="n">
        <x:v>46188.83565972222</x:v>
      </x:c>
      <x:c r="P239" s="21" t="str">
        <x:v>4 acceptance criteria; 4 TC references; implementation=yes; smoke=yes; automated=no; Story-level regression template</x:v>
      </x:c>
      <x:c r="Q239" s="21" t="str"/>
      <x:c r="R239" s="21" t="str">
        <x:v>Retain traceability; rerun focused verification if the affected boundary changes.</x:v>
      </x:c>
      <x:c r="S239" s="18" t="str"/>
      <x:c r="T239" s="20"/>
      <x:c r="U239" s="21" t="str">
        <x:v>Completion is based on immutable repository evidence; tests were not rerun and current working-tree drift was not re-certified in this reporting-only task.</x:v>
      </x:c>
      <x:c r="V239" s="1"/>
    </x:row>
    <x:row r="240" ht="46" customHeight="1">
      <x:c r="A240" s="17" t="n">
        <x:v>236</x:v>
      </x:c>
      <x:c r="B240" s="17" t="str">
        <x:v>Phase 1</x:v>
      </x:c>
      <x:c r="C240" s="17" t="str">
        <x:v>17.3</x:v>
      </x:c>
      <x:c r="D240" s="21" t="str">
        <x:v>Staging Environment</x:v>
      </x:c>
      <x:c r="E240" s="17" t="n">
        <x:v>4</x:v>
      </x:c>
      <x:c r="F240" s="21" t="str">
        <x:v>Add staging smoke tests.</x:v>
      </x:c>
      <x:c r="G240" s="17" t="str">
        <x:v>Software implementation</x:v>
      </x:c>
      <x:c r="H240" s="17" t="str">
        <x:v>Planned</x:v>
      </x:c>
      <x:c r="I240" s="18" t="str">
        <x:v>Completed</x:v>
      </x:c>
      <x:c r="J240" s="17" t="str">
        <x:f>IF(OR(I240="Completed",I240="Not Applicable"),"No","Yes")</x:f>
        <x:v>No</x:v>
      </x:c>
      <x:c r="K240" s="17" t="str">
        <x:v>17.3 task 3</x:v>
      </x:c>
      <x:c r="L240" s="21" t="str">
        <x:v>Story-labeled commit ae4c1257 contains delivery and focused test/test-result files: chore: implement story 17.3 staging environment</x:v>
      </x:c>
      <x:c r="M240" s="17" t="str">
        <x:v>Implementation commit + focused test artifacts</x:v>
      </x:c>
      <x:c r="N240" s="21" t="str">
        <x:v>git commit ae4c12577a3e7aec6fb6a42db4a6b51eefeacb05; /Users/devups/Development/CodexProjects/Gccs/docs/development-story-test-cases.md</x:v>
      </x:c>
      <x:c r="O240" s="19" t="n">
        <x:v>46188.83565972222</x:v>
      </x:c>
      <x:c r="P240" s="21" t="str">
        <x:v>4 acceptance criteria; 4 TC references; implementation=yes; smoke=yes; automated=no; Story-level regression template</x:v>
      </x:c>
      <x:c r="Q240" s="21" t="str"/>
      <x:c r="R240" s="21" t="str">
        <x:v>Retain traceability; rerun focused verification if the affected boundary changes.</x:v>
      </x:c>
      <x:c r="S240" s="18" t="str"/>
      <x:c r="T240" s="20"/>
      <x:c r="U240" s="21" t="str">
        <x:v>Completion is based on immutable repository evidence; tests were not rerun and current working-tree drift was not re-certified in this reporting-only task.</x:v>
      </x:c>
      <x:c r="V240" s="1"/>
    </x:row>
    <x:row r="241" ht="46" customHeight="1">
      <x:c r="A241" s="17" t="n">
        <x:v>237</x:v>
      </x:c>
      <x:c r="B241" s="17" t="str">
        <x:v>Phase 1</x:v>
      </x:c>
      <x:c r="C241" s="17" t="str">
        <x:v>17.4</x:v>
      </x:c>
      <x:c r="D241" s="21" t="str">
        <x:v>Production Readiness Checklist</x:v>
      </x:c>
      <x:c r="E241" s="17" t="n">
        <x:v>1</x:v>
      </x:c>
      <x:c r="F241" s="21" t="str">
        <x:v>Confirm data handling notice, terms, support path, and prohibited upload guidance.</x:v>
      </x:c>
      <x:c r="G241" s="17" t="str">
        <x:v>Software implementation</x:v>
      </x:c>
      <x:c r="H241" s="17" t="str">
        <x:v>Planned</x:v>
      </x:c>
      <x:c r="I241" s="18" t="str">
        <x:v>Completed</x:v>
      </x:c>
      <x:c r="J241" s="17" t="str">
        <x:f>IF(OR(I241="Completed",I241="Not Applicable"),"No","Yes")</x:f>
        <x:v>No</x:v>
      </x:c>
      <x:c r="K241" s="17" t="str">
        <x:v>17.3</x:v>
      </x:c>
      <x:c r="L241" s="21" t="str">
        <x:v>Story-labeled commit 27f43976 contains delivery and focused test/test-result files: docs: implement story 17.4 production readiness checklist</x:v>
      </x:c>
      <x:c r="M241" s="17" t="str">
        <x:v>Implementation commit + focused test artifacts</x:v>
      </x:c>
      <x:c r="N241" s="21" t="str">
        <x:v>git commit 27f439764d527b67cdb83c04df584db0cb8a197f; /Users/devups/Development/CodexProjects/Gccs/docs/development-story-test-cases.md</x:v>
      </x:c>
      <x:c r="O241" s="19" t="n">
        <x:v>46188.83829861111</x:v>
      </x:c>
      <x:c r="P241" s="21" t="str">
        <x:v>4 acceptance criteria; 4 TC references; implementation=yes; smoke=yes; automated=no; Story-level regression template</x:v>
      </x:c>
      <x:c r="Q241" s="21" t="str"/>
      <x:c r="R241" s="21" t="str">
        <x:v>Retain traceability; rerun focused verification if the affected boundary changes.</x:v>
      </x:c>
      <x:c r="S241" s="18" t="str"/>
      <x:c r="T241" s="20"/>
      <x:c r="U241" s="21" t="str">
        <x:v>Completion is based on immutable repository evidence; tests were not rerun and current working-tree drift was not re-certified in this reporting-only task.</x:v>
      </x:c>
      <x:c r="V241" s="1"/>
    </x:row>
    <x:row r="242" ht="46" customHeight="1">
      <x:c r="A242" s="17" t="n">
        <x:v>238</x:v>
      </x:c>
      <x:c r="B242" s="17" t="str">
        <x:v>Phase 1</x:v>
      </x:c>
      <x:c r="C242" s="17" t="str">
        <x:v>17.4</x:v>
      </x:c>
      <x:c r="D242" s="21" t="str">
        <x:v>Production Readiness Checklist</x:v>
      </x:c>
      <x:c r="E242" s="17" t="n">
        <x:v>2</x:v>
      </x:c>
      <x:c r="F242" s="21" t="str">
        <x:v>Confirm backups, restore test, logs, alerts, and rollback plan.</x:v>
      </x:c>
      <x:c r="G242" s="17" t="str">
        <x:v>Software implementation</x:v>
      </x:c>
      <x:c r="H242" s="17" t="str">
        <x:v>Planned</x:v>
      </x:c>
      <x:c r="I242" s="18" t="str">
        <x:v>Completed</x:v>
      </x:c>
      <x:c r="J242" s="17" t="str">
        <x:f>IF(OR(I242="Completed",I242="Not Applicable"),"No","Yes")</x:f>
        <x:v>No</x:v>
      </x:c>
      <x:c r="K242" s="17" t="str">
        <x:v>17.4 task 1</x:v>
      </x:c>
      <x:c r="L242" s="21" t="str">
        <x:v>Story-labeled commit 27f43976 contains delivery and focused test/test-result files: docs: implement story 17.4 production readiness checklist</x:v>
      </x:c>
      <x:c r="M242" s="17" t="str">
        <x:v>Implementation commit + focused test artifacts</x:v>
      </x:c>
      <x:c r="N242" s="21" t="str">
        <x:v>git commit 27f439764d527b67cdb83c04df584db0cb8a197f; /Users/devups/Development/CodexProjects/Gccs/docs/development-story-test-cases.md</x:v>
      </x:c>
      <x:c r="O242" s="19" t="n">
        <x:v>46188.83829861111</x:v>
      </x:c>
      <x:c r="P242" s="21" t="str">
        <x:v>4 acceptance criteria; 4 TC references; implementation=yes; smoke=yes; automated=no; Story-level regression template</x:v>
      </x:c>
      <x:c r="Q242" s="21" t="str"/>
      <x:c r="R242" s="21" t="str">
        <x:v>Retain traceability; rerun focused verification if the affected boundary changes.</x:v>
      </x:c>
      <x:c r="S242" s="18" t="str"/>
      <x:c r="T242" s="20"/>
      <x:c r="U242" s="21" t="str">
        <x:v>Completion is based on immutable repository evidence; tests were not rerun and current working-tree drift was not re-certified in this reporting-only task.</x:v>
      </x:c>
      <x:c r="V242" s="1"/>
    </x:row>
    <x:row r="243" ht="46" customHeight="1">
      <x:c r="A243" s="17" t="n">
        <x:v>239</x:v>
      </x:c>
      <x:c r="B243" s="17" t="str">
        <x:v>Phase 1</x:v>
      </x:c>
      <x:c r="C243" s="17" t="str">
        <x:v>17.4</x:v>
      </x:c>
      <x:c r="D243" s="21" t="str">
        <x:v>Production Readiness Checklist</x:v>
      </x:c>
      <x:c r="E243" s="17" t="n">
        <x:v>3</x:v>
      </x:c>
      <x:c r="F243" s="21" t="str">
        <x:v>Confirm malware scanning path or explicit MVP limitation.</x:v>
      </x:c>
      <x:c r="G243" s="17" t="str">
        <x:v>Software implementation</x:v>
      </x:c>
      <x:c r="H243" s="17" t="str">
        <x:v>Planned</x:v>
      </x:c>
      <x:c r="I243" s="18" t="str">
        <x:v>Completed</x:v>
      </x:c>
      <x:c r="J243" s="17" t="str">
        <x:f>IF(OR(I243="Completed",I243="Not Applicable"),"No","Yes")</x:f>
        <x:v>No</x:v>
      </x:c>
      <x:c r="K243" s="17" t="str">
        <x:v>17.4 task 2</x:v>
      </x:c>
      <x:c r="L243" s="21" t="str">
        <x:v>Story-labeled commit 27f43976 contains delivery and focused test/test-result files: docs: implement story 17.4 production readiness checklist</x:v>
      </x:c>
      <x:c r="M243" s="17" t="str">
        <x:v>Implementation commit + focused test artifacts</x:v>
      </x:c>
      <x:c r="N243" s="21" t="str">
        <x:v>git commit 27f439764d527b67cdb83c04df584db0cb8a197f; /Users/devups/Development/CodexProjects/Gccs/docs/development-story-test-cases.md</x:v>
      </x:c>
      <x:c r="O243" s="19" t="n">
        <x:v>46188.83829861111</x:v>
      </x:c>
      <x:c r="P243" s="21" t="str">
        <x:v>4 acceptance criteria; 4 TC references; implementation=yes; smoke=yes; automated=no; Story-level regression template</x:v>
      </x:c>
      <x:c r="Q243" s="21" t="str"/>
      <x:c r="R243" s="21" t="str">
        <x:v>Retain traceability; rerun focused verification if the affected boundary changes.</x:v>
      </x:c>
      <x:c r="S243" s="18" t="str"/>
      <x:c r="T243" s="20"/>
      <x:c r="U243" s="21" t="str">
        <x:v>Completion is based on immutable repository evidence; tests were not rerun and current working-tree drift was not re-certified in this reporting-only task.</x:v>
      </x:c>
      <x:c r="V243" s="1"/>
    </x:row>
    <x:row r="244" ht="46" customHeight="1">
      <x:c r="A244" s="17" t="n">
        <x:v>240</x:v>
      </x:c>
      <x:c r="B244" s="17" t="str">
        <x:v>Phase 1</x:v>
      </x:c>
      <x:c r="C244" s="17" t="str">
        <x:v>17.4</x:v>
      </x:c>
      <x:c r="D244" s="21" t="str">
        <x:v>Production Readiness Checklist</x:v>
      </x:c>
      <x:c r="E244" s="17" t="n">
        <x:v>4</x:v>
      </x:c>
      <x:c r="F244" s="21" t="str">
        <x:v>Confirm expert-reviewed compliance content for launch obligations.</x:v>
      </x:c>
      <x:c r="G244" s="17" t="str">
        <x:v>Software implementation</x:v>
      </x:c>
      <x:c r="H244" s="17" t="str">
        <x:v>Planned</x:v>
      </x:c>
      <x:c r="I244" s="18" t="str">
        <x:v>Completed</x:v>
      </x:c>
      <x:c r="J244" s="17" t="str">
        <x:f>IF(OR(I244="Completed",I244="Not Applicable"),"No","Yes")</x:f>
        <x:v>No</x:v>
      </x:c>
      <x:c r="K244" s="17" t="str">
        <x:v>17.4 task 3</x:v>
      </x:c>
      <x:c r="L244" s="21" t="str">
        <x:v>Story-labeled commit 27f43976 contains delivery and focused test/test-result files: docs: implement story 17.4 production readiness checklist</x:v>
      </x:c>
      <x:c r="M244" s="17" t="str">
        <x:v>Implementation commit + focused test artifacts</x:v>
      </x:c>
      <x:c r="N244" s="21" t="str">
        <x:v>git commit 27f439764d527b67cdb83c04df584db0cb8a197f; /Users/devups/Development/CodexProjects/Gccs/docs/development-story-test-cases.md</x:v>
      </x:c>
      <x:c r="O244" s="19" t="n">
        <x:v>46188.83829861111</x:v>
      </x:c>
      <x:c r="P244" s="21" t="str">
        <x:v>4 acceptance criteria; 4 TC references; implementation=yes; smoke=yes; automated=no; Story-level regression template</x:v>
      </x:c>
      <x:c r="Q244" s="21" t="str"/>
      <x:c r="R244" s="21" t="str">
        <x:v>Retain traceability; rerun focused verification if the affected boundary changes.</x:v>
      </x:c>
      <x:c r="S244" s="18" t="str"/>
      <x:c r="T244" s="20"/>
      <x:c r="U244" s="21" t="str">
        <x:v>Completion is based on immutable repository evidence; tests were not rerun and current working-tree drift was not re-certified in this reporting-only task.</x:v>
      </x:c>
      <x:c r="V244" s="1"/>
    </x:row>
    <x:row r="245" ht="46" customHeight="1">
      <x:c r="A245" s="17" t="n">
        <x:v>241</x:v>
      </x:c>
      <x:c r="B245" s="17" t="str">
        <x:v>Phase 1</x:v>
      </x:c>
      <x:c r="C245" s="17" t="str">
        <x:v>17.4</x:v>
      </x:c>
      <x:c r="D245" s="21" t="str">
        <x:v>Production Readiness Checklist</x:v>
      </x:c>
      <x:c r="E245" s="17" t="n">
        <x:v>5</x:v>
      </x:c>
      <x:c r="F245" s="21" t="str">
        <x:v>Confirm release notes and known limitations.</x:v>
      </x:c>
      <x:c r="G245" s="17" t="str">
        <x:v>Software implementation</x:v>
      </x:c>
      <x:c r="H245" s="17" t="str">
        <x:v>Planned</x:v>
      </x:c>
      <x:c r="I245" s="18" t="str">
        <x:v>Completed</x:v>
      </x:c>
      <x:c r="J245" s="17" t="str">
        <x:f>IF(OR(I245="Completed",I245="Not Applicable"),"No","Yes")</x:f>
        <x:v>No</x:v>
      </x:c>
      <x:c r="K245" s="17" t="str">
        <x:v>17.4 task 4</x:v>
      </x:c>
      <x:c r="L245" s="21" t="str">
        <x:v>Story-labeled commit 27f43976 contains delivery and focused test/test-result files: docs: implement story 17.4 production readiness checklist</x:v>
      </x:c>
      <x:c r="M245" s="17" t="str">
        <x:v>Implementation commit + focused test artifacts</x:v>
      </x:c>
      <x:c r="N245" s="21" t="str">
        <x:v>git commit 27f439764d527b67cdb83c04df584db0cb8a197f; /Users/devups/Development/CodexProjects/Gccs/docs/development-story-test-cases.md</x:v>
      </x:c>
      <x:c r="O245" s="19" t="n">
        <x:v>46188.83829861111</x:v>
      </x:c>
      <x:c r="P245" s="21" t="str">
        <x:v>4 acceptance criteria; 4 TC references; implementation=yes; smoke=yes; automated=no; Story-level regression template</x:v>
      </x:c>
      <x:c r="Q245" s="21" t="str"/>
      <x:c r="R245" s="21" t="str">
        <x:v>Retain traceability; rerun focused verification if the affected boundary changes.</x:v>
      </x:c>
      <x:c r="S245" s="18" t="str"/>
      <x:c r="T245" s="20"/>
      <x:c r="U245" s="21" t="str">
        <x:v>Completion is based on immutable repository evidence; tests were not rerun and current working-tree drift was not re-certified in this reporting-only task.</x:v>
      </x:c>
      <x:c r="V245" s="1"/>
    </x:row>
    <x:row r="246" ht="46" customHeight="1">
      <x:c r="A246" s="17" t="n">
        <x:v>242</x:v>
      </x:c>
      <x:c r="B246" s="17" t="str">
        <x:v>Phase 1A</x:v>
      </x:c>
      <x:c r="C246" s="17" t="str">
        <x:v>1A.1.1</x:v>
      </x:c>
      <x:c r="D246" s="21" t="str">
        <x:v>Tenant Data Handling Mode Model</x:v>
      </x:c>
      <x:c r="E246" s="17" t="n">
        <x:v>1</x:v>
      </x:c>
      <x:c r="F246" s="21" t="str">
        <x:v>Add tenant data handling modes: DemoSandbox, NoCui, and CuiReady.</x:v>
      </x:c>
      <x:c r="G246" s="17" t="str">
        <x:v>Software implementation</x:v>
      </x:c>
      <x:c r="H246" s="17" t="str">
        <x:v>Planned</x:v>
      </x:c>
      <x:c r="I246" s="18" t="str">
        <x:v>Completed</x:v>
      </x:c>
      <x:c r="J246" s="17" t="str">
        <x:f>IF(OR(I246="Completed",I246="Not Applicable"),"No","Yes")</x:f>
        <x:v>No</x:v>
      </x:c>
      <x:c r="K246" s="17" t="str"/>
      <x:c r="L246" s="21" t="str">
        <x:v>Story-labeled commit 256fa0c0 contains delivery and focused test/test-result files: feat: implement story 1A.1.1 tenant data handling modes</x:v>
      </x:c>
      <x:c r="M246" s="17" t="str">
        <x:v>Implementation commit + focused test artifacts</x:v>
      </x:c>
      <x:c r="N246" s="21" t="str">
        <x:v>git commit 256fa0c0176ae42a0c215197830715382eb9cc75; /Users/devups/Development/CodexProjects/Gccs/docs/development-story-test-cases.md</x:v>
      </x:c>
      <x:c r="O246" s="19" t="n">
        <x:v>46191.875706018516</x:v>
      </x:c>
      <x:c r="P246" s="21" t="str">
        <x:v>5 acceptance criteria; 5 TC references; implementation=yes; smoke=yes; automated=yes; Story-level regression template</x:v>
      </x:c>
      <x:c r="Q246" s="21" t="str"/>
      <x:c r="R246" s="21" t="str">
        <x:v>Retain traceability; rerun focused verification if the affected boundary changes.</x:v>
      </x:c>
      <x:c r="S246" s="18" t="str"/>
      <x:c r="T246" s="20"/>
      <x:c r="U246" s="21" t="str">
        <x:v>Completion is based on immutable repository evidence; tests were not rerun and current working-tree drift was not re-certified in this reporting-only task.</x:v>
      </x:c>
      <x:c r="V246" s="1"/>
    </x:row>
    <x:row r="247" ht="46" customHeight="1">
      <x:c r="A247" s="17" t="n">
        <x:v>243</x:v>
      </x:c>
      <x:c r="B247" s="17" t="str">
        <x:v>Phase 1A</x:v>
      </x:c>
      <x:c r="C247" s="17" t="str">
        <x:v>1A.1.1</x:v>
      </x:c>
      <x:c r="D247" s="21" t="str">
        <x:v>Tenant Data Handling Mode Model</x:v>
      </x:c>
      <x:c r="E247" s="17" t="n">
        <x:v>2</x:v>
      </x:c>
      <x:c r="F247" s="21" t="str">
        <x:v>Store current mode, effective date, reason, approving user, and approval record reference.</x:v>
      </x:c>
      <x:c r="G247" s="17" t="str">
        <x:v>Software implementation</x:v>
      </x:c>
      <x:c r="H247" s="17" t="str">
        <x:v>Planned</x:v>
      </x:c>
      <x:c r="I247" s="18" t="str">
        <x:v>Completed</x:v>
      </x:c>
      <x:c r="J247" s="17" t="str">
        <x:f>IF(OR(I247="Completed",I247="Not Applicable"),"No","Yes")</x:f>
        <x:v>No</x:v>
      </x:c>
      <x:c r="K247" s="17" t="str">
        <x:v>1A.1.1 task 1</x:v>
      </x:c>
      <x:c r="L247" s="21" t="str">
        <x:v>Story-labeled commit 256fa0c0 contains delivery and focused test/test-result files: feat: implement story 1A.1.1 tenant data handling modes</x:v>
      </x:c>
      <x:c r="M247" s="17" t="str">
        <x:v>Implementation commit + focused test artifacts</x:v>
      </x:c>
      <x:c r="N247" s="21" t="str">
        <x:v>git commit 256fa0c0176ae42a0c215197830715382eb9cc75; /Users/devups/Development/CodexProjects/Gccs/docs/development-story-test-cases.md</x:v>
      </x:c>
      <x:c r="O247" s="19" t="n">
        <x:v>46191.875706018516</x:v>
      </x:c>
      <x:c r="P247" s="21" t="str">
        <x:v>5 acceptance criteria; 5 TC references; implementation=yes; smoke=yes; automated=yes; Story-level regression template</x:v>
      </x:c>
      <x:c r="Q247" s="21" t="str"/>
      <x:c r="R247" s="21" t="str">
        <x:v>Retain traceability; rerun focused verification if the affected boundary changes.</x:v>
      </x:c>
      <x:c r="S247" s="18" t="str"/>
      <x:c r="T247" s="20"/>
      <x:c r="U247" s="21" t="str">
        <x:v>Completion is based on immutable repository evidence; tests were not rerun and current working-tree drift was not re-certified in this reporting-only task.</x:v>
      </x:c>
      <x:c r="V247" s="1"/>
    </x:row>
    <x:row r="248" ht="46" customHeight="1">
      <x:c r="A248" s="17" t="n">
        <x:v>244</x:v>
      </x:c>
      <x:c r="B248" s="17" t="str">
        <x:v>Phase 1A</x:v>
      </x:c>
      <x:c r="C248" s="17" t="str">
        <x:v>1A.1.1</x:v>
      </x:c>
      <x:c r="D248" s="21" t="str">
        <x:v>Tenant Data Handling Mode Model</x:v>
      </x:c>
      <x:c r="E248" s="17" t="n">
        <x:v>3</x:v>
      </x:c>
      <x:c r="F248" s="21" t="str">
        <x:v>Add application service validation for mode changes.</x:v>
      </x:c>
      <x:c r="G248" s="17" t="str">
        <x:v>Software implementation</x:v>
      </x:c>
      <x:c r="H248" s="17" t="str">
        <x:v>Planned</x:v>
      </x:c>
      <x:c r="I248" s="18" t="str">
        <x:v>Completed</x:v>
      </x:c>
      <x:c r="J248" s="17" t="str">
        <x:f>IF(OR(I248="Completed",I248="Not Applicable"),"No","Yes")</x:f>
        <x:v>No</x:v>
      </x:c>
      <x:c r="K248" s="17" t="str">
        <x:v>1A.1.1 task 2</x:v>
      </x:c>
      <x:c r="L248" s="21" t="str">
        <x:v>Story-labeled commit 256fa0c0 contains delivery and focused test/test-result files: feat: implement story 1A.1.1 tenant data handling modes</x:v>
      </x:c>
      <x:c r="M248" s="17" t="str">
        <x:v>Implementation commit + focused test artifacts</x:v>
      </x:c>
      <x:c r="N248" s="21" t="str">
        <x:v>git commit 256fa0c0176ae42a0c215197830715382eb9cc75; /Users/devups/Development/CodexProjects/Gccs/docs/development-story-test-cases.md</x:v>
      </x:c>
      <x:c r="O248" s="19" t="n">
        <x:v>46191.875706018516</x:v>
      </x:c>
      <x:c r="P248" s="21" t="str">
        <x:v>5 acceptance criteria; 5 TC references; implementation=yes; smoke=yes; automated=yes; Story-level regression template</x:v>
      </x:c>
      <x:c r="Q248" s="21" t="str"/>
      <x:c r="R248" s="21" t="str">
        <x:v>Retain traceability; rerun focused verification if the affected boundary changes.</x:v>
      </x:c>
      <x:c r="S248" s="18" t="str"/>
      <x:c r="T248" s="20"/>
      <x:c r="U248" s="21" t="str">
        <x:v>Completion is based on immutable repository evidence; tests were not rerun and current working-tree drift was not re-certified in this reporting-only task.</x:v>
      </x:c>
      <x:c r="V248" s="1"/>
    </x:row>
    <x:row r="249" ht="46" customHeight="1">
      <x:c r="A249" s="17" t="n">
        <x:v>245</x:v>
      </x:c>
      <x:c r="B249" s="17" t="str">
        <x:v>Phase 1A</x:v>
      </x:c>
      <x:c r="C249" s="17" t="str">
        <x:v>1A.1.1</x:v>
      </x:c>
      <x:c r="D249" s="21" t="str">
        <x:v>Tenant Data Handling Mode Model</x:v>
      </x:c>
      <x:c r="E249" s="17" t="n">
        <x:v>4</x:v>
      </x:c>
      <x:c r="F249" s="21" t="str">
        <x:v>Update tenant administration UI to display the current mode and mode history.</x:v>
      </x:c>
      <x:c r="G249" s="17" t="str">
        <x:v>Software implementation</x:v>
      </x:c>
      <x:c r="H249" s="17" t="str">
        <x:v>Planned</x:v>
      </x:c>
      <x:c r="I249" s="18" t="str">
        <x:v>Completed</x:v>
      </x:c>
      <x:c r="J249" s="17" t="str">
        <x:f>IF(OR(I249="Completed",I249="Not Applicable"),"No","Yes")</x:f>
        <x:v>No</x:v>
      </x:c>
      <x:c r="K249" s="17" t="str">
        <x:v>1A.1.1 task 3</x:v>
      </x:c>
      <x:c r="L249" s="21" t="str">
        <x:v>Story-labeled commit 256fa0c0 contains delivery and focused test/test-result files: feat: implement story 1A.1.1 tenant data handling modes</x:v>
      </x:c>
      <x:c r="M249" s="17" t="str">
        <x:v>Implementation commit + focused test artifacts</x:v>
      </x:c>
      <x:c r="N249" s="21" t="str">
        <x:v>git commit 256fa0c0176ae42a0c215197830715382eb9cc75; /Users/devups/Development/CodexProjects/Gccs/docs/development-story-test-cases.md</x:v>
      </x:c>
      <x:c r="O249" s="19" t="n">
        <x:v>46191.875706018516</x:v>
      </x:c>
      <x:c r="P249" s="21" t="str">
        <x:v>5 acceptance criteria; 5 TC references; implementation=yes; smoke=yes; automated=yes; Story-level regression template</x:v>
      </x:c>
      <x:c r="Q249" s="21" t="str"/>
      <x:c r="R249" s="21" t="str">
        <x:v>Retain traceability; rerun focused verification if the affected boundary changes.</x:v>
      </x:c>
      <x:c r="S249" s="18" t="str"/>
      <x:c r="T249" s="20"/>
      <x:c r="U249" s="21" t="str">
        <x:v>Completion is based on immutable repository evidence; tests were not rerun and current working-tree drift was not re-certified in this reporting-only task.</x:v>
      </x:c>
      <x:c r="V249" s="1"/>
    </x:row>
    <x:row r="250" ht="46" customHeight="1">
      <x:c r="A250" s="17" t="n">
        <x:v>246</x:v>
      </x:c>
      <x:c r="B250" s="17" t="str">
        <x:v>Phase 1A</x:v>
      </x:c>
      <x:c r="C250" s="17" t="str">
        <x:v>1A.1.1</x:v>
      </x:c>
      <x:c r="D250" s="21" t="str">
        <x:v>Tenant Data Handling Mode Model</x:v>
      </x:c>
      <x:c r="E250" s="17" t="n">
        <x:v>5</x:v>
      </x:c>
      <x:c r="F250" s="21" t="str">
        <x:v>Add automated tests for valid and invalid mode transitions.</x:v>
      </x:c>
      <x:c r="G250" s="17" t="str">
        <x:v>Software implementation</x:v>
      </x:c>
      <x:c r="H250" s="17" t="str">
        <x:v>Planned</x:v>
      </x:c>
      <x:c r="I250" s="18" t="str">
        <x:v>Completed</x:v>
      </x:c>
      <x:c r="J250" s="17" t="str">
        <x:f>IF(OR(I250="Completed",I250="Not Applicable"),"No","Yes")</x:f>
        <x:v>No</x:v>
      </x:c>
      <x:c r="K250" s="17" t="str">
        <x:v>1A.1.1 task 4</x:v>
      </x:c>
      <x:c r="L250" s="21" t="str">
        <x:v>Story-labeled commit 256fa0c0 contains delivery and focused test/test-result files: feat: implement story 1A.1.1 tenant data handling modes</x:v>
      </x:c>
      <x:c r="M250" s="17" t="str">
        <x:v>Implementation commit + focused test artifacts</x:v>
      </x:c>
      <x:c r="N250" s="21" t="str">
        <x:v>git commit 256fa0c0176ae42a0c215197830715382eb9cc75; /Users/devups/Development/CodexProjects/Gccs/docs/development-story-test-cases.md</x:v>
      </x:c>
      <x:c r="O250" s="19" t="n">
        <x:v>46191.875706018516</x:v>
      </x:c>
      <x:c r="P250" s="21" t="str">
        <x:v>5 acceptance criteria; 5 TC references; implementation=yes; smoke=yes; automated=yes; Story-level regression template</x:v>
      </x:c>
      <x:c r="Q250" s="21" t="str"/>
      <x:c r="R250" s="21" t="str">
        <x:v>Retain traceability; rerun focused verification if the affected boundary changes.</x:v>
      </x:c>
      <x:c r="S250" s="18" t="str"/>
      <x:c r="T250" s="20"/>
      <x:c r="U250" s="21" t="str">
        <x:v>Completion is based on immutable repository evidence; tests were not rerun and current working-tree drift was not re-certified in this reporting-only task.</x:v>
      </x:c>
      <x:c r="V250" s="1"/>
    </x:row>
    <x:row r="251" ht="46" customHeight="1">
      <x:c r="A251" s="17" t="n">
        <x:v>247</x:v>
      </x:c>
      <x:c r="B251" s="17" t="str">
        <x:v>Phase 1A</x:v>
      </x:c>
      <x:c r="C251" s="17" t="str">
        <x:v>1A.1.2</x:v>
      </x:c>
      <x:c r="D251" s="21" t="str">
        <x:v>Mode-Based Workflow Enforcement</x:v>
      </x:c>
      <x:c r="E251" s="17" t="n">
        <x:v>1</x:v>
      </x:c>
      <x:c r="F251" s="21" t="str">
        <x:v>Add centralized policy checks for workflows that create, upload, classify, process, export, or delete tenant content.</x:v>
      </x:c>
      <x:c r="G251" s="17" t="str">
        <x:v>Software implementation</x:v>
      </x:c>
      <x:c r="H251" s="17" t="str">
        <x:v>Planned</x:v>
      </x:c>
      <x:c r="I251" s="18" t="str">
        <x:v>Not Verified</x:v>
      </x:c>
      <x:c r="J251" s="17" t="str">
        <x:f>IF(OR(I251="Completed",I251="Not Applicable"),"No","Yes")</x:f>
        <x:v>Yes</x:v>
      </x:c>
      <x:c r="K251" s="17" t="str">
        <x:v>1A.1.1</x:v>
      </x:c>
      <x:c r="L251" s="21" t="str"/>
      <x:c r="M251" s="17" t="str">
        <x:v>Insufficient evidence</x:v>
      </x:c>
      <x:c r="N251" s="21" t="str">
        <x:v>/Users/devups/Development/CodexProjects/Gccs/docs/development-story-prompts.md (line 4699)</x:v>
      </x:c>
      <x:c r="O251" s="19"/>
      <x:c r="P251" s="21" t="str">
        <x:v>5 acceptance criteria; 5 TC references; implementation=yes; smoke=yes; automated=yes; Story-level regression template</x:v>
      </x:c>
      <x:c r="Q251" s="21" t="str"/>
      <x:c r="R251" s="21" t="str">
        <x:v>Execute Story 1A.1.2 one-at-a-time through implementation, smoke, automated, regression, commit, and push workflow.</x:v>
      </x:c>
      <x:c r="S251" s="18" t="str"/>
      <x:c r="T251" s="20"/>
      <x:c r="U251" s="21" t="str">
        <x:v>Done-marker conflict: documentary label is not sufficient proof; No-CUI remains the production boundary.</x:v>
      </x:c>
      <x:c r="V251" s="1"/>
    </x:row>
    <x:row r="252" ht="46" customHeight="1">
      <x:c r="A252" s="17" t="n">
        <x:v>248</x:v>
      </x:c>
      <x:c r="B252" s="17" t="str">
        <x:v>Phase 1A</x:v>
      </x:c>
      <x:c r="C252" s="17" t="str">
        <x:v>1A.1.2</x:v>
      </x:c>
      <x:c r="D252" s="21" t="str">
        <x:v>Mode-Based Workflow Enforcement</x:v>
      </x:c>
      <x:c r="E252" s="17" t="n">
        <x:v>2</x:v>
      </x:c>
      <x:c r="F252" s="21" t="str">
        <x:v>Enforce mode checks server-side in contract intake, evidence, notes, reports, and extraction jobs.</x:v>
      </x:c>
      <x:c r="G252" s="17" t="str">
        <x:v>Software implementation</x:v>
      </x:c>
      <x:c r="H252" s="17" t="str">
        <x:v>Planned</x:v>
      </x:c>
      <x:c r="I252" s="18" t="str">
        <x:v>Not Verified</x:v>
      </x:c>
      <x:c r="J252" s="17" t="str">
        <x:f>IF(OR(I252="Completed",I252="Not Applicable"),"No","Yes")</x:f>
        <x:v>Yes</x:v>
      </x:c>
      <x:c r="K252" s="17" t="str">
        <x:v>1A.1.2 task 1</x:v>
      </x:c>
      <x:c r="L252" s="21" t="str"/>
      <x:c r="M252" s="17" t="str">
        <x:v>Insufficient evidence</x:v>
      </x:c>
      <x:c r="N252" s="21" t="str">
        <x:v>/Users/devups/Development/CodexProjects/Gccs/docs/development-story-prompts.md (line 4699)</x:v>
      </x:c>
      <x:c r="O252" s="19"/>
      <x:c r="P252" s="21" t="str">
        <x:v>5 acceptance criteria; 5 TC references; implementation=yes; smoke=yes; automated=yes; Story-level regression template</x:v>
      </x:c>
      <x:c r="Q252" s="21" t="str"/>
      <x:c r="R252" s="21" t="str">
        <x:v>Execute Story 1A.1.2 one-at-a-time through implementation, smoke, automated, regression, commit, and push workflow.</x:v>
      </x:c>
      <x:c r="S252" s="18" t="str"/>
      <x:c r="T252" s="20"/>
      <x:c r="U252" s="21" t="str">
        <x:v>Done-marker conflict: documentary label is not sufficient proof; No-CUI remains the production boundary.</x:v>
      </x:c>
      <x:c r="V252" s="1"/>
    </x:row>
    <x:row r="253" ht="46" customHeight="1">
      <x:c r="A253" s="17" t="n">
        <x:v>249</x:v>
      </x:c>
      <x:c r="B253" s="17" t="str">
        <x:v>Phase 1A</x:v>
      </x:c>
      <x:c r="C253" s="17" t="str">
        <x:v>1A.1.2</x:v>
      </x:c>
      <x:c r="D253" s="21" t="str">
        <x:v>Mode-Based Workflow Enforcement</x:v>
      </x:c>
      <x:c r="E253" s="17" t="n">
        <x:v>3</x:v>
      </x:c>
      <x:c r="F253" s="21" t="str">
        <x:v>Add shared API error response for mode-restricted actions.</x:v>
      </x:c>
      <x:c r="G253" s="17" t="str">
        <x:v>Software implementation</x:v>
      </x:c>
      <x:c r="H253" s="17" t="str">
        <x:v>Planned</x:v>
      </x:c>
      <x:c r="I253" s="18" t="str">
        <x:v>Not Verified</x:v>
      </x:c>
      <x:c r="J253" s="17" t="str">
        <x:f>IF(OR(I253="Completed",I253="Not Applicable"),"No","Yes")</x:f>
        <x:v>Yes</x:v>
      </x:c>
      <x:c r="K253" s="17" t="str">
        <x:v>1A.1.2 task 2</x:v>
      </x:c>
      <x:c r="L253" s="21" t="str"/>
      <x:c r="M253" s="17" t="str">
        <x:v>Insufficient evidence</x:v>
      </x:c>
      <x:c r="N253" s="21" t="str">
        <x:v>/Users/devups/Development/CodexProjects/Gccs/docs/development-story-prompts.md (line 4699)</x:v>
      </x:c>
      <x:c r="O253" s="19"/>
      <x:c r="P253" s="21" t="str">
        <x:v>5 acceptance criteria; 5 TC references; implementation=yes; smoke=yes; automated=yes; Story-level regression template</x:v>
      </x:c>
      <x:c r="Q253" s="21" t="str"/>
      <x:c r="R253" s="21" t="str">
        <x:v>Execute Story 1A.1.2 one-at-a-time through implementation, smoke, automated, regression, commit, and push workflow.</x:v>
      </x:c>
      <x:c r="S253" s="18" t="str"/>
      <x:c r="T253" s="20"/>
      <x:c r="U253" s="21" t="str">
        <x:v>Done-marker conflict: documentary label is not sufficient proof; No-CUI remains the production boundary.</x:v>
      </x:c>
      <x:c r="V253" s="1"/>
    </x:row>
    <x:row r="254" ht="46" customHeight="1">
      <x:c r="A254" s="17" t="n">
        <x:v>250</x:v>
      </x:c>
      <x:c r="B254" s="17" t="str">
        <x:v>Phase 1A</x:v>
      </x:c>
      <x:c r="C254" s="17" t="str">
        <x:v>1A.1.2</x:v>
      </x:c>
      <x:c r="D254" s="21" t="str">
        <x:v>Mode-Based Workflow Enforcement</x:v>
      </x:c>
      <x:c r="E254" s="17" t="n">
        <x:v>4</x:v>
      </x:c>
      <x:c r="F254" s="21" t="str">
        <x:v>Hide or disable restricted UI actions with mode-specific messaging.</x:v>
      </x:c>
      <x:c r="G254" s="17" t="str">
        <x:v>Software implementation</x:v>
      </x:c>
      <x:c r="H254" s="17" t="str">
        <x:v>Planned</x:v>
      </x:c>
      <x:c r="I254" s="18" t="str">
        <x:v>Not Verified</x:v>
      </x:c>
      <x:c r="J254" s="17" t="str">
        <x:f>IF(OR(I254="Completed",I254="Not Applicable"),"No","Yes")</x:f>
        <x:v>Yes</x:v>
      </x:c>
      <x:c r="K254" s="17" t="str">
        <x:v>1A.1.2 task 3</x:v>
      </x:c>
      <x:c r="L254" s="21" t="str"/>
      <x:c r="M254" s="17" t="str">
        <x:v>Insufficient evidence</x:v>
      </x:c>
      <x:c r="N254" s="21" t="str">
        <x:v>/Users/devups/Development/CodexProjects/Gccs/docs/development-story-prompts.md (line 4699)</x:v>
      </x:c>
      <x:c r="O254" s="19"/>
      <x:c r="P254" s="21" t="str">
        <x:v>5 acceptance criteria; 5 TC references; implementation=yes; smoke=yes; automated=yes; Story-level regression template</x:v>
      </x:c>
      <x:c r="Q254" s="21" t="str"/>
      <x:c r="R254" s="21" t="str">
        <x:v>Execute Story 1A.1.2 one-at-a-time through implementation, smoke, automated, regression, commit, and push workflow.</x:v>
      </x:c>
      <x:c r="S254" s="18" t="str"/>
      <x:c r="T254" s="20"/>
      <x:c r="U254" s="21" t="str">
        <x:v>Done-marker conflict: documentary label is not sufficient proof; No-CUI remains the production boundary.</x:v>
      </x:c>
      <x:c r="V254" s="1"/>
    </x:row>
    <x:row r="255" ht="46" customHeight="1">
      <x:c r="A255" s="17" t="n">
        <x:v>251</x:v>
      </x:c>
      <x:c r="B255" s="17" t="str">
        <x:v>Phase 1A</x:v>
      </x:c>
      <x:c r="C255" s="17" t="str">
        <x:v>1A.1.2</x:v>
      </x:c>
      <x:c r="D255" s="21" t="str">
        <x:v>Mode-Based Workflow Enforcement</x:v>
      </x:c>
      <x:c r="E255" s="17" t="n">
        <x:v>5</x:v>
      </x:c>
      <x:c r="F255" s="21" t="str">
        <x:v>Add integration tests that call protected APIs directly.</x:v>
      </x:c>
      <x:c r="G255" s="17" t="str">
        <x:v>Software implementation</x:v>
      </x:c>
      <x:c r="H255" s="17" t="str">
        <x:v>Planned</x:v>
      </x:c>
      <x:c r="I255" s="18" t="str">
        <x:v>Not Verified</x:v>
      </x:c>
      <x:c r="J255" s="17" t="str">
        <x:f>IF(OR(I255="Completed",I255="Not Applicable"),"No","Yes")</x:f>
        <x:v>Yes</x:v>
      </x:c>
      <x:c r="K255" s="17" t="str">
        <x:v>1A.1.2 task 4</x:v>
      </x:c>
      <x:c r="L255" s="21" t="str"/>
      <x:c r="M255" s="17" t="str">
        <x:v>Insufficient evidence</x:v>
      </x:c>
      <x:c r="N255" s="21" t="str">
        <x:v>/Users/devups/Development/CodexProjects/Gccs/docs/development-story-prompts.md (line 4699)</x:v>
      </x:c>
      <x:c r="O255" s="19"/>
      <x:c r="P255" s="21" t="str">
        <x:v>5 acceptance criteria; 5 TC references; implementation=yes; smoke=yes; automated=yes; Story-level regression template</x:v>
      </x:c>
      <x:c r="Q255" s="21" t="str"/>
      <x:c r="R255" s="21" t="str">
        <x:v>Execute Story 1A.1.2 one-at-a-time through implementation, smoke, automated, regression, commit, and push workflow.</x:v>
      </x:c>
      <x:c r="S255" s="18" t="str"/>
      <x:c r="T255" s="20"/>
      <x:c r="U255" s="21" t="str">
        <x:v>Done-marker conflict: documentary label is not sufficient proof; No-CUI remains the production boundary.</x:v>
      </x:c>
      <x:c r="V255" s="1"/>
    </x:row>
    <x:row r="256" ht="46" customHeight="1">
      <x:c r="A256" s="17" t="n">
        <x:v>252</x:v>
      </x:c>
      <x:c r="B256" s="17" t="str">
        <x:v>Phase 1A</x:v>
      </x:c>
      <x:c r="C256" s="17" t="str">
        <x:v>1A.2.1</x:v>
      </x:c>
      <x:c r="D256" s="21" t="str">
        <x:v>Classification Metadata Schema</x:v>
      </x:c>
      <x:c r="E256" s="17" t="n">
        <x:v>1</x:v>
      </x:c>
      <x:c r="F256" s="21" t="str">
        <x:v>Define classification values for Unclassified, FCI, CUI, SyntheticCui, Prohibited, and Unknown.</x:v>
      </x:c>
      <x:c r="G256" s="17" t="str">
        <x:v>Software implementation</x:v>
      </x:c>
      <x:c r="H256" s="17" t="str">
        <x:v>Planned</x:v>
      </x:c>
      <x:c r="I256" s="18" t="str">
        <x:v>Not Verified</x:v>
      </x:c>
      <x:c r="J256" s="17" t="str">
        <x:f>IF(OR(I256="Completed",I256="Not Applicable"),"No","Yes")</x:f>
        <x:v>Yes</x:v>
      </x:c>
      <x:c r="K256" s="17" t="str">
        <x:v>1A.1.2</x:v>
      </x:c>
      <x:c r="L256" s="21" t="str"/>
      <x:c r="M256" s="17" t="str">
        <x:v>Insufficient evidence</x:v>
      </x:c>
      <x:c r="N256" s="21" t="str">
        <x:v>/Users/devups/Development/CodexProjects/Gccs/docs/development-story-prompts.md (line 4722)</x:v>
      </x:c>
      <x:c r="O256" s="19"/>
      <x:c r="P256" s="21" t="str">
        <x:v>5 acceptance criteria; 5 TC references; implementation=yes; smoke=yes; automated=yes; Story-level regression template</x:v>
      </x:c>
      <x:c r="Q256" s="21" t="str"/>
      <x:c r="R256" s="21" t="str">
        <x:v>Execute Story 1A.2.1 one-at-a-time through implementation, smoke, automated, regression, commit, and push workflow.</x:v>
      </x:c>
      <x:c r="S256" s="18" t="str"/>
      <x:c r="T256" s="20"/>
      <x:c r="U256" s="21" t="str">
        <x:v>Done-marker conflict: documentary label is not sufficient proof; No-CUI remains the production boundary.</x:v>
      </x:c>
      <x:c r="V256" s="1"/>
    </x:row>
    <x:row r="257" ht="46" customHeight="1">
      <x:c r="A257" s="17" t="n">
        <x:v>253</x:v>
      </x:c>
      <x:c r="B257" s="17" t="str">
        <x:v>Phase 1A</x:v>
      </x:c>
      <x:c r="C257" s="17" t="str">
        <x:v>1A.2.1</x:v>
      </x:c>
      <x:c r="D257" s="21" t="str">
        <x:v>Classification Metadata Schema</x:v>
      </x:c>
      <x:c r="E257" s="17" t="n">
        <x:v>2</x:v>
      </x:c>
      <x:c r="F257" s="21" t="str">
        <x:v>Add classification metadata to uploads, notes, reports, extraction jobs, evidence items, and related document records.</x:v>
      </x:c>
      <x:c r="G257" s="17" t="str">
        <x:v>Software implementation</x:v>
      </x:c>
      <x:c r="H257" s="17" t="str">
        <x:v>Planned</x:v>
      </x:c>
      <x:c r="I257" s="18" t="str">
        <x:v>Not Verified</x:v>
      </x:c>
      <x:c r="J257" s="17" t="str">
        <x:f>IF(OR(I257="Completed",I257="Not Applicable"),"No","Yes")</x:f>
        <x:v>Yes</x:v>
      </x:c>
      <x:c r="K257" s="17" t="str">
        <x:v>1A.2.1 task 1</x:v>
      </x:c>
      <x:c r="L257" s="21" t="str"/>
      <x:c r="M257" s="17" t="str">
        <x:v>Insufficient evidence</x:v>
      </x:c>
      <x:c r="N257" s="21" t="str">
        <x:v>/Users/devups/Development/CodexProjects/Gccs/docs/development-story-prompts.md (line 4722)</x:v>
      </x:c>
      <x:c r="O257" s="19"/>
      <x:c r="P257" s="21" t="str">
        <x:v>5 acceptance criteria; 5 TC references; implementation=yes; smoke=yes; automated=yes; Story-level regression template</x:v>
      </x:c>
      <x:c r="Q257" s="21" t="str"/>
      <x:c r="R257" s="21" t="str">
        <x:v>Execute Story 1A.2.1 one-at-a-time through implementation, smoke, automated, regression, commit, and push workflow.</x:v>
      </x:c>
      <x:c r="S257" s="18" t="str"/>
      <x:c r="T257" s="20"/>
      <x:c r="U257" s="21" t="str">
        <x:v>Done-marker conflict: documentary label is not sufficient proof; No-CUI remains the production boundary.</x:v>
      </x:c>
      <x:c r="V257" s="1"/>
    </x:row>
    <x:row r="258" ht="46" customHeight="1">
      <x:c r="A258" s="17" t="n">
        <x:v>254</x:v>
      </x:c>
      <x:c r="B258" s="17" t="str">
        <x:v>Phase 1A</x:v>
      </x:c>
      <x:c r="C258" s="17" t="str">
        <x:v>1A.2.1</x:v>
      </x:c>
      <x:c r="D258" s="21" t="str">
        <x:v>Classification Metadata Schema</x:v>
      </x:c>
      <x:c r="E258" s="17" t="n">
        <x:v>3</x:v>
      </x:c>
      <x:c r="F258" s="21" t="str">
        <x:v>Capture classification source: user-selected, system-suggested, admin-reviewed, or imported demo seed.</x:v>
      </x:c>
      <x:c r="G258" s="17" t="str">
        <x:v>Software implementation</x:v>
      </x:c>
      <x:c r="H258" s="17" t="str">
        <x:v>Planned</x:v>
      </x:c>
      <x:c r="I258" s="18" t="str">
        <x:v>Not Verified</x:v>
      </x:c>
      <x:c r="J258" s="17" t="str">
        <x:f>IF(OR(I258="Completed",I258="Not Applicable"),"No","Yes")</x:f>
        <x:v>Yes</x:v>
      </x:c>
      <x:c r="K258" s="17" t="str">
        <x:v>1A.2.1 task 2</x:v>
      </x:c>
      <x:c r="L258" s="21" t="str"/>
      <x:c r="M258" s="17" t="str">
        <x:v>Insufficient evidence</x:v>
      </x:c>
      <x:c r="N258" s="21" t="str">
        <x:v>/Users/devups/Development/CodexProjects/Gccs/docs/development-story-prompts.md (line 4722)</x:v>
      </x:c>
      <x:c r="O258" s="19"/>
      <x:c r="P258" s="21" t="str">
        <x:v>5 acceptance criteria; 5 TC references; implementation=yes; smoke=yes; automated=yes; Story-level regression template</x:v>
      </x:c>
      <x:c r="Q258" s="21" t="str"/>
      <x:c r="R258" s="21" t="str">
        <x:v>Execute Story 1A.2.1 one-at-a-time through implementation, smoke, automated, regression, commit, and push workflow.</x:v>
      </x:c>
      <x:c r="S258" s="18" t="str"/>
      <x:c r="T258" s="20"/>
      <x:c r="U258" s="21" t="str">
        <x:v>Done-marker conflict: documentary label is not sufficient proof; No-CUI remains the production boundary.</x:v>
      </x:c>
      <x:c r="V258" s="1"/>
    </x:row>
    <x:row r="259" ht="46" customHeight="1">
      <x:c r="A259" s="17" t="n">
        <x:v>255</x:v>
      </x:c>
      <x:c r="B259" s="17" t="str">
        <x:v>Phase 1A</x:v>
      </x:c>
      <x:c r="C259" s="17" t="str">
        <x:v>1A.2.1</x:v>
      </x:c>
      <x:c r="D259" s="21" t="str">
        <x:v>Classification Metadata Schema</x:v>
      </x:c>
      <x:c r="E259" s="17" t="n">
        <x:v>4</x:v>
      </x:c>
      <x:c r="F259" s="21" t="str">
        <x:v>Capture classification confidence, reviewer, review date, and reason when applicable.</x:v>
      </x:c>
      <x:c r="G259" s="17" t="str">
        <x:v>Software implementation</x:v>
      </x:c>
      <x:c r="H259" s="17" t="str">
        <x:v>Planned</x:v>
      </x:c>
      <x:c r="I259" s="18" t="str">
        <x:v>Not Verified</x:v>
      </x:c>
      <x:c r="J259" s="17" t="str">
        <x:f>IF(OR(I259="Completed",I259="Not Applicable"),"No","Yes")</x:f>
        <x:v>Yes</x:v>
      </x:c>
      <x:c r="K259" s="17" t="str">
        <x:v>1A.2.1 task 3</x:v>
      </x:c>
      <x:c r="L259" s="21" t="str"/>
      <x:c r="M259" s="17" t="str">
        <x:v>Insufficient evidence</x:v>
      </x:c>
      <x:c r="N259" s="21" t="str">
        <x:v>/Users/devups/Development/CodexProjects/Gccs/docs/development-story-prompts.md (line 4722)</x:v>
      </x:c>
      <x:c r="O259" s="19"/>
      <x:c r="P259" s="21" t="str">
        <x:v>5 acceptance criteria; 5 TC references; implementation=yes; smoke=yes; automated=yes; Story-level regression template</x:v>
      </x:c>
      <x:c r="Q259" s="21" t="str"/>
      <x:c r="R259" s="21" t="str">
        <x:v>Execute Story 1A.2.1 one-at-a-time through implementation, smoke, automated, regression, commit, and push workflow.</x:v>
      </x:c>
      <x:c r="S259" s="18" t="str"/>
      <x:c r="T259" s="20"/>
      <x:c r="U259" s="21" t="str">
        <x:v>Done-marker conflict: documentary label is not sufficient proof; No-CUI remains the production boundary.</x:v>
      </x:c>
      <x:c r="V259" s="1"/>
    </x:row>
    <x:row r="260" ht="46" customHeight="1">
      <x:c r="A260" s="17" t="n">
        <x:v>256</x:v>
      </x:c>
      <x:c r="B260" s="17" t="str">
        <x:v>Phase 1A</x:v>
      </x:c>
      <x:c r="C260" s="17" t="str">
        <x:v>1A.2.1</x:v>
      </x:c>
      <x:c r="D260" s="21" t="str">
        <x:v>Classification Metadata Schema</x:v>
      </x:c>
      <x:c r="E260" s="17" t="n">
        <x:v>5</x:v>
      </x:c>
      <x:c r="F260" s="21" t="str">
        <x:v>Add validation for missing or incompatible classification fields.</x:v>
      </x:c>
      <x:c r="G260" s="17" t="str">
        <x:v>Software implementation</x:v>
      </x:c>
      <x:c r="H260" s="17" t="str">
        <x:v>Planned</x:v>
      </x:c>
      <x:c r="I260" s="18" t="str">
        <x:v>Not Verified</x:v>
      </x:c>
      <x:c r="J260" s="17" t="str">
        <x:f>IF(OR(I260="Completed",I260="Not Applicable"),"No","Yes")</x:f>
        <x:v>Yes</x:v>
      </x:c>
      <x:c r="K260" s="17" t="str">
        <x:v>1A.2.1 task 4</x:v>
      </x:c>
      <x:c r="L260" s="21" t="str"/>
      <x:c r="M260" s="17" t="str">
        <x:v>Insufficient evidence</x:v>
      </x:c>
      <x:c r="N260" s="21" t="str">
        <x:v>/Users/devups/Development/CodexProjects/Gccs/docs/development-story-prompts.md (line 4722)</x:v>
      </x:c>
      <x:c r="O260" s="19"/>
      <x:c r="P260" s="21" t="str">
        <x:v>5 acceptance criteria; 5 TC references; implementation=yes; smoke=yes; automated=yes; Story-level regression template</x:v>
      </x:c>
      <x:c r="Q260" s="21" t="str"/>
      <x:c r="R260" s="21" t="str">
        <x:v>Execute Story 1A.2.1 one-at-a-time through implementation, smoke, automated, regression, commit, and push workflow.</x:v>
      </x:c>
      <x:c r="S260" s="18" t="str"/>
      <x:c r="T260" s="20"/>
      <x:c r="U260" s="21" t="str">
        <x:v>Done-marker conflict: documentary label is not sufficient proof; No-CUI remains the production boundary.</x:v>
      </x:c>
      <x:c r="V260" s="1"/>
    </x:row>
    <x:row r="261" ht="46" customHeight="1">
      <x:c r="A261" s="17" t="n">
        <x:v>257</x:v>
      </x:c>
      <x:c r="B261" s="17" t="str">
        <x:v>Phase 1A</x:v>
      </x:c>
      <x:c r="C261" s="17" t="str">
        <x:v>1A.2.2</x:v>
      </x:c>
      <x:c r="D261" s="21" t="str">
        <x:v>Classification UX And Review</x:v>
      </x:c>
      <x:c r="E261" s="17" t="n">
        <x:v>1</x:v>
      </x:c>
      <x:c r="F261" s="21" t="str">
        <x:v>Add classification selectors and warnings to upload, note, evidence, report, and extraction job flows.</x:v>
      </x:c>
      <x:c r="G261" s="17" t="str">
        <x:v>Software implementation</x:v>
      </x:c>
      <x:c r="H261" s="17" t="str">
        <x:v>Planned</x:v>
      </x:c>
      <x:c r="I261" s="18" t="str">
        <x:v>Not Verified</x:v>
      </x:c>
      <x:c r="J261" s="17" t="str">
        <x:f>IF(OR(I261="Completed",I261="Not Applicable"),"No","Yes")</x:f>
        <x:v>Yes</x:v>
      </x:c>
      <x:c r="K261" s="17" t="str">
        <x:v>1A.2.1</x:v>
      </x:c>
      <x:c r="L261" s="21" t="str"/>
      <x:c r="M261" s="17" t="str">
        <x:v>Insufficient evidence</x:v>
      </x:c>
      <x:c r="N261" s="21" t="str">
        <x:v>/Users/devups/Development/CodexProjects/Gccs/docs/development-story-prompts.md (line 4743)</x:v>
      </x:c>
      <x:c r="O261" s="19"/>
      <x:c r="P261" s="21" t="str">
        <x:v>5 acceptance criteria; 5 TC references; implementation=yes; smoke=yes; automated=yes; Story-level regression template</x:v>
      </x:c>
      <x:c r="Q261" s="21" t="str"/>
      <x:c r="R261" s="21" t="str">
        <x:v>Execute Story 1A.2.2 one-at-a-time through implementation, smoke, automated, regression, commit, and push workflow.</x:v>
      </x:c>
      <x:c r="S261" s="18" t="str"/>
      <x:c r="T261" s="20"/>
      <x:c r="U261" s="21" t="str">
        <x:v>Done-marker conflict: documentary label is not sufficient proof; No-CUI remains the production boundary.</x:v>
      </x:c>
      <x:c r="V261" s="1"/>
    </x:row>
    <x:row r="262" ht="46" customHeight="1">
      <x:c r="A262" s="17" t="n">
        <x:v>258</x:v>
      </x:c>
      <x:c r="B262" s="17" t="str">
        <x:v>Phase 1A</x:v>
      </x:c>
      <x:c r="C262" s="17" t="str">
        <x:v>1A.2.2</x:v>
      </x:c>
      <x:c r="D262" s="21" t="str">
        <x:v>Classification UX And Review</x:v>
      </x:c>
      <x:c r="E262" s="17" t="n">
        <x:v>2</x:v>
      </x:c>
      <x:c r="F262" s="21" t="str">
        <x:v>Add review state for items classified as Unknown, CUI, or Prohibited.</x:v>
      </x:c>
      <x:c r="G262" s="17" t="str">
        <x:v>Software implementation</x:v>
      </x:c>
      <x:c r="H262" s="17" t="str">
        <x:v>Planned</x:v>
      </x:c>
      <x:c r="I262" s="18" t="str">
        <x:v>Not Verified</x:v>
      </x:c>
      <x:c r="J262" s="17" t="str">
        <x:f>IF(OR(I262="Completed",I262="Not Applicable"),"No","Yes")</x:f>
        <x:v>Yes</x:v>
      </x:c>
      <x:c r="K262" s="17" t="str">
        <x:v>1A.2.2 task 1</x:v>
      </x:c>
      <x:c r="L262" s="21" t="str"/>
      <x:c r="M262" s="17" t="str">
        <x:v>Insufficient evidence</x:v>
      </x:c>
      <x:c r="N262" s="21" t="str">
        <x:v>/Users/devups/Development/CodexProjects/Gccs/docs/development-story-prompts.md (line 4743)</x:v>
      </x:c>
      <x:c r="O262" s="19"/>
      <x:c r="P262" s="21" t="str">
        <x:v>5 acceptance criteria; 5 TC references; implementation=yes; smoke=yes; automated=yes; Story-level regression template</x:v>
      </x:c>
      <x:c r="Q262" s="21" t="str"/>
      <x:c r="R262" s="21" t="str">
        <x:v>Execute Story 1A.2.2 one-at-a-time through implementation, smoke, automated, regression, commit, and push workflow.</x:v>
      </x:c>
      <x:c r="S262" s="18" t="str"/>
      <x:c r="T262" s="20"/>
      <x:c r="U262" s="21" t="str">
        <x:v>Done-marker conflict: documentary label is not sufficient proof; No-CUI remains the production boundary.</x:v>
      </x:c>
      <x:c r="V262" s="1"/>
    </x:row>
    <x:row r="263" ht="46" customHeight="1">
      <x:c r="A263" s="17" t="n">
        <x:v>259</x:v>
      </x:c>
      <x:c r="B263" s="17" t="str">
        <x:v>Phase 1A</x:v>
      </x:c>
      <x:c r="C263" s="17" t="str">
        <x:v>1A.2.2</x:v>
      </x:c>
      <x:c r="D263" s="21" t="str">
        <x:v>Classification UX And Review</x:v>
      </x:c>
      <x:c r="E263" s="17" t="n">
        <x:v>3</x:v>
      </x:c>
      <x:c r="F263" s="21" t="str">
        <x:v>Add admin review queue for classification decisions.</x:v>
      </x:c>
      <x:c r="G263" s="17" t="str">
        <x:v>Software implementation</x:v>
      </x:c>
      <x:c r="H263" s="17" t="str">
        <x:v>Planned</x:v>
      </x:c>
      <x:c r="I263" s="18" t="str">
        <x:v>Not Verified</x:v>
      </x:c>
      <x:c r="J263" s="17" t="str">
        <x:f>IF(OR(I263="Completed",I263="Not Applicable"),"No","Yes")</x:f>
        <x:v>Yes</x:v>
      </x:c>
      <x:c r="K263" s="17" t="str">
        <x:v>1A.2.2 task 2</x:v>
      </x:c>
      <x:c r="L263" s="21" t="str"/>
      <x:c r="M263" s="17" t="str">
        <x:v>Insufficient evidence</x:v>
      </x:c>
      <x:c r="N263" s="21" t="str">
        <x:v>/Users/devups/Development/CodexProjects/Gccs/docs/development-story-prompts.md (line 4743)</x:v>
      </x:c>
      <x:c r="O263" s="19"/>
      <x:c r="P263" s="21" t="str">
        <x:v>5 acceptance criteria; 5 TC references; implementation=yes; smoke=yes; automated=yes; Story-level regression template</x:v>
      </x:c>
      <x:c r="Q263" s="21" t="str"/>
      <x:c r="R263" s="21" t="str">
        <x:v>Execute Story 1A.2.2 one-at-a-time through implementation, smoke, automated, regression, commit, and push workflow.</x:v>
      </x:c>
      <x:c r="S263" s="18" t="str"/>
      <x:c r="T263" s="20"/>
      <x:c r="U263" s="21" t="str">
        <x:v>Done-marker conflict: documentary label is not sufficient proof; No-CUI remains the production boundary.</x:v>
      </x:c>
      <x:c r="V263" s="1"/>
    </x:row>
    <x:row r="264" ht="46" customHeight="1">
      <x:c r="A264" s="17" t="n">
        <x:v>260</x:v>
      </x:c>
      <x:c r="B264" s="17" t="str">
        <x:v>Phase 1A</x:v>
      </x:c>
      <x:c r="C264" s="17" t="str">
        <x:v>1A.2.2</x:v>
      </x:c>
      <x:c r="D264" s="21" t="str">
        <x:v>Classification UX And Review</x:v>
      </x:c>
      <x:c r="E264" s="17" t="n">
        <x:v>4</x:v>
      </x:c>
      <x:c r="F264" s="21" t="str">
        <x:v>Show classification badges on detail views, lists, and report generation screens.</x:v>
      </x:c>
      <x:c r="G264" s="17" t="str">
        <x:v>Software implementation</x:v>
      </x:c>
      <x:c r="H264" s="17" t="str">
        <x:v>Planned</x:v>
      </x:c>
      <x:c r="I264" s="18" t="str">
        <x:v>Not Verified</x:v>
      </x:c>
      <x:c r="J264" s="17" t="str">
        <x:f>IF(OR(I264="Completed",I264="Not Applicable"),"No","Yes")</x:f>
        <x:v>Yes</x:v>
      </x:c>
      <x:c r="K264" s="17" t="str">
        <x:v>1A.2.2 task 3</x:v>
      </x:c>
      <x:c r="L264" s="21" t="str"/>
      <x:c r="M264" s="17" t="str">
        <x:v>Insufficient evidence</x:v>
      </x:c>
      <x:c r="N264" s="21" t="str">
        <x:v>/Users/devups/Development/CodexProjects/Gccs/docs/development-story-prompts.md (line 4743)</x:v>
      </x:c>
      <x:c r="O264" s="19"/>
      <x:c r="P264" s="21" t="str">
        <x:v>5 acceptance criteria; 5 TC references; implementation=yes; smoke=yes; automated=yes; Story-level regression template</x:v>
      </x:c>
      <x:c r="Q264" s="21" t="str"/>
      <x:c r="R264" s="21" t="str">
        <x:v>Execute Story 1A.2.2 one-at-a-time through implementation, smoke, automated, regression, commit, and push workflow.</x:v>
      </x:c>
      <x:c r="S264" s="18" t="str"/>
      <x:c r="T264" s="20"/>
      <x:c r="U264" s="21" t="str">
        <x:v>Done-marker conflict: documentary label is not sufficient proof; No-CUI remains the production boundary.</x:v>
      </x:c>
      <x:c r="V264" s="1"/>
    </x:row>
    <x:row r="265" ht="46" customHeight="1">
      <x:c r="A265" s="17" t="n">
        <x:v>261</x:v>
      </x:c>
      <x:c r="B265" s="17" t="str">
        <x:v>Phase 1A</x:v>
      </x:c>
      <x:c r="C265" s="17" t="str">
        <x:v>1A.2.2</x:v>
      </x:c>
      <x:c r="D265" s="21" t="str">
        <x:v>Classification UX And Review</x:v>
      </x:c>
      <x:c r="E265" s="17" t="n">
        <x:v>5</x:v>
      </x:c>
      <x:c r="F265" s="21" t="str">
        <x:v>Add tests for blocked, reviewed, and reclassified states.</x:v>
      </x:c>
      <x:c r="G265" s="17" t="str">
        <x:v>Software implementation</x:v>
      </x:c>
      <x:c r="H265" s="17" t="str">
        <x:v>Planned</x:v>
      </x:c>
      <x:c r="I265" s="18" t="str">
        <x:v>Not Verified</x:v>
      </x:c>
      <x:c r="J265" s="17" t="str">
        <x:f>IF(OR(I265="Completed",I265="Not Applicable"),"No","Yes")</x:f>
        <x:v>Yes</x:v>
      </x:c>
      <x:c r="K265" s="17" t="str">
        <x:v>1A.2.2 task 4</x:v>
      </x:c>
      <x:c r="L265" s="21" t="str"/>
      <x:c r="M265" s="17" t="str">
        <x:v>Insufficient evidence</x:v>
      </x:c>
      <x:c r="N265" s="21" t="str">
        <x:v>/Users/devups/Development/CodexProjects/Gccs/docs/development-story-prompts.md (line 4743)</x:v>
      </x:c>
      <x:c r="O265" s="19"/>
      <x:c r="P265" s="21" t="str">
        <x:v>5 acceptance criteria; 5 TC references; implementation=yes; smoke=yes; automated=yes; Story-level regression template</x:v>
      </x:c>
      <x:c r="Q265" s="21" t="str"/>
      <x:c r="R265" s="21" t="str">
        <x:v>Execute Story 1A.2.2 one-at-a-time through implementation, smoke, automated, regression, commit, and push workflow.</x:v>
      </x:c>
      <x:c r="S265" s="18" t="str"/>
      <x:c r="T265" s="20"/>
      <x:c r="U265" s="21" t="str">
        <x:v>Done-marker conflict: documentary label is not sufficient proof; No-CUI remains the production boundary.</x:v>
      </x:c>
      <x:c r="V265" s="1"/>
    </x:row>
    <x:row r="266" ht="46" customHeight="1">
      <x:c r="A266" s="17" t="n">
        <x:v>262</x:v>
      </x:c>
      <x:c r="B266" s="17" t="str">
        <x:v>Phase 1A</x:v>
      </x:c>
      <x:c r="C266" s="17" t="str">
        <x:v>1A.3.1</x:v>
      </x:c>
      <x:c r="D266" s="21" t="str">
        <x:v>Synthetic Dataset Definition</x:v>
      </x:c>
      <x:c r="E266" s="17" t="n">
        <x:v>1</x:v>
      </x:c>
      <x:c r="F266" s="21" t="str">
        <x:v>Define synthetic company, contract, evidence, CMMC, subcontractor, and report examples.</x:v>
      </x:c>
      <x:c r="G266" s="17" t="str">
        <x:v>Software implementation</x:v>
      </x:c>
      <x:c r="H266" s="17" t="str">
        <x:v>Planned</x:v>
      </x:c>
      <x:c r="I266" s="18" t="str">
        <x:v>Not Verified</x:v>
      </x:c>
      <x:c r="J266" s="17" t="str">
        <x:f>IF(OR(I266="Completed",I266="Not Applicable"),"No","Yes")</x:f>
        <x:v>Yes</x:v>
      </x:c>
      <x:c r="K266" s="17" t="str">
        <x:v>1A.2.2</x:v>
      </x:c>
      <x:c r="L266" s="21" t="str"/>
      <x:c r="M266" s="17" t="str">
        <x:v>Insufficient evidence</x:v>
      </x:c>
      <x:c r="N266" s="21" t="str">
        <x:v>/Users/devups/Development/CodexProjects/Gccs/docs/development-story-prompts.md (line 4766)</x:v>
      </x:c>
      <x:c r="O266" s="19"/>
      <x:c r="P266" s="21" t="str">
        <x:v>5 acceptance criteria; 5 TC references; implementation=yes; smoke=yes; automated=yes; Story-level regression template</x:v>
      </x:c>
      <x:c r="Q266" s="21" t="str"/>
      <x:c r="R266" s="21" t="str">
        <x:v>Execute Story 1A.3.1 one-at-a-time through implementation, smoke, automated, regression, commit, and push workflow.</x:v>
      </x:c>
      <x:c r="S266" s="18" t="str"/>
      <x:c r="T266" s="20"/>
      <x:c r="U266" s="21" t="str">
        <x:v>Done-marker conflict: documentary label is not sufficient proof; No-CUI remains the production boundary.</x:v>
      </x:c>
      <x:c r="V266" s="1"/>
    </x:row>
    <x:row r="267" ht="46" customHeight="1">
      <x:c r="A267" s="17" t="n">
        <x:v>263</x:v>
      </x:c>
      <x:c r="B267" s="17" t="str">
        <x:v>Phase 1A</x:v>
      </x:c>
      <x:c r="C267" s="17" t="str">
        <x:v>1A.3.1</x:v>
      </x:c>
      <x:c r="D267" s="21" t="str">
        <x:v>Synthetic Dataset Definition</x:v>
      </x:c>
      <x:c r="E267" s="17" t="n">
        <x:v>2</x:v>
      </x:c>
      <x:c r="F267" s="21" t="str">
        <x:v>Mark every demo record with SyntheticCui classification and demo dataset version.</x:v>
      </x:c>
      <x:c r="G267" s="17" t="str">
        <x:v>Software implementation</x:v>
      </x:c>
      <x:c r="H267" s="17" t="str">
        <x:v>Planned</x:v>
      </x:c>
      <x:c r="I267" s="18" t="str">
        <x:v>Not Verified</x:v>
      </x:c>
      <x:c r="J267" s="17" t="str">
        <x:f>IF(OR(I267="Completed",I267="Not Applicable"),"No","Yes")</x:f>
        <x:v>Yes</x:v>
      </x:c>
      <x:c r="K267" s="17" t="str">
        <x:v>1A.3.1 task 1</x:v>
      </x:c>
      <x:c r="L267" s="21" t="str"/>
      <x:c r="M267" s="17" t="str">
        <x:v>Insufficient evidence</x:v>
      </x:c>
      <x:c r="N267" s="21" t="str">
        <x:v>/Users/devups/Development/CodexProjects/Gccs/docs/development-story-prompts.md (line 4766)</x:v>
      </x:c>
      <x:c r="O267" s="19"/>
      <x:c r="P267" s="21" t="str">
        <x:v>5 acceptance criteria; 5 TC references; implementation=yes; smoke=yes; automated=yes; Story-level regression template</x:v>
      </x:c>
      <x:c r="Q267" s="21" t="str"/>
      <x:c r="R267" s="21" t="str">
        <x:v>Execute Story 1A.3.1 one-at-a-time through implementation, smoke, automated, regression, commit, and push workflow.</x:v>
      </x:c>
      <x:c r="S267" s="18" t="str"/>
      <x:c r="T267" s="20"/>
      <x:c r="U267" s="21" t="str">
        <x:v>Done-marker conflict: documentary label is not sufficient proof; No-CUI remains the production boundary.</x:v>
      </x:c>
      <x:c r="V267" s="1"/>
    </x:row>
    <x:row r="268" ht="46" customHeight="1">
      <x:c r="A268" s="17" t="n">
        <x:v>264</x:v>
      </x:c>
      <x:c r="B268" s="17" t="str">
        <x:v>Phase 1A</x:v>
      </x:c>
      <x:c r="C268" s="17" t="str">
        <x:v>1A.3.1</x:v>
      </x:c>
      <x:c r="D268" s="21" t="str">
        <x:v>Synthetic Dataset Definition</x:v>
      </x:c>
      <x:c r="E268" s="17" t="n">
        <x:v>3</x:v>
      </x:c>
      <x:c r="F268" s="21" t="str">
        <x:v>Add visible synthetic data labels to demo content.</x:v>
      </x:c>
      <x:c r="G268" s="17" t="str">
        <x:v>Software implementation</x:v>
      </x:c>
      <x:c r="H268" s="17" t="str">
        <x:v>Planned</x:v>
      </x:c>
      <x:c r="I268" s="18" t="str">
        <x:v>Not Verified</x:v>
      </x:c>
      <x:c r="J268" s="17" t="str">
        <x:f>IF(OR(I268="Completed",I268="Not Applicable"),"No","Yes")</x:f>
        <x:v>Yes</x:v>
      </x:c>
      <x:c r="K268" s="17" t="str">
        <x:v>1A.3.1 task 2</x:v>
      </x:c>
      <x:c r="L268" s="21" t="str"/>
      <x:c r="M268" s="17" t="str">
        <x:v>Insufficient evidence</x:v>
      </x:c>
      <x:c r="N268" s="21" t="str">
        <x:v>/Users/devups/Development/CodexProjects/Gccs/docs/development-story-prompts.md (line 4766)</x:v>
      </x:c>
      <x:c r="O268" s="19"/>
      <x:c r="P268" s="21" t="str">
        <x:v>5 acceptance criteria; 5 TC references; implementation=yes; smoke=yes; automated=yes; Story-level regression template</x:v>
      </x:c>
      <x:c r="Q268" s="21" t="str"/>
      <x:c r="R268" s="21" t="str">
        <x:v>Execute Story 1A.3.1 one-at-a-time through implementation, smoke, automated, regression, commit, and push workflow.</x:v>
      </x:c>
      <x:c r="S268" s="18" t="str"/>
      <x:c r="T268" s="20"/>
      <x:c r="U268" s="21" t="str">
        <x:v>Done-marker conflict: documentary label is not sufficient proof; No-CUI remains the production boundary.</x:v>
      </x:c>
      <x:c r="V268" s="1"/>
    </x:row>
    <x:row r="269" ht="46" customHeight="1">
      <x:c r="A269" s="17" t="n">
        <x:v>265</x:v>
      </x:c>
      <x:c r="B269" s="17" t="str">
        <x:v>Phase 1A</x:v>
      </x:c>
      <x:c r="C269" s="17" t="str">
        <x:v>1A.3.1</x:v>
      </x:c>
      <x:c r="D269" s="21" t="str">
        <x:v>Synthetic Dataset Definition</x:v>
      </x:c>
      <x:c r="E269" s="17" t="n">
        <x:v>4</x:v>
      </x:c>
      <x:c r="F269" s="21" t="str">
        <x:v>Review sample text to remove real customer, government-sensitive, export-controlled, classified, or proprietary data.</x:v>
      </x:c>
      <x:c r="G269" s="17" t="str">
        <x:v>Software implementation</x:v>
      </x:c>
      <x:c r="H269" s="17" t="str">
        <x:v>Planned</x:v>
      </x:c>
      <x:c r="I269" s="18" t="str">
        <x:v>Not Verified</x:v>
      </x:c>
      <x:c r="J269" s="17" t="str">
        <x:f>IF(OR(I269="Completed",I269="Not Applicable"),"No","Yes")</x:f>
        <x:v>Yes</x:v>
      </x:c>
      <x:c r="K269" s="17" t="str">
        <x:v>1A.3.1 task 3</x:v>
      </x:c>
      <x:c r="L269" s="21" t="str"/>
      <x:c r="M269" s="17" t="str">
        <x:v>Insufficient evidence</x:v>
      </x:c>
      <x:c r="N269" s="21" t="str">
        <x:v>/Users/devups/Development/CodexProjects/Gccs/docs/development-story-prompts.md (line 4766)</x:v>
      </x:c>
      <x:c r="O269" s="19"/>
      <x:c r="P269" s="21" t="str">
        <x:v>5 acceptance criteria; 5 TC references; implementation=yes; smoke=yes; automated=yes; Story-level regression template</x:v>
      </x:c>
      <x:c r="Q269" s="21" t="str"/>
      <x:c r="R269" s="21" t="str">
        <x:v>Execute Story 1A.3.1 one-at-a-time through implementation, smoke, automated, regression, commit, and push workflow.</x:v>
      </x:c>
      <x:c r="S269" s="18" t="str"/>
      <x:c r="T269" s="20"/>
      <x:c r="U269" s="21" t="str">
        <x:v>Done-marker conflict: documentary label is not sufficient proof; No-CUI remains the production boundary.</x:v>
      </x:c>
      <x:c r="V269" s="1"/>
    </x:row>
    <x:row r="270" ht="46" customHeight="1">
      <x:c r="A270" s="17" t="n">
        <x:v>266</x:v>
      </x:c>
      <x:c r="B270" s="17" t="str">
        <x:v>Phase 1A</x:v>
      </x:c>
      <x:c r="C270" s="17" t="str">
        <x:v>1A.3.1</x:v>
      </x:c>
      <x:c r="D270" s="21" t="str">
        <x:v>Synthetic Dataset Definition</x:v>
      </x:c>
      <x:c r="E270" s="17" t="n">
        <x:v>5</x:v>
      </x:c>
      <x:c r="F270" s="21" t="str">
        <x:v>Document dataset purpose, limitations, owner, and review date.</x:v>
      </x:c>
      <x:c r="G270" s="17" t="str">
        <x:v>Software implementation</x:v>
      </x:c>
      <x:c r="H270" s="17" t="str">
        <x:v>Planned</x:v>
      </x:c>
      <x:c r="I270" s="18" t="str">
        <x:v>Not Verified</x:v>
      </x:c>
      <x:c r="J270" s="17" t="str">
        <x:f>IF(OR(I270="Completed",I270="Not Applicable"),"No","Yes")</x:f>
        <x:v>Yes</x:v>
      </x:c>
      <x:c r="K270" s="17" t="str">
        <x:v>1A.3.1 task 4</x:v>
      </x:c>
      <x:c r="L270" s="21" t="str"/>
      <x:c r="M270" s="17" t="str">
        <x:v>Insufficient evidence</x:v>
      </x:c>
      <x:c r="N270" s="21" t="str">
        <x:v>/Users/devups/Development/CodexProjects/Gccs/docs/development-story-prompts.md (line 4766)</x:v>
      </x:c>
      <x:c r="O270" s="19"/>
      <x:c r="P270" s="21" t="str">
        <x:v>5 acceptance criteria; 5 TC references; implementation=yes; smoke=yes; automated=yes; Story-level regression template</x:v>
      </x:c>
      <x:c r="Q270" s="21" t="str"/>
      <x:c r="R270" s="21" t="str">
        <x:v>Execute Story 1A.3.1 one-at-a-time through implementation, smoke, automated, regression, commit, and push workflow.</x:v>
      </x:c>
      <x:c r="S270" s="18" t="str"/>
      <x:c r="T270" s="20"/>
      <x:c r="U270" s="21" t="str">
        <x:v>Done-marker conflict: documentary label is not sufficient proof; No-CUI remains the production boundary.</x:v>
      </x:c>
      <x:c r="V270" s="1"/>
    </x:row>
    <x:row r="271" ht="46" customHeight="1">
      <x:c r="A271" s="17" t="n">
        <x:v>267</x:v>
      </x:c>
      <x:c r="B271" s="17" t="str">
        <x:v>Phase 1A</x:v>
      </x:c>
      <x:c r="C271" s="17" t="str">
        <x:v>1A.3.2</x:v>
      </x:c>
      <x:c r="D271" s="21" t="str">
        <x:v>Demo Tenant Seeding</x:v>
      </x:c>
      <x:c r="E271" s="17" t="n">
        <x:v>1</x:v>
      </x:c>
      <x:c r="F271" s="21" t="str">
        <x:v>Create seed process for demo tenants only.</x:v>
      </x:c>
      <x:c r="G271" s="17" t="str">
        <x:v>Software implementation</x:v>
      </x:c>
      <x:c r="H271" s="17" t="str">
        <x:v>Planned</x:v>
      </x:c>
      <x:c r="I271" s="18" t="str">
        <x:v>Not Verified</x:v>
      </x:c>
      <x:c r="J271" s="17" t="str">
        <x:f>IF(OR(I271="Completed",I271="Not Applicable"),"No","Yes")</x:f>
        <x:v>Yes</x:v>
      </x:c>
      <x:c r="K271" s="17" t="str">
        <x:v>1A.3.1</x:v>
      </x:c>
      <x:c r="L271" s="21" t="str"/>
      <x:c r="M271" s="17" t="str">
        <x:v>Insufficient evidence</x:v>
      </x:c>
      <x:c r="N271" s="21" t="str">
        <x:v>/Users/devups/Development/CodexProjects/Gccs/docs/development-story-prompts.md (line 4787)</x:v>
      </x:c>
      <x:c r="O271" s="19"/>
      <x:c r="P271" s="21" t="str">
        <x:v>5 acceptance criteria; 5 TC references; implementation=yes; smoke=yes; automated=yes; Story-level regression template</x:v>
      </x:c>
      <x:c r="Q271" s="21" t="str"/>
      <x:c r="R271" s="21" t="str">
        <x:v>Execute Story 1A.3.2 one-at-a-time through implementation, smoke, automated, regression, commit, and push workflow.</x:v>
      </x:c>
      <x:c r="S271" s="18" t="str"/>
      <x:c r="T271" s="20"/>
      <x:c r="U271" s="21" t="str">
        <x:v>Done-marker conflict: documentary label is not sufficient proof; No-CUI remains the production boundary.</x:v>
      </x:c>
      <x:c r="V271" s="1"/>
    </x:row>
    <x:row r="272" ht="46" customHeight="1">
      <x:c r="A272" s="17" t="n">
        <x:v>268</x:v>
      </x:c>
      <x:c r="B272" s="17" t="str">
        <x:v>Phase 1A</x:v>
      </x:c>
      <x:c r="C272" s="17" t="str">
        <x:v>1A.3.2</x:v>
      </x:c>
      <x:c r="D272" s="21" t="str">
        <x:v>Demo Tenant Seeding</x:v>
      </x:c>
      <x:c r="E272" s="17" t="n">
        <x:v>2</x:v>
      </x:c>
      <x:c r="F272" s="21" t="str">
        <x:v>Seed synthetic contract intake, clause tagging, evidence, CMMC readiness, subcontractor flow-down, report, and escalation examples.</x:v>
      </x:c>
      <x:c r="G272" s="17" t="str">
        <x:v>Software implementation</x:v>
      </x:c>
      <x:c r="H272" s="17" t="str">
        <x:v>Planned</x:v>
      </x:c>
      <x:c r="I272" s="18" t="str">
        <x:v>Not Verified</x:v>
      </x:c>
      <x:c r="J272" s="17" t="str">
        <x:f>IF(OR(I272="Completed",I272="Not Applicable"),"No","Yes")</x:f>
        <x:v>Yes</x:v>
      </x:c>
      <x:c r="K272" s="17" t="str">
        <x:v>1A.3.2 task 1</x:v>
      </x:c>
      <x:c r="L272" s="21" t="str"/>
      <x:c r="M272" s="17" t="str">
        <x:v>Insufficient evidence</x:v>
      </x:c>
      <x:c r="N272" s="21" t="str">
        <x:v>/Users/devups/Development/CodexProjects/Gccs/docs/development-story-prompts.md (line 4787)</x:v>
      </x:c>
      <x:c r="O272" s="19"/>
      <x:c r="P272" s="21" t="str">
        <x:v>5 acceptance criteria; 5 TC references; implementation=yes; smoke=yes; automated=yes; Story-level regression template</x:v>
      </x:c>
      <x:c r="Q272" s="21" t="str"/>
      <x:c r="R272" s="21" t="str">
        <x:v>Execute Story 1A.3.2 one-at-a-time through implementation, smoke, automated, regression, commit, and push workflow.</x:v>
      </x:c>
      <x:c r="S272" s="18" t="str"/>
      <x:c r="T272" s="20"/>
      <x:c r="U272" s="21" t="str">
        <x:v>Done-marker conflict: documentary label is not sufficient proof; No-CUI remains the production boundary.</x:v>
      </x:c>
      <x:c r="V272" s="1"/>
    </x:row>
    <x:row r="273" ht="46" customHeight="1">
      <x:c r="A273" s="17" t="n">
        <x:v>269</x:v>
      </x:c>
      <x:c r="B273" s="17" t="str">
        <x:v>Phase 1A</x:v>
      </x:c>
      <x:c r="C273" s="17" t="str">
        <x:v>1A.3.2</x:v>
      </x:c>
      <x:c r="D273" s="21" t="str">
        <x:v>Demo Tenant Seeding</x:v>
      </x:c>
      <x:c r="E273" s="17" t="n">
        <x:v>3</x:v>
      </x:c>
      <x:c r="F273" s="21" t="str">
        <x:v>Prevent synthetic seed import into production customer tenants unless tenant mode is DemoSandbox.</x:v>
      </x:c>
      <x:c r="G273" s="17" t="str">
        <x:v>Software implementation</x:v>
      </x:c>
      <x:c r="H273" s="17" t="str">
        <x:v>Planned</x:v>
      </x:c>
      <x:c r="I273" s="18" t="str">
        <x:v>Not Verified</x:v>
      </x:c>
      <x:c r="J273" s="17" t="str">
        <x:f>IF(OR(I273="Completed",I273="Not Applicable"),"No","Yes")</x:f>
        <x:v>Yes</x:v>
      </x:c>
      <x:c r="K273" s="17" t="str">
        <x:v>1A.3.2 task 2</x:v>
      </x:c>
      <x:c r="L273" s="21" t="str"/>
      <x:c r="M273" s="17" t="str">
        <x:v>Insufficient evidence</x:v>
      </x:c>
      <x:c r="N273" s="21" t="str">
        <x:v>/Users/devups/Development/CodexProjects/Gccs/docs/development-story-prompts.md (line 4787)</x:v>
      </x:c>
      <x:c r="O273" s="19"/>
      <x:c r="P273" s="21" t="str">
        <x:v>5 acceptance criteria; 5 TC references; implementation=yes; smoke=yes; automated=yes; Story-level regression template</x:v>
      </x:c>
      <x:c r="Q273" s="21" t="str"/>
      <x:c r="R273" s="21" t="str">
        <x:v>Execute Story 1A.3.2 one-at-a-time through implementation, smoke, automated, regression, commit, and push workflow.</x:v>
      </x:c>
      <x:c r="S273" s="18" t="str"/>
      <x:c r="T273" s="20"/>
      <x:c r="U273" s="21" t="str">
        <x:v>Done-marker conflict: documentary label is not sufficient proof; No-CUI remains the production boundary.</x:v>
      </x:c>
      <x:c r="V273" s="1"/>
    </x:row>
    <x:row r="274" ht="46" customHeight="1">
      <x:c r="A274" s="17" t="n">
        <x:v>270</x:v>
      </x:c>
      <x:c r="B274" s="17" t="str">
        <x:v>Phase 1A</x:v>
      </x:c>
      <x:c r="C274" s="17" t="str">
        <x:v>1A.3.2</x:v>
      </x:c>
      <x:c r="D274" s="21" t="str">
        <x:v>Demo Tenant Seeding</x:v>
      </x:c>
      <x:c r="E274" s="17" t="n">
        <x:v>4</x:v>
      </x:c>
      <x:c r="F274" s="21" t="str">
        <x:v>Add reset process for demo tenants.</x:v>
      </x:c>
      <x:c r="G274" s="17" t="str">
        <x:v>Software implementation</x:v>
      </x:c>
      <x:c r="H274" s="17" t="str">
        <x:v>Planned</x:v>
      </x:c>
      <x:c r="I274" s="18" t="str">
        <x:v>Not Verified</x:v>
      </x:c>
      <x:c r="J274" s="17" t="str">
        <x:f>IF(OR(I274="Completed",I274="Not Applicable"),"No","Yes")</x:f>
        <x:v>Yes</x:v>
      </x:c>
      <x:c r="K274" s="17" t="str">
        <x:v>1A.3.2 task 3</x:v>
      </x:c>
      <x:c r="L274" s="21" t="str"/>
      <x:c r="M274" s="17" t="str">
        <x:v>Insufficient evidence</x:v>
      </x:c>
      <x:c r="N274" s="21" t="str">
        <x:v>/Users/devups/Development/CodexProjects/Gccs/docs/development-story-prompts.md (line 4787)</x:v>
      </x:c>
      <x:c r="O274" s="19"/>
      <x:c r="P274" s="21" t="str">
        <x:v>5 acceptance criteria; 5 TC references; implementation=yes; smoke=yes; automated=yes; Story-level regression template</x:v>
      </x:c>
      <x:c r="Q274" s="21" t="str"/>
      <x:c r="R274" s="21" t="str">
        <x:v>Execute Story 1A.3.2 one-at-a-time through implementation, smoke, automated, regression, commit, and push workflow.</x:v>
      </x:c>
      <x:c r="S274" s="18" t="str"/>
      <x:c r="T274" s="20"/>
      <x:c r="U274" s="21" t="str">
        <x:v>Done-marker conflict: documentary label is not sufficient proof; No-CUI remains the production boundary.</x:v>
      </x:c>
      <x:c r="V274" s="1"/>
    </x:row>
    <x:row r="275" ht="46" customHeight="1">
      <x:c r="A275" s="17" t="n">
        <x:v>271</x:v>
      </x:c>
      <x:c r="B275" s="17" t="str">
        <x:v>Phase 1A</x:v>
      </x:c>
      <x:c r="C275" s="17" t="str">
        <x:v>1A.3.2</x:v>
      </x:c>
      <x:c r="D275" s="21" t="str">
        <x:v>Demo Tenant Seeding</x:v>
      </x:c>
      <x:c r="E275" s="17" t="n">
        <x:v>5</x:v>
      </x:c>
      <x:c r="F275" s="21" t="str">
        <x:v>Add tests for seed idempotency and mode restrictions.</x:v>
      </x:c>
      <x:c r="G275" s="17" t="str">
        <x:v>Software implementation</x:v>
      </x:c>
      <x:c r="H275" s="17" t="str">
        <x:v>Planned</x:v>
      </x:c>
      <x:c r="I275" s="18" t="str">
        <x:v>Not Verified</x:v>
      </x:c>
      <x:c r="J275" s="17" t="str">
        <x:f>IF(OR(I275="Completed",I275="Not Applicable"),"No","Yes")</x:f>
        <x:v>Yes</x:v>
      </x:c>
      <x:c r="K275" s="17" t="str">
        <x:v>1A.3.2 task 4</x:v>
      </x:c>
      <x:c r="L275" s="21" t="str"/>
      <x:c r="M275" s="17" t="str">
        <x:v>Insufficient evidence</x:v>
      </x:c>
      <x:c r="N275" s="21" t="str">
        <x:v>/Users/devups/Development/CodexProjects/Gccs/docs/development-story-prompts.md (line 4787)</x:v>
      </x:c>
      <x:c r="O275" s="19"/>
      <x:c r="P275" s="21" t="str">
        <x:v>5 acceptance criteria; 5 TC references; implementation=yes; smoke=yes; automated=yes; Story-level regression template</x:v>
      </x:c>
      <x:c r="Q275" s="21" t="str"/>
      <x:c r="R275" s="21" t="str">
        <x:v>Execute Story 1A.3.2 one-at-a-time through implementation, smoke, automated, regression, commit, and push workflow.</x:v>
      </x:c>
      <x:c r="S275" s="18" t="str"/>
      <x:c r="T275" s="20"/>
      <x:c r="U275" s="21" t="str">
        <x:v>Done-marker conflict: documentary label is not sufficient proof; No-CUI remains the production boundary.</x:v>
      </x:c>
      <x:c r="V275" s="1"/>
    </x:row>
    <x:row r="276" ht="46" customHeight="1">
      <x:c r="A276" s="17" t="n">
        <x:v>272</x:v>
      </x:c>
      <x:c r="B276" s="17" t="str">
        <x:v>Phase 1A</x:v>
      </x:c>
      <x:c r="C276" s="17" t="str">
        <x:v>1A.4.1</x:v>
      </x:c>
      <x:c r="D276" s="21" t="str">
        <x:v>Approval Checklist Model</x:v>
      </x:c>
      <x:c r="E276" s="17" t="n">
        <x:v>1</x:v>
      </x:c>
      <x:c r="F276" s="21" t="str">
        <x:v>Define checklist sections for customer agreement, data handling notice, shared responsibility matrix, security review, support escalation, backup/restore, admin access, retention, and incident response.</x:v>
      </x:c>
      <x:c r="G276" s="17" t="str">
        <x:v>Software implementation</x:v>
      </x:c>
      <x:c r="H276" s="17" t="str">
        <x:v>Planned</x:v>
      </x:c>
      <x:c r="I276" s="18" t="str">
        <x:v>Not Verified</x:v>
      </x:c>
      <x:c r="J276" s="17" t="str">
        <x:f>IF(OR(I276="Completed",I276="Not Applicable"),"No","Yes")</x:f>
        <x:v>Yes</x:v>
      </x:c>
      <x:c r="K276" s="17" t="str">
        <x:v>1A.3.2</x:v>
      </x:c>
      <x:c r="L276" s="21" t="str"/>
      <x:c r="M276" s="17" t="str">
        <x:v>Insufficient evidence</x:v>
      </x:c>
      <x:c r="N276" s="21" t="str">
        <x:v>/Users/devups/Development/CodexProjects/Gccs/docs/development-story-prompts.md (line 4810)</x:v>
      </x:c>
      <x:c r="O276" s="19"/>
      <x:c r="P276" s="21" t="str">
        <x:v>5 acceptance criteria; 5 TC references; implementation=yes; smoke=yes; automated=yes; Story-level regression template</x:v>
      </x:c>
      <x:c r="Q276" s="21" t="str"/>
      <x:c r="R276" s="21" t="str">
        <x:v>Execute Story 1A.4.1 one-at-a-time through implementation, smoke, automated, regression, commit, and push workflow.</x:v>
      </x:c>
      <x:c r="S276" s="18" t="str"/>
      <x:c r="T276" s="20"/>
      <x:c r="U276" s="21" t="str">
        <x:v>Done-marker conflict: documentary label is not sufficient proof; No-CUI remains the production boundary.</x:v>
      </x:c>
      <x:c r="V276" s="1"/>
    </x:row>
    <x:row r="277" ht="46" customHeight="1">
      <x:c r="A277" s="17" t="n">
        <x:v>273</x:v>
      </x:c>
      <x:c r="B277" s="17" t="str">
        <x:v>Phase 1A</x:v>
      </x:c>
      <x:c r="C277" s="17" t="str">
        <x:v>1A.4.1</x:v>
      </x:c>
      <x:c r="D277" s="21" t="str">
        <x:v>Approval Checklist Model</x:v>
      </x:c>
      <x:c r="E277" s="17" t="n">
        <x:v>2</x:v>
      </x:c>
      <x:c r="F277" s="21" t="str">
        <x:v>Add checklist item fields for status, owner, evidence link, reviewer, review date, and notes.</x:v>
      </x:c>
      <x:c r="G277" s="17" t="str">
        <x:v>Software implementation</x:v>
      </x:c>
      <x:c r="H277" s="17" t="str">
        <x:v>Planned</x:v>
      </x:c>
      <x:c r="I277" s="18" t="str">
        <x:v>Not Verified</x:v>
      </x:c>
      <x:c r="J277" s="17" t="str">
        <x:f>IF(OR(I277="Completed",I277="Not Applicable"),"No","Yes")</x:f>
        <x:v>Yes</x:v>
      </x:c>
      <x:c r="K277" s="17" t="str">
        <x:v>1A.4.1 task 1</x:v>
      </x:c>
      <x:c r="L277" s="21" t="str"/>
      <x:c r="M277" s="17" t="str">
        <x:v>Insufficient evidence</x:v>
      </x:c>
      <x:c r="N277" s="21" t="str">
        <x:v>/Users/devups/Development/CodexProjects/Gccs/docs/development-story-prompts.md (line 4810)</x:v>
      </x:c>
      <x:c r="O277" s="19"/>
      <x:c r="P277" s="21" t="str">
        <x:v>5 acceptance criteria; 5 TC references; implementation=yes; smoke=yes; automated=yes; Story-level regression template</x:v>
      </x:c>
      <x:c r="Q277" s="21" t="str"/>
      <x:c r="R277" s="21" t="str">
        <x:v>Execute Story 1A.4.1 one-at-a-time through implementation, smoke, automated, regression, commit, and push workflow.</x:v>
      </x:c>
      <x:c r="S277" s="18" t="str"/>
      <x:c r="T277" s="20"/>
      <x:c r="U277" s="21" t="str">
        <x:v>Done-marker conflict: documentary label is not sufficient proof; No-CUI remains the production boundary.</x:v>
      </x:c>
      <x:c r="V277" s="1"/>
    </x:row>
    <x:row r="278" ht="46" customHeight="1">
      <x:c r="A278" s="17" t="n">
        <x:v>274</x:v>
      </x:c>
      <x:c r="B278" s="17" t="str">
        <x:v>Phase 1A</x:v>
      </x:c>
      <x:c r="C278" s="17" t="str">
        <x:v>1A.4.1</x:v>
      </x:c>
      <x:c r="D278" s="21" t="str">
        <x:v>Approval Checklist Model</x:v>
      </x:c>
      <x:c r="E278" s="17" t="n">
        <x:v>3</x:v>
      </x:c>
      <x:c r="F278" s="21" t="str">
        <x:v>Add checklist states: draft, in review, approved, rejected, superseded.</x:v>
      </x:c>
      <x:c r="G278" s="17" t="str">
        <x:v>Software implementation</x:v>
      </x:c>
      <x:c r="H278" s="17" t="str">
        <x:v>Planned</x:v>
      </x:c>
      <x:c r="I278" s="18" t="str">
        <x:v>Not Verified</x:v>
      </x:c>
      <x:c r="J278" s="17" t="str">
        <x:f>IF(OR(I278="Completed",I278="Not Applicable"),"No","Yes")</x:f>
        <x:v>Yes</x:v>
      </x:c>
      <x:c r="K278" s="17" t="str">
        <x:v>1A.4.1 task 2</x:v>
      </x:c>
      <x:c r="L278" s="21" t="str"/>
      <x:c r="M278" s="17" t="str">
        <x:v>Insufficient evidence</x:v>
      </x:c>
      <x:c r="N278" s="21" t="str">
        <x:v>/Users/devups/Development/CodexProjects/Gccs/docs/development-story-prompts.md (line 4810)</x:v>
      </x:c>
      <x:c r="O278" s="19"/>
      <x:c r="P278" s="21" t="str">
        <x:v>5 acceptance criteria; 5 TC references; implementation=yes; smoke=yes; automated=yes; Story-level regression template</x:v>
      </x:c>
      <x:c r="Q278" s="21" t="str"/>
      <x:c r="R278" s="21" t="str">
        <x:v>Execute Story 1A.4.1 one-at-a-time through implementation, smoke, automated, regression, commit, and push workflow.</x:v>
      </x:c>
      <x:c r="S278" s="18" t="str"/>
      <x:c r="T278" s="20"/>
      <x:c r="U278" s="21" t="str">
        <x:v>Done-marker conflict: documentary label is not sufficient proof; No-CUI remains the production boundary.</x:v>
      </x:c>
      <x:c r="V278" s="1"/>
    </x:row>
    <x:row r="279" ht="46" customHeight="1">
      <x:c r="A279" s="17" t="n">
        <x:v>275</x:v>
      </x:c>
      <x:c r="B279" s="17" t="str">
        <x:v>Phase 1A</x:v>
      </x:c>
      <x:c r="C279" s="17" t="str">
        <x:v>1A.4.1</x:v>
      </x:c>
      <x:c r="D279" s="21" t="str">
        <x:v>Approval Checklist Model</x:v>
      </x:c>
      <x:c r="E279" s="17" t="n">
        <x:v>4</x:v>
      </x:c>
      <x:c r="F279" s="21" t="str">
        <x:v>Link checklist records to tenant mode changes.</x:v>
      </x:c>
      <x:c r="G279" s="17" t="str">
        <x:v>Software implementation</x:v>
      </x:c>
      <x:c r="H279" s="17" t="str">
        <x:v>Planned</x:v>
      </x:c>
      <x:c r="I279" s="18" t="str">
        <x:v>Not Verified</x:v>
      </x:c>
      <x:c r="J279" s="17" t="str">
        <x:f>IF(OR(I279="Completed",I279="Not Applicable"),"No","Yes")</x:f>
        <x:v>Yes</x:v>
      </x:c>
      <x:c r="K279" s="17" t="str">
        <x:v>1A.4.1 task 3</x:v>
      </x:c>
      <x:c r="L279" s="21" t="str"/>
      <x:c r="M279" s="17" t="str">
        <x:v>Insufficient evidence</x:v>
      </x:c>
      <x:c r="N279" s="21" t="str">
        <x:v>/Users/devups/Development/CodexProjects/Gccs/docs/development-story-prompts.md (line 4810)</x:v>
      </x:c>
      <x:c r="O279" s="19"/>
      <x:c r="P279" s="21" t="str">
        <x:v>5 acceptance criteria; 5 TC references; implementation=yes; smoke=yes; automated=yes; Story-level regression template</x:v>
      </x:c>
      <x:c r="Q279" s="21" t="str"/>
      <x:c r="R279" s="21" t="str">
        <x:v>Execute Story 1A.4.1 one-at-a-time through implementation, smoke, automated, regression, commit, and push workflow.</x:v>
      </x:c>
      <x:c r="S279" s="18" t="str"/>
      <x:c r="T279" s="20"/>
      <x:c r="U279" s="21" t="str">
        <x:v>Done-marker conflict: documentary label is not sufficient proof; No-CUI remains the production boundary.</x:v>
      </x:c>
      <x:c r="V279" s="1"/>
    </x:row>
    <x:row r="280" ht="46" customHeight="1">
      <x:c r="A280" s="17" t="n">
        <x:v>276</x:v>
      </x:c>
      <x:c r="B280" s="17" t="str">
        <x:v>Phase 1A</x:v>
      </x:c>
      <x:c r="C280" s="17" t="str">
        <x:v>1A.4.1</x:v>
      </x:c>
      <x:c r="D280" s="21" t="str">
        <x:v>Approval Checklist Model</x:v>
      </x:c>
      <x:c r="E280" s="17" t="n">
        <x:v>5</x:v>
      </x:c>
      <x:c r="F280" s="21" t="str">
        <x:v>Add API and UI for checklist creation, update, review, and approval.</x:v>
      </x:c>
      <x:c r="G280" s="17" t="str">
        <x:v>Software implementation</x:v>
      </x:c>
      <x:c r="H280" s="17" t="str">
        <x:v>Planned</x:v>
      </x:c>
      <x:c r="I280" s="18" t="str">
        <x:v>Not Verified</x:v>
      </x:c>
      <x:c r="J280" s="17" t="str">
        <x:f>IF(OR(I280="Completed",I280="Not Applicable"),"No","Yes")</x:f>
        <x:v>Yes</x:v>
      </x:c>
      <x:c r="K280" s="17" t="str">
        <x:v>1A.4.1 task 4</x:v>
      </x:c>
      <x:c r="L280" s="21" t="str"/>
      <x:c r="M280" s="17" t="str">
        <x:v>Insufficient evidence</x:v>
      </x:c>
      <x:c r="N280" s="21" t="str">
        <x:v>/Users/devups/Development/CodexProjects/Gccs/docs/development-story-prompts.md (line 4810)</x:v>
      </x:c>
      <x:c r="O280" s="19"/>
      <x:c r="P280" s="21" t="str">
        <x:v>5 acceptance criteria; 5 TC references; implementation=yes; smoke=yes; automated=yes; Story-level regression template</x:v>
      </x:c>
      <x:c r="Q280" s="21" t="str"/>
      <x:c r="R280" s="21" t="str">
        <x:v>Execute Story 1A.4.1 one-at-a-time through implementation, smoke, automated, regression, commit, and push workflow.</x:v>
      </x:c>
      <x:c r="S280" s="18" t="str"/>
      <x:c r="T280" s="20"/>
      <x:c r="U280" s="21" t="str">
        <x:v>Done-marker conflict: documentary label is not sufficient proof; No-CUI remains the production boundary.</x:v>
      </x:c>
      <x:c r="V280" s="1"/>
    </x:row>
    <x:row r="281" ht="46" customHeight="1">
      <x:c r="A281" s="17" t="n">
        <x:v>277</x:v>
      </x:c>
      <x:c r="B281" s="17" t="str">
        <x:v>Phase 1A</x:v>
      </x:c>
      <x:c r="C281" s="17" t="str">
        <x:v>1A.4.2</x:v>
      </x:c>
      <x:c r="D281" s="21" t="str">
        <x:v>Approval Gate Enforcement</x:v>
      </x:c>
      <x:c r="E281" s="17" t="n">
        <x:v>1</x:v>
      </x:c>
      <x:c r="F281" s="21" t="str">
        <x:v>Add server-side guard that validates checklist approval before setting tenant mode to CuiReady.</x:v>
      </x:c>
      <x:c r="G281" s="17" t="str">
        <x:v>Software implementation</x:v>
      </x:c>
      <x:c r="H281" s="17" t="str">
        <x:v>Planned</x:v>
      </x:c>
      <x:c r="I281" s="18" t="str">
        <x:v>Not Verified</x:v>
      </x:c>
      <x:c r="J281" s="17" t="str">
        <x:f>IF(OR(I281="Completed",I281="Not Applicable"),"No","Yes")</x:f>
        <x:v>Yes</x:v>
      </x:c>
      <x:c r="K281" s="17" t="str">
        <x:v>1A.4.1</x:v>
      </x:c>
      <x:c r="L281" s="21" t="str"/>
      <x:c r="M281" s="17" t="str">
        <x:v>Insufficient evidence</x:v>
      </x:c>
      <x:c r="N281" s="21" t="str">
        <x:v>/Users/devups/Development/CodexProjects/Gccs/docs/development-story-prompts.md (line 4831)</x:v>
      </x:c>
      <x:c r="O281" s="19"/>
      <x:c r="P281" s="21" t="str">
        <x:v>5 acceptance criteria; 5 TC references; implementation=yes; smoke=yes; automated=yes; Story-level regression template</x:v>
      </x:c>
      <x:c r="Q281" s="21" t="str"/>
      <x:c r="R281" s="21" t="str">
        <x:v>Execute Story 1A.4.2 one-at-a-time through implementation, smoke, automated, regression, commit, and push workflow.</x:v>
      </x:c>
      <x:c r="S281" s="18" t="str"/>
      <x:c r="T281" s="20"/>
      <x:c r="U281" s="21" t="str">
        <x:v>Done-marker conflict: documentary label is not sufficient proof; No-CUI remains the production boundary.</x:v>
      </x:c>
      <x:c r="V281" s="1"/>
    </x:row>
    <x:row r="282" ht="46" customHeight="1">
      <x:c r="A282" s="17" t="n">
        <x:v>278</x:v>
      </x:c>
      <x:c r="B282" s="17" t="str">
        <x:v>Phase 1A</x:v>
      </x:c>
      <x:c r="C282" s="17" t="str">
        <x:v>1A.4.2</x:v>
      </x:c>
      <x:c r="D282" s="21" t="str">
        <x:v>Approval Gate Enforcement</x:v>
      </x:c>
      <x:c r="E282" s="17" t="n">
        <x:v>2</x:v>
      </x:c>
      <x:c r="F282" s="21" t="str">
        <x:v>Add permission requirement for final approval and mode change.</x:v>
      </x:c>
      <x:c r="G282" s="17" t="str">
        <x:v>Software implementation</x:v>
      </x:c>
      <x:c r="H282" s="17" t="str">
        <x:v>Planned</x:v>
      </x:c>
      <x:c r="I282" s="18" t="str">
        <x:v>Not Verified</x:v>
      </x:c>
      <x:c r="J282" s="17" t="str">
        <x:f>IF(OR(I282="Completed",I282="Not Applicable"),"No","Yes")</x:f>
        <x:v>Yes</x:v>
      </x:c>
      <x:c r="K282" s="17" t="str">
        <x:v>1A.4.2 task 1</x:v>
      </x:c>
      <x:c r="L282" s="21" t="str"/>
      <x:c r="M282" s="17" t="str">
        <x:v>Insufficient evidence</x:v>
      </x:c>
      <x:c r="N282" s="21" t="str">
        <x:v>/Users/devups/Development/CodexProjects/Gccs/docs/development-story-prompts.md (line 4831)</x:v>
      </x:c>
      <x:c r="O282" s="19"/>
      <x:c r="P282" s="21" t="str">
        <x:v>5 acceptance criteria; 5 TC references; implementation=yes; smoke=yes; automated=yes; Story-level regression template</x:v>
      </x:c>
      <x:c r="Q282" s="21" t="str"/>
      <x:c r="R282" s="21" t="str">
        <x:v>Execute Story 1A.4.2 one-at-a-time through implementation, smoke, automated, regression, commit, and push workflow.</x:v>
      </x:c>
      <x:c r="S282" s="18" t="str"/>
      <x:c r="T282" s="20"/>
      <x:c r="U282" s="21" t="str">
        <x:v>Done-marker conflict: documentary label is not sufficient proof; No-CUI remains the production boundary.</x:v>
      </x:c>
      <x:c r="V282" s="1"/>
    </x:row>
    <x:row r="283" ht="46" customHeight="1">
      <x:c r="A283" s="17" t="n">
        <x:v>279</x:v>
      </x:c>
      <x:c r="B283" s="17" t="str">
        <x:v>Phase 1A</x:v>
      </x:c>
      <x:c r="C283" s="17" t="str">
        <x:v>1A.4.2</x:v>
      </x:c>
      <x:c r="D283" s="21" t="str">
        <x:v>Approval Gate Enforcement</x:v>
      </x:c>
      <x:c r="E283" s="17" t="n">
        <x:v>3</x:v>
      </x:c>
      <x:c r="F283" s="21" t="str">
        <x:v>Add stale-check detection for expired or superseded approvals.</x:v>
      </x:c>
      <x:c r="G283" s="17" t="str">
        <x:v>Software implementation</x:v>
      </x:c>
      <x:c r="H283" s="17" t="str">
        <x:v>Planned</x:v>
      </x:c>
      <x:c r="I283" s="18" t="str">
        <x:v>Not Verified</x:v>
      </x:c>
      <x:c r="J283" s="17" t="str">
        <x:f>IF(OR(I283="Completed",I283="Not Applicable"),"No","Yes")</x:f>
        <x:v>Yes</x:v>
      </x:c>
      <x:c r="K283" s="17" t="str">
        <x:v>1A.4.2 task 2</x:v>
      </x:c>
      <x:c r="L283" s="21" t="str"/>
      <x:c r="M283" s="17" t="str">
        <x:v>Insufficient evidence</x:v>
      </x:c>
      <x:c r="N283" s="21" t="str">
        <x:v>/Users/devups/Development/CodexProjects/Gccs/docs/development-story-prompts.md (line 4831)</x:v>
      </x:c>
      <x:c r="O283" s="19"/>
      <x:c r="P283" s="21" t="str">
        <x:v>5 acceptance criteria; 5 TC references; implementation=yes; smoke=yes; automated=yes; Story-level regression template</x:v>
      </x:c>
      <x:c r="Q283" s="21" t="str"/>
      <x:c r="R283" s="21" t="str">
        <x:v>Execute Story 1A.4.2 one-at-a-time through implementation, smoke, automated, regression, commit, and push workflow.</x:v>
      </x:c>
      <x:c r="S283" s="18" t="str"/>
      <x:c r="T283" s="20"/>
      <x:c r="U283" s="21" t="str">
        <x:v>Done-marker conflict: documentary label is not sufficient proof; No-CUI remains the production boundary.</x:v>
      </x:c>
      <x:c r="V283" s="1"/>
    </x:row>
    <x:row r="284" ht="46" customHeight="1">
      <x:c r="A284" s="17" t="n">
        <x:v>280</x:v>
      </x:c>
      <x:c r="B284" s="17" t="str">
        <x:v>Phase 1A</x:v>
      </x:c>
      <x:c r="C284" s="17" t="str">
        <x:v>1A.4.2</x:v>
      </x:c>
      <x:c r="D284" s="21" t="str">
        <x:v>Approval Gate Enforcement</x:v>
      </x:c>
      <x:c r="E284" s="17" t="n">
        <x:v>4</x:v>
      </x:c>
      <x:c r="F284" s="21" t="str">
        <x:v>Add UI messaging for missing approval items.</x:v>
      </x:c>
      <x:c r="G284" s="17" t="str">
        <x:v>Software implementation</x:v>
      </x:c>
      <x:c r="H284" s="17" t="str">
        <x:v>Planned</x:v>
      </x:c>
      <x:c r="I284" s="18" t="str">
        <x:v>Not Verified</x:v>
      </x:c>
      <x:c r="J284" s="17" t="str">
        <x:f>IF(OR(I284="Completed",I284="Not Applicable"),"No","Yes")</x:f>
        <x:v>Yes</x:v>
      </x:c>
      <x:c r="K284" s="17" t="str">
        <x:v>1A.4.2 task 3</x:v>
      </x:c>
      <x:c r="L284" s="21" t="str"/>
      <x:c r="M284" s="17" t="str">
        <x:v>Insufficient evidence</x:v>
      </x:c>
      <x:c r="N284" s="21" t="str">
        <x:v>/Users/devups/Development/CodexProjects/Gccs/docs/development-story-prompts.md (line 4831)</x:v>
      </x:c>
      <x:c r="O284" s="19"/>
      <x:c r="P284" s="21" t="str">
        <x:v>5 acceptance criteria; 5 TC references; implementation=yes; smoke=yes; automated=yes; Story-level regression template</x:v>
      </x:c>
      <x:c r="Q284" s="21" t="str"/>
      <x:c r="R284" s="21" t="str">
        <x:v>Execute Story 1A.4.2 one-at-a-time through implementation, smoke, automated, regression, commit, and push workflow.</x:v>
      </x:c>
      <x:c r="S284" s="18" t="str"/>
      <x:c r="T284" s="20"/>
      <x:c r="U284" s="21" t="str">
        <x:v>Done-marker conflict: documentary label is not sufficient proof; No-CUI remains the production boundary.</x:v>
      </x:c>
      <x:c r="V284" s="1"/>
    </x:row>
    <x:row r="285" ht="46" customHeight="1">
      <x:c r="A285" s="17" t="n">
        <x:v>281</x:v>
      </x:c>
      <x:c r="B285" s="17" t="str">
        <x:v>Phase 1A</x:v>
      </x:c>
      <x:c r="C285" s="17" t="str">
        <x:v>1A.4.2</x:v>
      </x:c>
      <x:c r="D285" s="21" t="str">
        <x:v>Approval Gate Enforcement</x:v>
      </x:c>
      <x:c r="E285" s="17" t="n">
        <x:v>5</x:v>
      </x:c>
      <x:c r="F285" s="21" t="str">
        <x:v>Add tests for incomplete, rejected, stale, and approved checklist scenarios.</x:v>
      </x:c>
      <x:c r="G285" s="17" t="str">
        <x:v>Software implementation</x:v>
      </x:c>
      <x:c r="H285" s="17" t="str">
        <x:v>Planned</x:v>
      </x:c>
      <x:c r="I285" s="18" t="str">
        <x:v>Not Verified</x:v>
      </x:c>
      <x:c r="J285" s="17" t="str">
        <x:f>IF(OR(I285="Completed",I285="Not Applicable"),"No","Yes")</x:f>
        <x:v>Yes</x:v>
      </x:c>
      <x:c r="K285" s="17" t="str">
        <x:v>1A.4.2 task 4</x:v>
      </x:c>
      <x:c r="L285" s="21" t="str"/>
      <x:c r="M285" s="17" t="str">
        <x:v>Insufficient evidence</x:v>
      </x:c>
      <x:c r="N285" s="21" t="str">
        <x:v>/Users/devups/Development/CodexProjects/Gccs/docs/development-story-prompts.md (line 4831)</x:v>
      </x:c>
      <x:c r="O285" s="19"/>
      <x:c r="P285" s="21" t="str">
        <x:v>5 acceptance criteria; 5 TC references; implementation=yes; smoke=yes; automated=yes; Story-level regression template</x:v>
      </x:c>
      <x:c r="Q285" s="21" t="str"/>
      <x:c r="R285" s="21" t="str">
        <x:v>Execute Story 1A.4.2 one-at-a-time through implementation, smoke, automated, regression, commit, and push workflow.</x:v>
      </x:c>
      <x:c r="S285" s="18" t="str"/>
      <x:c r="T285" s="20"/>
      <x:c r="U285" s="21" t="str">
        <x:v>Done-marker conflict: documentary label is not sufficient proof; No-CUI remains the production boundary.</x:v>
      </x:c>
      <x:c r="V285" s="1"/>
    </x:row>
    <x:row r="286" ht="46" customHeight="1">
      <x:c r="A286" s="17" t="n">
        <x:v>282</x:v>
      </x:c>
      <x:c r="B286" s="17" t="str">
        <x:v>Phase 1A</x:v>
      </x:c>
      <x:c r="C286" s="17" t="str">
        <x:v>1A.5.1</x:v>
      </x:c>
      <x:c r="D286" s="21" t="str">
        <x:v>Baseline Responsibility Matrix</x:v>
      </x:c>
      <x:c r="E286" s="17" t="n">
        <x:v>1</x:v>
      </x:c>
      <x:c r="F286" s="21" t="str">
        <x:v>Define matrix categories for tenant administration, user access, MFA, upload classification, evidence storage, encryption, malware scanning, retention, backup, export, deletion, incident reporting, support, and customer content decisions.</x:v>
      </x:c>
      <x:c r="G286" s="17" t="str">
        <x:v>Software implementation</x:v>
      </x:c>
      <x:c r="H286" s="17" t="str">
        <x:v>Planned</x:v>
      </x:c>
      <x:c r="I286" s="18" t="str">
        <x:v>Not Verified</x:v>
      </x:c>
      <x:c r="J286" s="17" t="str">
        <x:f>IF(OR(I286="Completed",I286="Not Applicable"),"No","Yes")</x:f>
        <x:v>Yes</x:v>
      </x:c>
      <x:c r="K286" s="17" t="str">
        <x:v>1A.4.2</x:v>
      </x:c>
      <x:c r="L286" s="21" t="str"/>
      <x:c r="M286" s="17" t="str">
        <x:v>Insufficient evidence</x:v>
      </x:c>
      <x:c r="N286" s="21" t="str">
        <x:v>/Users/devups/Development/CodexProjects/Gccs/docs/development-story-prompts.md (line 4854)</x:v>
      </x:c>
      <x:c r="O286" s="19"/>
      <x:c r="P286" s="21" t="str">
        <x:v>5 acceptance criteria; 5 TC references; implementation=yes; smoke=yes; automated=yes; Story-level regression template</x:v>
      </x:c>
      <x:c r="Q286" s="21" t="str"/>
      <x:c r="R286" s="21" t="str">
        <x:v>Execute Story 1A.5.1 one-at-a-time through implementation, smoke, automated, regression, commit, and push workflow.</x:v>
      </x:c>
      <x:c r="S286" s="18" t="str"/>
      <x:c r="T286" s="20"/>
      <x:c r="U286" s="21" t="str">
        <x:v>Done-marker conflict: documentary label is not sufficient proof; No-CUI remains the production boundary.</x:v>
      </x:c>
      <x:c r="V286" s="1"/>
    </x:row>
    <x:row r="287" ht="46" customHeight="1">
      <x:c r="A287" s="17" t="n">
        <x:v>283</x:v>
      </x:c>
      <x:c r="B287" s="17" t="str">
        <x:v>Phase 1A</x:v>
      </x:c>
      <x:c r="C287" s="17" t="str">
        <x:v>1A.5.1</x:v>
      </x:c>
      <x:c r="D287" s="21" t="str">
        <x:v>Baseline Responsibility Matrix</x:v>
      </x:c>
      <x:c r="E287" s="17" t="n">
        <x:v>2</x:v>
      </x:c>
      <x:c r="F287" s="21" t="str">
        <x:v>Assign responsibility values: GCCS, customer, shared, third-party provider, or not applicable.</x:v>
      </x:c>
      <x:c r="G287" s="17" t="str">
        <x:v>Software implementation</x:v>
      </x:c>
      <x:c r="H287" s="17" t="str">
        <x:v>Planned</x:v>
      </x:c>
      <x:c r="I287" s="18" t="str">
        <x:v>Not Verified</x:v>
      </x:c>
      <x:c r="J287" s="17" t="str">
        <x:f>IF(OR(I287="Completed",I287="Not Applicable"),"No","Yes")</x:f>
        <x:v>Yes</x:v>
      </x:c>
      <x:c r="K287" s="17" t="str">
        <x:v>1A.5.1 task 1</x:v>
      </x:c>
      <x:c r="L287" s="21" t="str"/>
      <x:c r="M287" s="17" t="str">
        <x:v>Insufficient evidence</x:v>
      </x:c>
      <x:c r="N287" s="21" t="str">
        <x:v>/Users/devups/Development/CodexProjects/Gccs/docs/development-story-prompts.md (line 4854)</x:v>
      </x:c>
      <x:c r="O287" s="19"/>
      <x:c r="P287" s="21" t="str">
        <x:v>5 acceptance criteria; 5 TC references; implementation=yes; smoke=yes; automated=yes; Story-level regression template</x:v>
      </x:c>
      <x:c r="Q287" s="21" t="str"/>
      <x:c r="R287" s="21" t="str">
        <x:v>Execute Story 1A.5.1 one-at-a-time through implementation, smoke, automated, regression, commit, and push workflow.</x:v>
      </x:c>
      <x:c r="S287" s="18" t="str"/>
      <x:c r="T287" s="20"/>
      <x:c r="U287" s="21" t="str">
        <x:v>Done-marker conflict: documentary label is not sufficient proof; No-CUI remains the production boundary.</x:v>
      </x:c>
      <x:c r="V287" s="1"/>
    </x:row>
    <x:row r="288" ht="46" customHeight="1">
      <x:c r="A288" s="17" t="n">
        <x:v>284</x:v>
      </x:c>
      <x:c r="B288" s="17" t="str">
        <x:v>Phase 1A</x:v>
      </x:c>
      <x:c r="C288" s="17" t="str">
        <x:v>1A.5.1</x:v>
      </x:c>
      <x:c r="D288" s="21" t="str">
        <x:v>Baseline Responsibility Matrix</x:v>
      </x:c>
      <x:c r="E288" s="17" t="n">
        <x:v>3</x:v>
      </x:c>
      <x:c r="F288" s="21" t="str">
        <x:v>Include notes, source reference, review owner, effective date, and version.</x:v>
      </x:c>
      <x:c r="G288" s="17" t="str">
        <x:v>Software implementation</x:v>
      </x:c>
      <x:c r="H288" s="17" t="str">
        <x:v>Planned</x:v>
      </x:c>
      <x:c r="I288" s="18" t="str">
        <x:v>Not Verified</x:v>
      </x:c>
      <x:c r="J288" s="17" t="str">
        <x:f>IF(OR(I288="Completed",I288="Not Applicable"),"No","Yes")</x:f>
        <x:v>Yes</x:v>
      </x:c>
      <x:c r="K288" s="17" t="str">
        <x:v>1A.5.1 task 2</x:v>
      </x:c>
      <x:c r="L288" s="21" t="str"/>
      <x:c r="M288" s="17" t="str">
        <x:v>Insufficient evidence</x:v>
      </x:c>
      <x:c r="N288" s="21" t="str">
        <x:v>/Users/devups/Development/CodexProjects/Gccs/docs/development-story-prompts.md (line 4854)</x:v>
      </x:c>
      <x:c r="O288" s="19"/>
      <x:c r="P288" s="21" t="str">
        <x:v>5 acceptance criteria; 5 TC references; implementation=yes; smoke=yes; automated=yes; Story-level regression template</x:v>
      </x:c>
      <x:c r="Q288" s="21" t="str"/>
      <x:c r="R288" s="21" t="str">
        <x:v>Execute Story 1A.5.1 one-at-a-time through implementation, smoke, automated, regression, commit, and push workflow.</x:v>
      </x:c>
      <x:c r="S288" s="18" t="str"/>
      <x:c r="T288" s="20"/>
      <x:c r="U288" s="21" t="str">
        <x:v>Done-marker conflict: documentary label is not sufficient proof; No-CUI remains the production boundary.</x:v>
      </x:c>
      <x:c r="V288" s="1"/>
    </x:row>
    <x:row r="289" ht="46" customHeight="1">
      <x:c r="A289" s="17" t="n">
        <x:v>285</x:v>
      </x:c>
      <x:c r="B289" s="17" t="str">
        <x:v>Phase 1A</x:v>
      </x:c>
      <x:c r="C289" s="17" t="str">
        <x:v>1A.5.1</x:v>
      </x:c>
      <x:c r="D289" s="21" t="str">
        <x:v>Baseline Responsibility Matrix</x:v>
      </x:c>
      <x:c r="E289" s="17" t="n">
        <x:v>4</x:v>
      </x:c>
      <x:c r="F289" s="21" t="str">
        <x:v>Add internal review and publish workflow.</x:v>
      </x:c>
      <x:c r="G289" s="17" t="str">
        <x:v>Software implementation</x:v>
      </x:c>
      <x:c r="H289" s="17" t="str">
        <x:v>Planned</x:v>
      </x:c>
      <x:c r="I289" s="18" t="str">
        <x:v>Not Verified</x:v>
      </x:c>
      <x:c r="J289" s="17" t="str">
        <x:f>IF(OR(I289="Completed",I289="Not Applicable"),"No","Yes")</x:f>
        <x:v>Yes</x:v>
      </x:c>
      <x:c r="K289" s="17" t="str">
        <x:v>1A.5.1 task 3</x:v>
      </x:c>
      <x:c r="L289" s="21" t="str"/>
      <x:c r="M289" s="17" t="str">
        <x:v>Insufficient evidence</x:v>
      </x:c>
      <x:c r="N289" s="21" t="str">
        <x:v>/Users/devups/Development/CodexProjects/Gccs/docs/development-story-prompts.md (line 4854)</x:v>
      </x:c>
      <x:c r="O289" s="19"/>
      <x:c r="P289" s="21" t="str">
        <x:v>5 acceptance criteria; 5 TC references; implementation=yes; smoke=yes; automated=yes; Story-level regression template</x:v>
      </x:c>
      <x:c r="Q289" s="21" t="str"/>
      <x:c r="R289" s="21" t="str">
        <x:v>Execute Story 1A.5.1 one-at-a-time through implementation, smoke, automated, regression, commit, and push workflow.</x:v>
      </x:c>
      <x:c r="S289" s="18" t="str"/>
      <x:c r="T289" s="20"/>
      <x:c r="U289" s="21" t="str">
        <x:v>Done-marker conflict: documentary label is not sufficient proof; No-CUI remains the production boundary.</x:v>
      </x:c>
      <x:c r="V289" s="1"/>
    </x:row>
    <x:row r="290" ht="46" customHeight="1">
      <x:c r="A290" s="17" t="n">
        <x:v>286</x:v>
      </x:c>
      <x:c r="B290" s="17" t="str">
        <x:v>Phase 1A</x:v>
      </x:c>
      <x:c r="C290" s="17" t="str">
        <x:v>1A.5.1</x:v>
      </x:c>
      <x:c r="D290" s="21" t="str">
        <x:v>Baseline Responsibility Matrix</x:v>
      </x:c>
      <x:c r="E290" s="17" t="n">
        <x:v>5</x:v>
      </x:c>
      <x:c r="F290" s="21" t="str">
        <x:v>Store matrix as source-controlled content or governed database content.</x:v>
      </x:c>
      <x:c r="G290" s="17" t="str">
        <x:v>Software implementation</x:v>
      </x:c>
      <x:c r="H290" s="17" t="str">
        <x:v>Planned</x:v>
      </x:c>
      <x:c r="I290" s="18" t="str">
        <x:v>Not Verified</x:v>
      </x:c>
      <x:c r="J290" s="17" t="str">
        <x:f>IF(OR(I290="Completed",I290="Not Applicable"),"No","Yes")</x:f>
        <x:v>Yes</x:v>
      </x:c>
      <x:c r="K290" s="17" t="str">
        <x:v>1A.5.1 task 4</x:v>
      </x:c>
      <x:c r="L290" s="21" t="str"/>
      <x:c r="M290" s="17" t="str">
        <x:v>Insufficient evidence</x:v>
      </x:c>
      <x:c r="N290" s="21" t="str">
        <x:v>/Users/devups/Development/CodexProjects/Gccs/docs/development-story-prompts.md (line 4854)</x:v>
      </x:c>
      <x:c r="O290" s="19"/>
      <x:c r="P290" s="21" t="str">
        <x:v>5 acceptance criteria; 5 TC references; implementation=yes; smoke=yes; automated=yes; Story-level regression template</x:v>
      </x:c>
      <x:c r="Q290" s="21" t="str"/>
      <x:c r="R290" s="21" t="str">
        <x:v>Execute Story 1A.5.1 one-at-a-time through implementation, smoke, automated, regression, commit, and push workflow.</x:v>
      </x:c>
      <x:c r="S290" s="18" t="str"/>
      <x:c r="T290" s="20"/>
      <x:c r="U290" s="21" t="str">
        <x:v>Done-marker conflict: documentary label is not sufficient proof; No-CUI remains the production boundary.</x:v>
      </x:c>
      <x:c r="V290" s="1"/>
    </x:row>
    <x:row r="291" ht="46" customHeight="1">
      <x:c r="A291" s="17" t="n">
        <x:v>287</x:v>
      </x:c>
      <x:c r="B291" s="17" t="str">
        <x:v>Phase 1A</x:v>
      </x:c>
      <x:c r="C291" s="17" t="str">
        <x:v>1A.5.2</x:v>
      </x:c>
      <x:c r="D291" s="21" t="str">
        <x:v>Tenant Matrix Acknowledgement</x:v>
      </x:c>
      <x:c r="E291" s="17" t="n">
        <x:v>1</x:v>
      </x:c>
      <x:c r="F291" s="21" t="str">
        <x:v>Add matrix acknowledgement workflow for tenant admins.</x:v>
      </x:c>
      <x:c r="G291" s="17" t="str">
        <x:v>Software implementation</x:v>
      </x:c>
      <x:c r="H291" s="17" t="str">
        <x:v>Planned</x:v>
      </x:c>
      <x:c r="I291" s="18" t="str">
        <x:v>Not Verified</x:v>
      </x:c>
      <x:c r="J291" s="17" t="str">
        <x:f>IF(OR(I291="Completed",I291="Not Applicable"),"No","Yes")</x:f>
        <x:v>Yes</x:v>
      </x:c>
      <x:c r="K291" s="17" t="str">
        <x:v>1A.5.1</x:v>
      </x:c>
      <x:c r="L291" s="21" t="str"/>
      <x:c r="M291" s="17" t="str">
        <x:v>Insufficient evidence</x:v>
      </x:c>
      <x:c r="N291" s="21" t="str">
        <x:v>/Users/devups/Development/CodexProjects/Gccs/docs/development-story-prompts.md (line 4875)</x:v>
      </x:c>
      <x:c r="O291" s="19"/>
      <x:c r="P291" s="21" t="str">
        <x:v>5 acceptance criteria; 5 TC references; implementation=yes; smoke=yes; automated=yes; Story-level regression template</x:v>
      </x:c>
      <x:c r="Q291" s="21" t="str"/>
      <x:c r="R291" s="21" t="str">
        <x:v>Execute Story 1A.5.2 one-at-a-time through implementation, smoke, automated, regression, commit, and push workflow.</x:v>
      </x:c>
      <x:c r="S291" s="18" t="str"/>
      <x:c r="T291" s="20"/>
      <x:c r="U291" s="21" t="str">
        <x:v>Done-marker conflict: documentary label is not sufficient proof; No-CUI remains the production boundary.</x:v>
      </x:c>
      <x:c r="V291" s="1"/>
    </x:row>
    <x:row r="292" ht="46" customHeight="1">
      <x:c r="A292" s="17" t="n">
        <x:v>288</x:v>
      </x:c>
      <x:c r="B292" s="17" t="str">
        <x:v>Phase 1A</x:v>
      </x:c>
      <x:c r="C292" s="17" t="str">
        <x:v>1A.5.2</x:v>
      </x:c>
      <x:c r="D292" s="21" t="str">
        <x:v>Tenant Matrix Acknowledgement</x:v>
      </x:c>
      <x:c r="E292" s="17" t="n">
        <x:v>2</x:v>
      </x:c>
      <x:c r="F292" s="21" t="str">
        <x:v>Record matrix version, user, tenant, timestamp, and acknowledgement status.</x:v>
      </x:c>
      <x:c r="G292" s="17" t="str">
        <x:v>Software implementation</x:v>
      </x:c>
      <x:c r="H292" s="17" t="str">
        <x:v>Planned</x:v>
      </x:c>
      <x:c r="I292" s="18" t="str">
        <x:v>Not Verified</x:v>
      </x:c>
      <x:c r="J292" s="17" t="str">
        <x:f>IF(OR(I292="Completed",I292="Not Applicable"),"No","Yes")</x:f>
        <x:v>Yes</x:v>
      </x:c>
      <x:c r="K292" s="17" t="str">
        <x:v>1A.5.2 task 1</x:v>
      </x:c>
      <x:c r="L292" s="21" t="str"/>
      <x:c r="M292" s="17" t="str">
        <x:v>Insufficient evidence</x:v>
      </x:c>
      <x:c r="N292" s="21" t="str">
        <x:v>/Users/devups/Development/CodexProjects/Gccs/docs/development-story-prompts.md (line 4875)</x:v>
      </x:c>
      <x:c r="O292" s="19"/>
      <x:c r="P292" s="21" t="str">
        <x:v>5 acceptance criteria; 5 TC references; implementation=yes; smoke=yes; automated=yes; Story-level regression template</x:v>
      </x:c>
      <x:c r="Q292" s="21" t="str"/>
      <x:c r="R292" s="21" t="str">
        <x:v>Execute Story 1A.5.2 one-at-a-time through implementation, smoke, automated, regression, commit, and push workflow.</x:v>
      </x:c>
      <x:c r="S292" s="18" t="str"/>
      <x:c r="T292" s="20"/>
      <x:c r="U292" s="21" t="str">
        <x:v>Done-marker conflict: documentary label is not sufficient proof; No-CUI remains the production boundary.</x:v>
      </x:c>
      <x:c r="V292" s="1"/>
    </x:row>
    <x:row r="293" ht="46" customHeight="1">
      <x:c r="A293" s="17" t="n">
        <x:v>289</x:v>
      </x:c>
      <x:c r="B293" s="17" t="str">
        <x:v>Phase 1A</x:v>
      </x:c>
      <x:c r="C293" s="17" t="str">
        <x:v>1A.5.2</x:v>
      </x:c>
      <x:c r="D293" s="21" t="str">
        <x:v>Tenant Matrix Acknowledgement</x:v>
      </x:c>
      <x:c r="E293" s="17" t="n">
        <x:v>3</x:v>
      </x:c>
      <x:c r="F293" s="21" t="str">
        <x:v>Require current matrix acknowledgement before future CuiReady approval.</x:v>
      </x:c>
      <x:c r="G293" s="17" t="str">
        <x:v>Software implementation</x:v>
      </x:c>
      <x:c r="H293" s="17" t="str">
        <x:v>Planned</x:v>
      </x:c>
      <x:c r="I293" s="18" t="str">
        <x:v>Not Verified</x:v>
      </x:c>
      <x:c r="J293" s="17" t="str">
        <x:f>IF(OR(I293="Completed",I293="Not Applicable"),"No","Yes")</x:f>
        <x:v>Yes</x:v>
      </x:c>
      <x:c r="K293" s="17" t="str">
        <x:v>1A.5.2 task 2</x:v>
      </x:c>
      <x:c r="L293" s="21" t="str"/>
      <x:c r="M293" s="17" t="str">
        <x:v>Insufficient evidence</x:v>
      </x:c>
      <x:c r="N293" s="21" t="str">
        <x:v>/Users/devups/Development/CodexProjects/Gccs/docs/development-story-prompts.md (line 4875)</x:v>
      </x:c>
      <x:c r="O293" s="19"/>
      <x:c r="P293" s="21" t="str">
        <x:v>5 acceptance criteria; 5 TC references; implementation=yes; smoke=yes; automated=yes; Story-level regression template</x:v>
      </x:c>
      <x:c r="Q293" s="21" t="str"/>
      <x:c r="R293" s="21" t="str">
        <x:v>Execute Story 1A.5.2 one-at-a-time through implementation, smoke, automated, regression, commit, and push workflow.</x:v>
      </x:c>
      <x:c r="S293" s="18" t="str"/>
      <x:c r="T293" s="20"/>
      <x:c r="U293" s="21" t="str">
        <x:v>Done-marker conflict: documentary label is not sufficient proof; No-CUI remains the production boundary.</x:v>
      </x:c>
      <x:c r="V293" s="1"/>
    </x:row>
    <x:row r="294" ht="46" customHeight="1">
      <x:c r="A294" s="17" t="n">
        <x:v>290</x:v>
      </x:c>
      <x:c r="B294" s="17" t="str">
        <x:v>Phase 1A</x:v>
      </x:c>
      <x:c r="C294" s="17" t="str">
        <x:v>1A.5.2</x:v>
      </x:c>
      <x:c r="D294" s="21" t="str">
        <x:v>Tenant Matrix Acknowledgement</x:v>
      </x:c>
      <x:c r="E294" s="17" t="n">
        <x:v>4</x:v>
      </x:c>
      <x:c r="F294" s="21" t="str">
        <x:v>Notify tenant admins when a published matrix version changes.</x:v>
      </x:c>
      <x:c r="G294" s="17" t="str">
        <x:v>Software implementation</x:v>
      </x:c>
      <x:c r="H294" s="17" t="str">
        <x:v>Planned</x:v>
      </x:c>
      <x:c r="I294" s="18" t="str">
        <x:v>Not Verified</x:v>
      </x:c>
      <x:c r="J294" s="17" t="str">
        <x:f>IF(OR(I294="Completed",I294="Not Applicable"),"No","Yes")</x:f>
        <x:v>Yes</x:v>
      </x:c>
      <x:c r="K294" s="17" t="str">
        <x:v>1A.5.2 task 3</x:v>
      </x:c>
      <x:c r="L294" s="21" t="str"/>
      <x:c r="M294" s="17" t="str">
        <x:v>Insufficient evidence</x:v>
      </x:c>
      <x:c r="N294" s="21" t="str">
        <x:v>/Users/devups/Development/CodexProjects/Gccs/docs/development-story-prompts.md (line 4875)</x:v>
      </x:c>
      <x:c r="O294" s="19"/>
      <x:c r="P294" s="21" t="str">
        <x:v>5 acceptance criteria; 5 TC references; implementation=yes; smoke=yes; automated=yes; Story-level regression template</x:v>
      </x:c>
      <x:c r="Q294" s="21" t="str"/>
      <x:c r="R294" s="21" t="str">
        <x:v>Execute Story 1A.5.2 one-at-a-time through implementation, smoke, automated, regression, commit, and push workflow.</x:v>
      </x:c>
      <x:c r="S294" s="18" t="str"/>
      <x:c r="T294" s="20"/>
      <x:c r="U294" s="21" t="str">
        <x:v>Done-marker conflict: documentary label is not sufficient proof; No-CUI remains the production boundary.</x:v>
      </x:c>
      <x:c r="V294" s="1"/>
    </x:row>
    <x:row r="295" ht="46" customHeight="1">
      <x:c r="A295" s="17" t="n">
        <x:v>291</x:v>
      </x:c>
      <x:c r="B295" s="17" t="str">
        <x:v>Phase 1A</x:v>
      </x:c>
      <x:c r="C295" s="17" t="str">
        <x:v>1A.5.2</x:v>
      </x:c>
      <x:c r="D295" s="21" t="str">
        <x:v>Tenant Matrix Acknowledgement</x:v>
      </x:c>
      <x:c r="E295" s="17" t="n">
        <x:v>5</x:v>
      </x:c>
      <x:c r="F295" s="21" t="str">
        <x:v>Add acknowledgement history view.</x:v>
      </x:c>
      <x:c r="G295" s="17" t="str">
        <x:v>Software implementation</x:v>
      </x:c>
      <x:c r="H295" s="17" t="str">
        <x:v>Planned</x:v>
      </x:c>
      <x:c r="I295" s="18" t="str">
        <x:v>Not Verified</x:v>
      </x:c>
      <x:c r="J295" s="17" t="str">
        <x:f>IF(OR(I295="Completed",I295="Not Applicable"),"No","Yes")</x:f>
        <x:v>Yes</x:v>
      </x:c>
      <x:c r="K295" s="17" t="str">
        <x:v>1A.5.2 task 4</x:v>
      </x:c>
      <x:c r="L295" s="21" t="str"/>
      <x:c r="M295" s="17" t="str">
        <x:v>Insufficient evidence</x:v>
      </x:c>
      <x:c r="N295" s="21" t="str">
        <x:v>/Users/devups/Development/CodexProjects/Gccs/docs/development-story-prompts.md (line 4875)</x:v>
      </x:c>
      <x:c r="O295" s="19"/>
      <x:c r="P295" s="21" t="str">
        <x:v>5 acceptance criteria; 5 TC references; implementation=yes; smoke=yes; automated=yes; Story-level regression template</x:v>
      </x:c>
      <x:c r="Q295" s="21" t="str"/>
      <x:c r="R295" s="21" t="str">
        <x:v>Execute Story 1A.5.2 one-at-a-time through implementation, smoke, automated, regression, commit, and push workflow.</x:v>
      </x:c>
      <x:c r="S295" s="18" t="str"/>
      <x:c r="T295" s="20"/>
      <x:c r="U295" s="21" t="str">
        <x:v>Done-marker conflict: documentary label is not sufficient proof; No-CUI remains the production boundary.</x:v>
      </x:c>
      <x:c r="V295" s="1"/>
    </x:row>
    <x:row r="296" ht="46" customHeight="1">
      <x:c r="A296" s="17" t="n">
        <x:v>292</x:v>
      </x:c>
      <x:c r="B296" s="17" t="str">
        <x:v>Phase 1A</x:v>
      </x:c>
      <x:c r="C296" s="17" t="str">
        <x:v>1A.6.1</x:v>
      </x:c>
      <x:c r="D296" s="21" t="str">
        <x:v>Versioned Notice Content</x:v>
      </x:c>
      <x:c r="E296" s="17" t="n">
        <x:v>1</x:v>
      </x:c>
      <x:c r="F296" s="21" t="str">
        <x:v>Draft notice variants for DemoSandbox, NoCui, and CuiReady tenants.</x:v>
      </x:c>
      <x:c r="G296" s="17" t="str">
        <x:v>Software implementation</x:v>
      </x:c>
      <x:c r="H296" s="17" t="str">
        <x:v>Planned</x:v>
      </x:c>
      <x:c r="I296" s="18" t="str">
        <x:v>Not Verified</x:v>
      </x:c>
      <x:c r="J296" s="17" t="str">
        <x:f>IF(OR(I296="Completed",I296="Not Applicable"),"No","Yes")</x:f>
        <x:v>Yes</x:v>
      </x:c>
      <x:c r="K296" s="17" t="str">
        <x:v>1A.5.2</x:v>
      </x:c>
      <x:c r="L296" s="21" t="str"/>
      <x:c r="M296" s="17" t="str">
        <x:v>Insufficient evidence</x:v>
      </x:c>
      <x:c r="N296" s="21" t="str">
        <x:v>/Users/devups/Development/CodexProjects/Gccs/docs/development-story-prompts.md (line 4898)</x:v>
      </x:c>
      <x:c r="O296" s="19"/>
      <x:c r="P296" s="21" t="str">
        <x:v>5 acceptance criteria; 5 TC references; implementation=yes; smoke=yes; automated=yes; Story-level regression template</x:v>
      </x:c>
      <x:c r="Q296" s="21" t="str"/>
      <x:c r="R296" s="21" t="str">
        <x:v>Execute Story 1A.6.1 one-at-a-time through implementation, smoke, automated, regression, commit, and push workflow.</x:v>
      </x:c>
      <x:c r="S296" s="18" t="str"/>
      <x:c r="T296" s="20"/>
      <x:c r="U296" s="21" t="str">
        <x:v>Done-marker conflict: documentary label is not sufficient proof; No-CUI remains the production boundary.</x:v>
      </x:c>
      <x:c r="V296" s="1"/>
    </x:row>
    <x:row r="297" ht="46" customHeight="1">
      <x:c r="A297" s="17" t="n">
        <x:v>293</x:v>
      </x:c>
      <x:c r="B297" s="17" t="str">
        <x:v>Phase 1A</x:v>
      </x:c>
      <x:c r="C297" s="17" t="str">
        <x:v>1A.6.1</x:v>
      </x:c>
      <x:c r="D297" s="21" t="str">
        <x:v>Versioned Notice Content</x:v>
      </x:c>
      <x:c r="E297" s="17" t="n">
        <x:v>2</x:v>
      </x:c>
      <x:c r="F297" s="21" t="str">
        <x:v>Include prohibited data guidance for classified data, export-controlled data when unsupported, malware, and data outside approved tenant scope.</x:v>
      </x:c>
      <x:c r="G297" s="17" t="str">
        <x:v>Software implementation</x:v>
      </x:c>
      <x:c r="H297" s="17" t="str">
        <x:v>Planned</x:v>
      </x:c>
      <x:c r="I297" s="18" t="str">
        <x:v>Not Verified</x:v>
      </x:c>
      <x:c r="J297" s="17" t="str">
        <x:f>IF(OR(I297="Completed",I297="Not Applicable"),"No","Yes")</x:f>
        <x:v>Yes</x:v>
      </x:c>
      <x:c r="K297" s="17" t="str">
        <x:v>1A.6.1 task 1</x:v>
      </x:c>
      <x:c r="L297" s="21" t="str"/>
      <x:c r="M297" s="17" t="str">
        <x:v>Insufficient evidence</x:v>
      </x:c>
      <x:c r="N297" s="21" t="str">
        <x:v>/Users/devups/Development/CodexProjects/Gccs/docs/development-story-prompts.md (line 4898)</x:v>
      </x:c>
      <x:c r="O297" s="19"/>
      <x:c r="P297" s="21" t="str">
        <x:v>5 acceptance criteria; 5 TC references; implementation=yes; smoke=yes; automated=yes; Story-level regression template</x:v>
      </x:c>
      <x:c r="Q297" s="21" t="str"/>
      <x:c r="R297" s="21" t="str">
        <x:v>Execute Story 1A.6.1 one-at-a-time through implementation, smoke, automated, regression, commit, and push workflow.</x:v>
      </x:c>
      <x:c r="S297" s="18" t="str"/>
      <x:c r="T297" s="20"/>
      <x:c r="U297" s="21" t="str">
        <x:v>Done-marker conflict: documentary label is not sufficient proof; No-CUI remains the production boundary.</x:v>
      </x:c>
      <x:c r="V297" s="1"/>
    </x:row>
    <x:row r="298" ht="46" customHeight="1">
      <x:c r="A298" s="17" t="n">
        <x:v>294</x:v>
      </x:c>
      <x:c r="B298" s="17" t="str">
        <x:v>Phase 1A</x:v>
      </x:c>
      <x:c r="C298" s="17" t="str">
        <x:v>1A.6.1</x:v>
      </x:c>
      <x:c r="D298" s="21" t="str">
        <x:v>Versioned Notice Content</x:v>
      </x:c>
      <x:c r="E298" s="17" t="n">
        <x:v>3</x:v>
      </x:c>
      <x:c r="F298" s="21" t="str">
        <x:v>Add notice version, effective date, owner, reviewer, and approval status.</x:v>
      </x:c>
      <x:c r="G298" s="17" t="str">
        <x:v>Software implementation</x:v>
      </x:c>
      <x:c r="H298" s="17" t="str">
        <x:v>Planned</x:v>
      </x:c>
      <x:c r="I298" s="18" t="str">
        <x:v>Not Verified</x:v>
      </x:c>
      <x:c r="J298" s="17" t="str">
        <x:f>IF(OR(I298="Completed",I298="Not Applicable"),"No","Yes")</x:f>
        <x:v>Yes</x:v>
      </x:c>
      <x:c r="K298" s="17" t="str">
        <x:v>1A.6.1 task 2</x:v>
      </x:c>
      <x:c r="L298" s="21" t="str"/>
      <x:c r="M298" s="17" t="str">
        <x:v>Insufficient evidence</x:v>
      </x:c>
      <x:c r="N298" s="21" t="str">
        <x:v>/Users/devups/Development/CodexProjects/Gccs/docs/development-story-prompts.md (line 4898)</x:v>
      </x:c>
      <x:c r="O298" s="19"/>
      <x:c r="P298" s="21" t="str">
        <x:v>5 acceptance criteria; 5 TC references; implementation=yes; smoke=yes; automated=yes; Story-level regression template</x:v>
      </x:c>
      <x:c r="Q298" s="21" t="str"/>
      <x:c r="R298" s="21" t="str">
        <x:v>Execute Story 1A.6.1 one-at-a-time through implementation, smoke, automated, regression, commit, and push workflow.</x:v>
      </x:c>
      <x:c r="S298" s="18" t="str"/>
      <x:c r="T298" s="20"/>
      <x:c r="U298" s="21" t="str">
        <x:v>Done-marker conflict: documentary label is not sufficient proof; No-CUI remains the production boundary.</x:v>
      </x:c>
      <x:c r="V298" s="1"/>
    </x:row>
    <x:row r="299" ht="46" customHeight="1">
      <x:c r="A299" s="17" t="n">
        <x:v>295</x:v>
      </x:c>
      <x:c r="B299" s="17" t="str">
        <x:v>Phase 1A</x:v>
      </x:c>
      <x:c r="C299" s="17" t="str">
        <x:v>1A.6.1</x:v>
      </x:c>
      <x:c r="D299" s="21" t="str">
        <x:v>Versioned Notice Content</x:v>
      </x:c>
      <x:c r="E299" s="17" t="n">
        <x:v>4</x:v>
      </x:c>
      <x:c r="F299" s="21" t="str">
        <x:v>Route notice content through legal/compliance review before publication.</x:v>
      </x:c>
      <x:c r="G299" s="17" t="str">
        <x:v>Software implementation</x:v>
      </x:c>
      <x:c r="H299" s="17" t="str">
        <x:v>Planned</x:v>
      </x:c>
      <x:c r="I299" s="18" t="str">
        <x:v>Not Verified</x:v>
      </x:c>
      <x:c r="J299" s="17" t="str">
        <x:f>IF(OR(I299="Completed",I299="Not Applicable"),"No","Yes")</x:f>
        <x:v>Yes</x:v>
      </x:c>
      <x:c r="K299" s="17" t="str">
        <x:v>1A.6.1 task 3</x:v>
      </x:c>
      <x:c r="L299" s="21" t="str"/>
      <x:c r="M299" s="17" t="str">
        <x:v>Insufficient evidence</x:v>
      </x:c>
      <x:c r="N299" s="21" t="str">
        <x:v>/Users/devups/Development/CodexProjects/Gccs/docs/development-story-prompts.md (line 4898)</x:v>
      </x:c>
      <x:c r="O299" s="19"/>
      <x:c r="P299" s="21" t="str">
        <x:v>5 acceptance criteria; 5 TC references; implementation=yes; smoke=yes; automated=yes; Story-level regression template</x:v>
      </x:c>
      <x:c r="Q299" s="21" t="str"/>
      <x:c r="R299" s="21" t="str">
        <x:v>Execute Story 1A.6.1 one-at-a-time through implementation, smoke, automated, regression, commit, and push workflow.</x:v>
      </x:c>
      <x:c r="S299" s="18" t="str"/>
      <x:c r="T299" s="20"/>
      <x:c r="U299" s="21" t="str">
        <x:v>Done-marker conflict: documentary label is not sufficient proof; No-CUI remains the production boundary.</x:v>
      </x:c>
      <x:c r="V299" s="1"/>
    </x:row>
    <x:row r="300" ht="46" customHeight="1">
      <x:c r="A300" s="17" t="n">
        <x:v>296</x:v>
      </x:c>
      <x:c r="B300" s="17" t="str">
        <x:v>Phase 1A</x:v>
      </x:c>
      <x:c r="C300" s="17" t="str">
        <x:v>1A.6.1</x:v>
      </x:c>
      <x:c r="D300" s="21" t="str">
        <x:v>Versioned Notice Content</x:v>
      </x:c>
      <x:c r="E300" s="17" t="n">
        <x:v>5</x:v>
      </x:c>
      <x:c r="F300" s="21" t="str">
        <x:v>Add content retrieval by tenant mode and workflow context.</x:v>
      </x:c>
      <x:c r="G300" s="17" t="str">
        <x:v>Software implementation</x:v>
      </x:c>
      <x:c r="H300" s="17" t="str">
        <x:v>Planned</x:v>
      </x:c>
      <x:c r="I300" s="18" t="str">
        <x:v>Not Verified</x:v>
      </x:c>
      <x:c r="J300" s="17" t="str">
        <x:f>IF(OR(I300="Completed",I300="Not Applicable"),"No","Yes")</x:f>
        <x:v>Yes</x:v>
      </x:c>
      <x:c r="K300" s="17" t="str">
        <x:v>1A.6.1 task 4</x:v>
      </x:c>
      <x:c r="L300" s="21" t="str"/>
      <x:c r="M300" s="17" t="str">
        <x:v>Insufficient evidence</x:v>
      </x:c>
      <x:c r="N300" s="21" t="str">
        <x:v>/Users/devups/Development/CodexProjects/Gccs/docs/development-story-prompts.md (line 4898)</x:v>
      </x:c>
      <x:c r="O300" s="19"/>
      <x:c r="P300" s="21" t="str">
        <x:v>5 acceptance criteria; 5 TC references; implementation=yes; smoke=yes; automated=yes; Story-level regression template</x:v>
      </x:c>
      <x:c r="Q300" s="21" t="str"/>
      <x:c r="R300" s="21" t="str">
        <x:v>Execute Story 1A.6.1 one-at-a-time through implementation, smoke, automated, regression, commit, and push workflow.</x:v>
      </x:c>
      <x:c r="S300" s="18" t="str"/>
      <x:c r="T300" s="20"/>
      <x:c r="U300" s="21" t="str">
        <x:v>Done-marker conflict: documentary label is not sufficient proof; No-CUI remains the production boundary.</x:v>
      </x:c>
      <x:c r="V300" s="1"/>
    </x:row>
    <x:row r="301" ht="46" customHeight="1">
      <x:c r="A301" s="17" t="n">
        <x:v>297</x:v>
      </x:c>
      <x:c r="B301" s="17" t="str">
        <x:v>Phase 1A</x:v>
      </x:c>
      <x:c r="C301" s="17" t="str">
        <x:v>1A.6.2</x:v>
      </x:c>
      <x:c r="D301" s="21" t="str">
        <x:v>Notice Placement And Acknowledgement</x:v>
      </x:c>
      <x:c r="E301" s="17" t="n">
        <x:v>1</x:v>
      </x:c>
      <x:c r="F301" s="21" t="str">
        <x:v>Place notices in onboarding, upload, note creation, report generation, extraction job creation, and support escalation flows.</x:v>
      </x:c>
      <x:c r="G301" s="17" t="str">
        <x:v>Software implementation</x:v>
      </x:c>
      <x:c r="H301" s="17" t="str">
        <x:v>Planned</x:v>
      </x:c>
      <x:c r="I301" s="18" t="str">
        <x:v>Not Verified</x:v>
      </x:c>
      <x:c r="J301" s="17" t="str">
        <x:f>IF(OR(I301="Completed",I301="Not Applicable"),"No","Yes")</x:f>
        <x:v>Yes</x:v>
      </x:c>
      <x:c r="K301" s="17" t="str">
        <x:v>1A.6.1</x:v>
      </x:c>
      <x:c r="L301" s="21" t="str"/>
      <x:c r="M301" s="17" t="str">
        <x:v>Insufficient evidence</x:v>
      </x:c>
      <x:c r="N301" s="21" t="str">
        <x:v>/Users/devups/Development/CodexProjects/Gccs/docs/development-story-prompts.md (line 4919)</x:v>
      </x:c>
      <x:c r="O301" s="19"/>
      <x:c r="P301" s="21" t="str">
        <x:v>5 acceptance criteria; 5 TC references; implementation=yes; smoke=yes; automated=yes; Story-level regression template</x:v>
      </x:c>
      <x:c r="Q301" s="21" t="str"/>
      <x:c r="R301" s="21" t="str">
        <x:v>Execute Story 1A.6.2 one-at-a-time through implementation, smoke, automated, regression, commit, and push workflow.</x:v>
      </x:c>
      <x:c r="S301" s="18" t="str"/>
      <x:c r="T301" s="20"/>
      <x:c r="U301" s="21" t="str">
        <x:v>Done-marker conflict: documentary label is not sufficient proof; No-CUI remains the production boundary.</x:v>
      </x:c>
      <x:c r="V301" s="1"/>
    </x:row>
    <x:row r="302" ht="46" customHeight="1">
      <x:c r="A302" s="17" t="n">
        <x:v>298</x:v>
      </x:c>
      <x:c r="B302" s="17" t="str">
        <x:v>Phase 1A</x:v>
      </x:c>
      <x:c r="C302" s="17" t="str">
        <x:v>1A.6.2</x:v>
      </x:c>
      <x:c r="D302" s="21" t="str">
        <x:v>Notice Placement And Acknowledgement</x:v>
      </x:c>
      <x:c r="E302" s="17" t="n">
        <x:v>2</x:v>
      </x:c>
      <x:c r="F302" s="21" t="str">
        <x:v>Require acknowledgement before first upload or first CUI-relevant action.</x:v>
      </x:c>
      <x:c r="G302" s="17" t="str">
        <x:v>Software implementation</x:v>
      </x:c>
      <x:c r="H302" s="17" t="str">
        <x:v>Planned</x:v>
      </x:c>
      <x:c r="I302" s="18" t="str">
        <x:v>Not Verified</x:v>
      </x:c>
      <x:c r="J302" s="17" t="str">
        <x:f>IF(OR(I302="Completed",I302="Not Applicable"),"No","Yes")</x:f>
        <x:v>Yes</x:v>
      </x:c>
      <x:c r="K302" s="17" t="str">
        <x:v>1A.6.2 task 1</x:v>
      </x:c>
      <x:c r="L302" s="21" t="str"/>
      <x:c r="M302" s="17" t="str">
        <x:v>Insufficient evidence</x:v>
      </x:c>
      <x:c r="N302" s="21" t="str">
        <x:v>/Users/devups/Development/CodexProjects/Gccs/docs/development-story-prompts.md (line 4919)</x:v>
      </x:c>
      <x:c r="O302" s="19"/>
      <x:c r="P302" s="21" t="str">
        <x:v>5 acceptance criteria; 5 TC references; implementation=yes; smoke=yes; automated=yes; Story-level regression template</x:v>
      </x:c>
      <x:c r="Q302" s="21" t="str"/>
      <x:c r="R302" s="21" t="str">
        <x:v>Execute Story 1A.6.2 one-at-a-time through implementation, smoke, automated, regression, commit, and push workflow.</x:v>
      </x:c>
      <x:c r="S302" s="18" t="str"/>
      <x:c r="T302" s="20"/>
      <x:c r="U302" s="21" t="str">
        <x:v>Done-marker conflict: documentary label is not sufficient proof; No-CUI remains the production boundary.</x:v>
      </x:c>
      <x:c r="V302" s="1"/>
    </x:row>
    <x:row r="303" ht="46" customHeight="1">
      <x:c r="A303" s="17" t="n">
        <x:v>299</x:v>
      </x:c>
      <x:c r="B303" s="17" t="str">
        <x:v>Phase 1A</x:v>
      </x:c>
      <x:c r="C303" s="17" t="str">
        <x:v>1A.6.2</x:v>
      </x:c>
      <x:c r="D303" s="21" t="str">
        <x:v>Notice Placement And Acknowledgement</x:v>
      </x:c>
      <x:c r="E303" s="17" t="n">
        <x:v>3</x:v>
      </x:c>
      <x:c r="F303" s="21" t="str">
        <x:v>Re-prompt users when notice version changes.</x:v>
      </x:c>
      <x:c r="G303" s="17" t="str">
        <x:v>Software implementation</x:v>
      </x:c>
      <x:c r="H303" s="17" t="str">
        <x:v>Planned</x:v>
      </x:c>
      <x:c r="I303" s="18" t="str">
        <x:v>Not Verified</x:v>
      </x:c>
      <x:c r="J303" s="17" t="str">
        <x:f>IF(OR(I303="Completed",I303="Not Applicable"),"No","Yes")</x:f>
        <x:v>Yes</x:v>
      </x:c>
      <x:c r="K303" s="17" t="str">
        <x:v>1A.6.2 task 2</x:v>
      </x:c>
      <x:c r="L303" s="21" t="str"/>
      <x:c r="M303" s="17" t="str">
        <x:v>Insufficient evidence</x:v>
      </x:c>
      <x:c r="N303" s="21" t="str">
        <x:v>/Users/devups/Development/CodexProjects/Gccs/docs/development-story-prompts.md (line 4919)</x:v>
      </x:c>
      <x:c r="O303" s="19"/>
      <x:c r="P303" s="21" t="str">
        <x:v>5 acceptance criteria; 5 TC references; implementation=yes; smoke=yes; automated=yes; Story-level regression template</x:v>
      </x:c>
      <x:c r="Q303" s="21" t="str"/>
      <x:c r="R303" s="21" t="str">
        <x:v>Execute Story 1A.6.2 one-at-a-time through implementation, smoke, automated, regression, commit, and push workflow.</x:v>
      </x:c>
      <x:c r="S303" s="18" t="str"/>
      <x:c r="T303" s="20"/>
      <x:c r="U303" s="21" t="str">
        <x:v>Done-marker conflict: documentary label is not sufficient proof; No-CUI remains the production boundary.</x:v>
      </x:c>
      <x:c r="V303" s="1"/>
    </x:row>
    <x:row r="304" ht="46" customHeight="1">
      <x:c r="A304" s="17" t="n">
        <x:v>300</x:v>
      </x:c>
      <x:c r="B304" s="17" t="str">
        <x:v>Phase 1A</x:v>
      </x:c>
      <x:c r="C304" s="17" t="str">
        <x:v>1A.6.2</x:v>
      </x:c>
      <x:c r="D304" s="21" t="str">
        <x:v>Notice Placement And Acknowledgement</x:v>
      </x:c>
      <x:c r="E304" s="17" t="n">
        <x:v>4</x:v>
      </x:c>
      <x:c r="F304" s="21" t="str">
        <x:v>Record acknowledgement status per user, tenant, mode, workflow, and notice version.</x:v>
      </x:c>
      <x:c r="G304" s="17" t="str">
        <x:v>Software implementation</x:v>
      </x:c>
      <x:c r="H304" s="17" t="str">
        <x:v>Planned</x:v>
      </x:c>
      <x:c r="I304" s="18" t="str">
        <x:v>Not Verified</x:v>
      </x:c>
      <x:c r="J304" s="17" t="str">
        <x:f>IF(OR(I304="Completed",I304="Not Applicable"),"No","Yes")</x:f>
        <x:v>Yes</x:v>
      </x:c>
      <x:c r="K304" s="17" t="str">
        <x:v>1A.6.2 task 3</x:v>
      </x:c>
      <x:c r="L304" s="21" t="str"/>
      <x:c r="M304" s="17" t="str">
        <x:v>Insufficient evidence</x:v>
      </x:c>
      <x:c r="N304" s="21" t="str">
        <x:v>/Users/devups/Development/CodexProjects/Gccs/docs/development-story-prompts.md (line 4919)</x:v>
      </x:c>
      <x:c r="O304" s="19"/>
      <x:c r="P304" s="21" t="str">
        <x:v>5 acceptance criteria; 5 TC references; implementation=yes; smoke=yes; automated=yes; Story-level regression template</x:v>
      </x:c>
      <x:c r="Q304" s="21" t="str"/>
      <x:c r="R304" s="21" t="str">
        <x:v>Execute Story 1A.6.2 one-at-a-time through implementation, smoke, automated, regression, commit, and push workflow.</x:v>
      </x:c>
      <x:c r="S304" s="18" t="str"/>
      <x:c r="T304" s="20"/>
      <x:c r="U304" s="21" t="str">
        <x:v>Done-marker conflict: documentary label is not sufficient proof; No-CUI remains the production boundary.</x:v>
      </x:c>
      <x:c r="V304" s="1"/>
    </x:row>
    <x:row r="305" ht="46" customHeight="1">
      <x:c r="A305" s="17" t="n">
        <x:v>301</x:v>
      </x:c>
      <x:c r="B305" s="17" t="str">
        <x:v>Phase 1A</x:v>
      </x:c>
      <x:c r="C305" s="17" t="str">
        <x:v>1A.6.2</x:v>
      </x:c>
      <x:c r="D305" s="21" t="str">
        <x:v>Notice Placement And Acknowledgement</x:v>
      </x:c>
      <x:c r="E305" s="17" t="n">
        <x:v>5</x:v>
      </x:c>
      <x:c r="F305" s="21" t="str">
        <x:v>Add UI and API tests for missing and outdated acknowledgement.</x:v>
      </x:c>
      <x:c r="G305" s="17" t="str">
        <x:v>Software implementation</x:v>
      </x:c>
      <x:c r="H305" s="17" t="str">
        <x:v>Planned</x:v>
      </x:c>
      <x:c r="I305" s="18" t="str">
        <x:v>Not Verified</x:v>
      </x:c>
      <x:c r="J305" s="17" t="str">
        <x:f>IF(OR(I305="Completed",I305="Not Applicable"),"No","Yes")</x:f>
        <x:v>Yes</x:v>
      </x:c>
      <x:c r="K305" s="17" t="str">
        <x:v>1A.6.2 task 4</x:v>
      </x:c>
      <x:c r="L305" s="21" t="str"/>
      <x:c r="M305" s="17" t="str">
        <x:v>Insufficient evidence</x:v>
      </x:c>
      <x:c r="N305" s="21" t="str">
        <x:v>/Users/devups/Development/CodexProjects/Gccs/docs/development-story-prompts.md (line 4919)</x:v>
      </x:c>
      <x:c r="O305" s="19"/>
      <x:c r="P305" s="21" t="str">
        <x:v>5 acceptance criteria; 5 TC references; implementation=yes; smoke=yes; automated=yes; Story-level regression template</x:v>
      </x:c>
      <x:c r="Q305" s="21" t="str"/>
      <x:c r="R305" s="21" t="str">
        <x:v>Execute Story 1A.6.2 one-at-a-time through implementation, smoke, automated, regression, commit, and push workflow.</x:v>
      </x:c>
      <x:c r="S305" s="18" t="str"/>
      <x:c r="T305" s="20"/>
      <x:c r="U305" s="21" t="str">
        <x:v>Done-marker conflict: documentary label is not sufficient proof; No-CUI remains the production boundary.</x:v>
      </x:c>
      <x:c r="V305" s="1"/>
    </x:row>
    <x:row r="306" ht="46" customHeight="1">
      <x:c r="A306" s="17" t="n">
        <x:v>302</x:v>
      </x:c>
      <x:c r="B306" s="17" t="str">
        <x:v>Phase 1A</x:v>
      </x:c>
      <x:c r="C306" s="17" t="str">
        <x:v>1A.7.1</x:v>
      </x:c>
      <x:c r="D306" s="21" t="str">
        <x:v>Escalation Intake And Classification</x:v>
      </x:c>
      <x:c r="E306" s="17" t="n">
        <x:v>1</x:v>
      </x:c>
      <x:c r="F306" s="21" t="str">
        <x:v>Add escalation categories for accidental CUI upload, suspected CUI, prohibited data, misclassification, and customer question.</x:v>
      </x:c>
      <x:c r="G306" s="17" t="str">
        <x:v>Software implementation</x:v>
      </x:c>
      <x:c r="H306" s="17" t="str">
        <x:v>Planned</x:v>
      </x:c>
      <x:c r="I306" s="18" t="str">
        <x:v>Not Verified</x:v>
      </x:c>
      <x:c r="J306" s="17" t="str">
        <x:f>IF(OR(I306="Completed",I306="Not Applicable"),"No","Yes")</x:f>
        <x:v>Yes</x:v>
      </x:c>
      <x:c r="K306" s="17" t="str">
        <x:v>1A.6.2</x:v>
      </x:c>
      <x:c r="L306" s="21" t="str"/>
      <x:c r="M306" s="17" t="str">
        <x:v>Insufficient evidence</x:v>
      </x:c>
      <x:c r="N306" s="21" t="str">
        <x:v>/Users/devups/Development/CodexProjects/Gccs/docs/development-story-prompts.md (line 4942)</x:v>
      </x:c>
      <x:c r="O306" s="19"/>
      <x:c r="P306" s="21" t="str">
        <x:v>5 acceptance criteria; 5 TC references; implementation=yes; smoke=yes; automated=yes; Story-level regression template</x:v>
      </x:c>
      <x:c r="Q306" s="21" t="str"/>
      <x:c r="R306" s="21" t="str">
        <x:v>Execute Story 1A.7.1 one-at-a-time through implementation, smoke, automated, regression, commit, and push workflow.</x:v>
      </x:c>
      <x:c r="S306" s="18" t="str"/>
      <x:c r="T306" s="20"/>
      <x:c r="U306" s="21" t="str">
        <x:v>Done-marker conflict: documentary label is not sufficient proof; No-CUI remains the production boundary.</x:v>
      </x:c>
      <x:c r="V306" s="1"/>
    </x:row>
    <x:row r="307" ht="46" customHeight="1">
      <x:c r="A307" s="17" t="n">
        <x:v>303</x:v>
      </x:c>
      <x:c r="B307" s="17" t="str">
        <x:v>Phase 1A</x:v>
      </x:c>
      <x:c r="C307" s="17" t="str">
        <x:v>1A.7.1</x:v>
      </x:c>
      <x:c r="D307" s="21" t="str">
        <x:v>Escalation Intake And Classification</x:v>
      </x:c>
      <x:c r="E307" s="17" t="n">
        <x:v>2</x:v>
      </x:c>
      <x:c r="F307" s="21" t="str">
        <x:v>Add escalation record fields for tenant, reporter, affected item, classification, severity, status, assigned owner, timestamps, and notes.</x:v>
      </x:c>
      <x:c r="G307" s="17" t="str">
        <x:v>Software implementation</x:v>
      </x:c>
      <x:c r="H307" s="17" t="str">
        <x:v>Planned</x:v>
      </x:c>
      <x:c r="I307" s="18" t="str">
        <x:v>Not Verified</x:v>
      </x:c>
      <x:c r="J307" s="17" t="str">
        <x:f>IF(OR(I307="Completed",I307="Not Applicable"),"No","Yes")</x:f>
        <x:v>Yes</x:v>
      </x:c>
      <x:c r="K307" s="17" t="str">
        <x:v>1A.7.1 task 1</x:v>
      </x:c>
      <x:c r="L307" s="21" t="str"/>
      <x:c r="M307" s="17" t="str">
        <x:v>Insufficient evidence</x:v>
      </x:c>
      <x:c r="N307" s="21" t="str">
        <x:v>/Users/devups/Development/CodexProjects/Gccs/docs/development-story-prompts.md (line 4942)</x:v>
      </x:c>
      <x:c r="O307" s="19"/>
      <x:c r="P307" s="21" t="str">
        <x:v>5 acceptance criteria; 5 TC references; implementation=yes; smoke=yes; automated=yes; Story-level regression template</x:v>
      </x:c>
      <x:c r="Q307" s="21" t="str"/>
      <x:c r="R307" s="21" t="str">
        <x:v>Execute Story 1A.7.1 one-at-a-time through implementation, smoke, automated, regression, commit, and push workflow.</x:v>
      </x:c>
      <x:c r="S307" s="18" t="str"/>
      <x:c r="T307" s="20"/>
      <x:c r="U307" s="21" t="str">
        <x:v>Done-marker conflict: documentary label is not sufficient proof; No-CUI remains the production boundary.</x:v>
      </x:c>
      <x:c r="V307" s="1"/>
    </x:row>
    <x:row r="308" ht="46" customHeight="1">
      <x:c r="A308" s="17" t="n">
        <x:v>304</x:v>
      </x:c>
      <x:c r="B308" s="17" t="str">
        <x:v>Phase 1A</x:v>
      </x:c>
      <x:c r="C308" s="17" t="str">
        <x:v>1A.7.1</x:v>
      </x:c>
      <x:c r="D308" s="21" t="str">
        <x:v>Escalation Intake And Classification</x:v>
      </x:c>
      <x:c r="E308" s="17" t="n">
        <x:v>3</x:v>
      </x:c>
      <x:c r="F308" s="21" t="str">
        <x:v>Add create escalation actions from upload rejection, evidence detail, note detail, report detail, extraction job detail, and support page.</x:v>
      </x:c>
      <x:c r="G308" s="17" t="str">
        <x:v>Software implementation</x:v>
      </x:c>
      <x:c r="H308" s="17" t="str">
        <x:v>Planned</x:v>
      </x:c>
      <x:c r="I308" s="18" t="str">
        <x:v>Not Verified</x:v>
      </x:c>
      <x:c r="J308" s="17" t="str">
        <x:f>IF(OR(I308="Completed",I308="Not Applicable"),"No","Yes")</x:f>
        <x:v>Yes</x:v>
      </x:c>
      <x:c r="K308" s="17" t="str">
        <x:v>1A.7.1 task 2</x:v>
      </x:c>
      <x:c r="L308" s="21" t="str"/>
      <x:c r="M308" s="17" t="str">
        <x:v>Insufficient evidence</x:v>
      </x:c>
      <x:c r="N308" s="21" t="str">
        <x:v>/Users/devups/Development/CodexProjects/Gccs/docs/development-story-prompts.md (line 4942)</x:v>
      </x:c>
      <x:c r="O308" s="19"/>
      <x:c r="P308" s="21" t="str">
        <x:v>5 acceptance criteria; 5 TC references; implementation=yes; smoke=yes; automated=yes; Story-level regression template</x:v>
      </x:c>
      <x:c r="Q308" s="21" t="str"/>
      <x:c r="R308" s="21" t="str">
        <x:v>Execute Story 1A.7.1 one-at-a-time through implementation, smoke, automated, regression, commit, and push workflow.</x:v>
      </x:c>
      <x:c r="S308" s="18" t="str"/>
      <x:c r="T308" s="20"/>
      <x:c r="U308" s="21" t="str">
        <x:v>Done-marker conflict: documentary label is not sufficient proof; No-CUI remains the production boundary.</x:v>
      </x:c>
      <x:c r="V308" s="1"/>
    </x:row>
    <x:row r="309" ht="46" customHeight="1">
      <x:c r="A309" s="17" t="n">
        <x:v>305</x:v>
      </x:c>
      <x:c r="B309" s="17" t="str">
        <x:v>Phase 1A</x:v>
      </x:c>
      <x:c r="C309" s="17" t="str">
        <x:v>1A.7.1</x:v>
      </x:c>
      <x:c r="D309" s="21" t="str">
        <x:v>Escalation Intake And Classification</x:v>
      </x:c>
      <x:c r="E309" s="17" t="n">
        <x:v>4</x:v>
      </x:c>
      <x:c r="F309" s="21" t="str">
        <x:v>Add restricted support/admin view of escalations.</x:v>
      </x:c>
      <x:c r="G309" s="17" t="str">
        <x:v>Software implementation</x:v>
      </x:c>
      <x:c r="H309" s="17" t="str">
        <x:v>Planned</x:v>
      </x:c>
      <x:c r="I309" s="18" t="str">
        <x:v>Not Verified</x:v>
      </x:c>
      <x:c r="J309" s="17" t="str">
        <x:f>IF(OR(I309="Completed",I309="Not Applicable"),"No","Yes")</x:f>
        <x:v>Yes</x:v>
      </x:c>
      <x:c r="K309" s="17" t="str">
        <x:v>1A.7.1 task 3</x:v>
      </x:c>
      <x:c r="L309" s="21" t="str"/>
      <x:c r="M309" s="17" t="str">
        <x:v>Insufficient evidence</x:v>
      </x:c>
      <x:c r="N309" s="21" t="str">
        <x:v>/Users/devups/Development/CodexProjects/Gccs/docs/development-story-prompts.md (line 4942)</x:v>
      </x:c>
      <x:c r="O309" s="19"/>
      <x:c r="P309" s="21" t="str">
        <x:v>5 acceptance criteria; 5 TC references; implementation=yes; smoke=yes; automated=yes; Story-level regression template</x:v>
      </x:c>
      <x:c r="Q309" s="21" t="str"/>
      <x:c r="R309" s="21" t="str">
        <x:v>Execute Story 1A.7.1 one-at-a-time through implementation, smoke, automated, regression, commit, and push workflow.</x:v>
      </x:c>
      <x:c r="S309" s="18" t="str"/>
      <x:c r="T309" s="20"/>
      <x:c r="U309" s="21" t="str">
        <x:v>Done-marker conflict: documentary label is not sufficient proof; No-CUI remains the production boundary.</x:v>
      </x:c>
      <x:c r="V309" s="1"/>
    </x:row>
    <x:row r="310" ht="46" customHeight="1">
      <x:c r="A310" s="17" t="n">
        <x:v>306</x:v>
      </x:c>
      <x:c r="B310" s="17" t="str">
        <x:v>Phase 1A</x:v>
      </x:c>
      <x:c r="C310" s="17" t="str">
        <x:v>1A.7.1</x:v>
      </x:c>
      <x:c r="D310" s="21" t="str">
        <x:v>Escalation Intake And Classification</x:v>
      </x:c>
      <x:c r="E310" s="17" t="n">
        <x:v>5</x:v>
      </x:c>
      <x:c r="F310" s="21" t="str">
        <x:v>Add tests for tenant scoping and restricted access.</x:v>
      </x:c>
      <x:c r="G310" s="17" t="str">
        <x:v>Software implementation</x:v>
      </x:c>
      <x:c r="H310" s="17" t="str">
        <x:v>Planned</x:v>
      </x:c>
      <x:c r="I310" s="18" t="str">
        <x:v>Not Verified</x:v>
      </x:c>
      <x:c r="J310" s="17" t="str">
        <x:f>IF(OR(I310="Completed",I310="Not Applicable"),"No","Yes")</x:f>
        <x:v>Yes</x:v>
      </x:c>
      <x:c r="K310" s="17" t="str">
        <x:v>1A.7.1 task 4</x:v>
      </x:c>
      <x:c r="L310" s="21" t="str"/>
      <x:c r="M310" s="17" t="str">
        <x:v>Insufficient evidence</x:v>
      </x:c>
      <x:c r="N310" s="21" t="str">
        <x:v>/Users/devups/Development/CodexProjects/Gccs/docs/development-story-prompts.md (line 4942)</x:v>
      </x:c>
      <x:c r="O310" s="19"/>
      <x:c r="P310" s="21" t="str">
        <x:v>5 acceptance criteria; 5 TC references; implementation=yes; smoke=yes; automated=yes; Story-level regression template</x:v>
      </x:c>
      <x:c r="Q310" s="21" t="str"/>
      <x:c r="R310" s="21" t="str">
        <x:v>Execute Story 1A.7.1 one-at-a-time through implementation, smoke, automated, regression, commit, and push workflow.</x:v>
      </x:c>
      <x:c r="S310" s="18" t="str"/>
      <x:c r="T310" s="20"/>
      <x:c r="U310" s="21" t="str">
        <x:v>Done-marker conflict: documentary label is not sufficient proof; No-CUI remains the production boundary.</x:v>
      </x:c>
      <x:c r="V310" s="1"/>
    </x:row>
    <x:row r="311" ht="46" customHeight="1">
      <x:c r="A311" s="17" t="n">
        <x:v>307</x:v>
      </x:c>
      <x:c r="B311" s="17" t="str">
        <x:v>Phase 1A</x:v>
      </x:c>
      <x:c r="C311" s="17" t="str">
        <x:v>1A.7.2</x:v>
      </x:c>
      <x:c r="D311" s="21" t="str">
        <x:v>Escalation Workflow And Resolution</x:v>
      </x:c>
      <x:c r="E311" s="17" t="n">
        <x:v>1</x:v>
      </x:c>
      <x:c r="F311" s="21" t="str">
        <x:v>Define statuses: submitted, triage, contained, customer action required, resolved, closed, and reopened.</x:v>
      </x:c>
      <x:c r="G311" s="17" t="str">
        <x:v>Software implementation</x:v>
      </x:c>
      <x:c r="H311" s="17" t="str">
        <x:v>Planned</x:v>
      </x:c>
      <x:c r="I311" s="18" t="str">
        <x:v>Not Verified</x:v>
      </x:c>
      <x:c r="J311" s="17" t="str">
        <x:f>IF(OR(I311="Completed",I311="Not Applicable"),"No","Yes")</x:f>
        <x:v>Yes</x:v>
      </x:c>
      <x:c r="K311" s="17" t="str">
        <x:v>1A.7.1</x:v>
      </x:c>
      <x:c r="L311" s="21" t="str"/>
      <x:c r="M311" s="17" t="str">
        <x:v>Insufficient evidence</x:v>
      </x:c>
      <x:c r="N311" s="21" t="str">
        <x:v>/Users/devups/Development/CodexProjects/Gccs/docs/development-story-prompts.md (line 4963)</x:v>
      </x:c>
      <x:c r="O311" s="19"/>
      <x:c r="P311" s="21" t="str">
        <x:v>5 acceptance criteria; 5 TC references; implementation=yes; smoke=yes; automated=yes; Story-level regression template</x:v>
      </x:c>
      <x:c r="Q311" s="21" t="str"/>
      <x:c r="R311" s="21" t="str">
        <x:v>Execute Story 1A.7.2 one-at-a-time through implementation, smoke, automated, regression, commit, and push workflow.</x:v>
      </x:c>
      <x:c r="S311" s="18" t="str"/>
      <x:c r="T311" s="20"/>
      <x:c r="U311" s="21" t="str">
        <x:v>Done-marker conflict: documentary label is not sufficient proof; No-CUI remains the production boundary.</x:v>
      </x:c>
      <x:c r="V311" s="1"/>
    </x:row>
    <x:row r="312" ht="46" customHeight="1">
      <x:c r="A312" s="17" t="n">
        <x:v>308</x:v>
      </x:c>
      <x:c r="B312" s="17" t="str">
        <x:v>Phase 1A</x:v>
      </x:c>
      <x:c r="C312" s="17" t="str">
        <x:v>1A.7.2</x:v>
      </x:c>
      <x:c r="D312" s="21" t="str">
        <x:v>Escalation Workflow And Resolution</x:v>
      </x:c>
      <x:c r="E312" s="17" t="n">
        <x:v>2</x:v>
      </x:c>
      <x:c r="F312" s="21" t="str">
        <x:v>Add resolution types: reclassified, deleted, retained under future CuiReady approval, confirmed synthetic, false alarm, or referred to legal/security.</x:v>
      </x:c>
      <x:c r="G312" s="17" t="str">
        <x:v>Software implementation</x:v>
      </x:c>
      <x:c r="H312" s="17" t="str">
        <x:v>Planned</x:v>
      </x:c>
      <x:c r="I312" s="18" t="str">
        <x:v>Not Verified</x:v>
      </x:c>
      <x:c r="J312" s="17" t="str">
        <x:f>IF(OR(I312="Completed",I312="Not Applicable"),"No","Yes")</x:f>
        <x:v>Yes</x:v>
      </x:c>
      <x:c r="K312" s="17" t="str">
        <x:v>1A.7.2 task 1</x:v>
      </x:c>
      <x:c r="L312" s="21" t="str"/>
      <x:c r="M312" s="17" t="str">
        <x:v>Insufficient evidence</x:v>
      </x:c>
      <x:c r="N312" s="21" t="str">
        <x:v>/Users/devups/Development/CodexProjects/Gccs/docs/development-story-prompts.md (line 4963)</x:v>
      </x:c>
      <x:c r="O312" s="19"/>
      <x:c r="P312" s="21" t="str">
        <x:v>5 acceptance criteria; 5 TC references; implementation=yes; smoke=yes; automated=yes; Story-level regression template</x:v>
      </x:c>
      <x:c r="Q312" s="21" t="str"/>
      <x:c r="R312" s="21" t="str">
        <x:v>Execute Story 1A.7.2 one-at-a-time through implementation, smoke, automated, regression, commit, and push workflow.</x:v>
      </x:c>
      <x:c r="S312" s="18" t="str"/>
      <x:c r="T312" s="20"/>
      <x:c r="U312" s="21" t="str">
        <x:v>Done-marker conflict: documentary label is not sufficient proof; No-CUI remains the production boundary.</x:v>
      </x:c>
      <x:c r="V312" s="1"/>
    </x:row>
    <x:row r="313" ht="46" customHeight="1">
      <x:c r="A313" s="17" t="n">
        <x:v>309</x:v>
      </x:c>
      <x:c r="B313" s="17" t="str">
        <x:v>Phase 1A</x:v>
      </x:c>
      <x:c r="C313" s="17" t="str">
        <x:v>1A.7.2</x:v>
      </x:c>
      <x:c r="D313" s="21" t="str">
        <x:v>Escalation Workflow And Resolution</x:v>
      </x:c>
      <x:c r="E313" s="17" t="n">
        <x:v>3</x:v>
      </x:c>
      <x:c r="F313" s="21" t="str">
        <x:v>Add containment actions for blocking downloads, exports, extraction jobs, report use, and evidence approval.</x:v>
      </x:c>
      <x:c r="G313" s="17" t="str">
        <x:v>Software implementation</x:v>
      </x:c>
      <x:c r="H313" s="17" t="str">
        <x:v>Planned</x:v>
      </x:c>
      <x:c r="I313" s="18" t="str">
        <x:v>Not Verified</x:v>
      </x:c>
      <x:c r="J313" s="17" t="str">
        <x:f>IF(OR(I313="Completed",I313="Not Applicable"),"No","Yes")</x:f>
        <x:v>Yes</x:v>
      </x:c>
      <x:c r="K313" s="17" t="str">
        <x:v>1A.7.2 task 2</x:v>
      </x:c>
      <x:c r="L313" s="21" t="str"/>
      <x:c r="M313" s="17" t="str">
        <x:v>Insufficient evidence</x:v>
      </x:c>
      <x:c r="N313" s="21" t="str">
        <x:v>/Users/devups/Development/CodexProjects/Gccs/docs/development-story-prompts.md (line 4963)</x:v>
      </x:c>
      <x:c r="O313" s="19"/>
      <x:c r="P313" s="21" t="str">
        <x:v>5 acceptance criteria; 5 TC references; implementation=yes; smoke=yes; automated=yes; Story-level regression template</x:v>
      </x:c>
      <x:c r="Q313" s="21" t="str"/>
      <x:c r="R313" s="21" t="str">
        <x:v>Execute Story 1A.7.2 one-at-a-time through implementation, smoke, automated, regression, commit, and push workflow.</x:v>
      </x:c>
      <x:c r="S313" s="18" t="str"/>
      <x:c r="T313" s="20"/>
      <x:c r="U313" s="21" t="str">
        <x:v>Done-marker conflict: documentary label is not sufficient proof; No-CUI remains the production boundary.</x:v>
      </x:c>
      <x:c r="V313" s="1"/>
    </x:row>
    <x:row r="314" ht="46" customHeight="1">
      <x:c r="A314" s="17" t="n">
        <x:v>310</x:v>
      </x:c>
      <x:c r="B314" s="17" t="str">
        <x:v>Phase 1A</x:v>
      </x:c>
      <x:c r="C314" s="17" t="str">
        <x:v>1A.7.2</x:v>
      </x:c>
      <x:c r="D314" s="21" t="str">
        <x:v>Escalation Workflow And Resolution</x:v>
      </x:c>
      <x:c r="E314" s="17" t="n">
        <x:v>4</x:v>
      </x:c>
      <x:c r="F314" s="21" t="str">
        <x:v>Add notification hooks for security owner, support owner, tenant admin, and legal/compliance advisor when configured.</x:v>
      </x:c>
      <x:c r="G314" s="17" t="str">
        <x:v>Software implementation</x:v>
      </x:c>
      <x:c r="H314" s="17" t="str">
        <x:v>Planned</x:v>
      </x:c>
      <x:c r="I314" s="18" t="str">
        <x:v>Not Verified</x:v>
      </x:c>
      <x:c r="J314" s="17" t="str">
        <x:f>IF(OR(I314="Completed",I314="Not Applicable"),"No","Yes")</x:f>
        <x:v>Yes</x:v>
      </x:c>
      <x:c r="K314" s="17" t="str">
        <x:v>1A.7.2 task 3</x:v>
      </x:c>
      <x:c r="L314" s="21" t="str"/>
      <x:c r="M314" s="17" t="str">
        <x:v>Insufficient evidence</x:v>
      </x:c>
      <x:c r="N314" s="21" t="str">
        <x:v>/Users/devups/Development/CodexProjects/Gccs/docs/development-story-prompts.md (line 4963)</x:v>
      </x:c>
      <x:c r="O314" s="19"/>
      <x:c r="P314" s="21" t="str">
        <x:v>5 acceptance criteria; 5 TC references; implementation=yes; smoke=yes; automated=yes; Story-level regression template</x:v>
      </x:c>
      <x:c r="Q314" s="21" t="str"/>
      <x:c r="R314" s="21" t="str">
        <x:v>Execute Story 1A.7.2 one-at-a-time through implementation, smoke, automated, regression, commit, and push workflow.</x:v>
      </x:c>
      <x:c r="S314" s="18" t="str"/>
      <x:c r="T314" s="20"/>
      <x:c r="U314" s="21" t="str">
        <x:v>Done-marker conflict: documentary label is not sufficient proof; No-CUI remains the production boundary.</x:v>
      </x:c>
      <x:c r="V314" s="1"/>
    </x:row>
    <x:row r="315" ht="46" customHeight="1">
      <x:c r="A315" s="17" t="n">
        <x:v>311</x:v>
      </x:c>
      <x:c r="B315" s="17" t="str">
        <x:v>Phase 1A</x:v>
      </x:c>
      <x:c r="C315" s="17" t="str">
        <x:v>1A.7.2</x:v>
      </x:c>
      <x:c r="D315" s="21" t="str">
        <x:v>Escalation Workflow And Resolution</x:v>
      </x:c>
      <x:c r="E315" s="17" t="n">
        <x:v>5</x:v>
      </x:c>
      <x:c r="F315" s="21" t="str">
        <x:v>Add reporting view for open and resolved escalations.</x:v>
      </x:c>
      <x:c r="G315" s="17" t="str">
        <x:v>Software implementation</x:v>
      </x:c>
      <x:c r="H315" s="17" t="str">
        <x:v>Planned</x:v>
      </x:c>
      <x:c r="I315" s="18" t="str">
        <x:v>Not Verified</x:v>
      </x:c>
      <x:c r="J315" s="17" t="str">
        <x:f>IF(OR(I315="Completed",I315="Not Applicable"),"No","Yes")</x:f>
        <x:v>Yes</x:v>
      </x:c>
      <x:c r="K315" s="17" t="str">
        <x:v>1A.7.2 task 4</x:v>
      </x:c>
      <x:c r="L315" s="21" t="str"/>
      <x:c r="M315" s="17" t="str">
        <x:v>Insufficient evidence</x:v>
      </x:c>
      <x:c r="N315" s="21" t="str">
        <x:v>/Users/devups/Development/CodexProjects/Gccs/docs/development-story-prompts.md (line 4963)</x:v>
      </x:c>
      <x:c r="O315" s="19"/>
      <x:c r="P315" s="21" t="str">
        <x:v>5 acceptance criteria; 5 TC references; implementation=yes; smoke=yes; automated=yes; Story-level regression template</x:v>
      </x:c>
      <x:c r="Q315" s="21" t="str"/>
      <x:c r="R315" s="21" t="str">
        <x:v>Execute Story 1A.7.2 one-at-a-time through implementation, smoke, automated, regression, commit, and push workflow.</x:v>
      </x:c>
      <x:c r="S315" s="18" t="str"/>
      <x:c r="T315" s="20"/>
      <x:c r="U315" s="21" t="str">
        <x:v>Done-marker conflict: documentary label is not sufficient proof; No-CUI remains the production boundary.</x:v>
      </x:c>
      <x:c r="V315" s="1"/>
    </x:row>
    <x:row r="316" ht="46" customHeight="1">
      <x:c r="A316" s="17" t="n">
        <x:v>312</x:v>
      </x:c>
      <x:c r="B316" s="17" t="str">
        <x:v>Phase 1A</x:v>
      </x:c>
      <x:c r="C316" s="17" t="str">
        <x:v>1A.8.1</x:v>
      </x:c>
      <x:c r="D316" s="21" t="str">
        <x:v>Required CUI Audit Events</x:v>
      </x:c>
      <x:c r="E316" s="17" t="n">
        <x:v>1</x:v>
      </x:c>
      <x:c r="F316" s="21" t="str">
        <x:v>Define event types for mode changes, classification create/update, upload block, checklist approval/rejection, matrix acknowledgement, notice acknowledgement, download, export, deletion, escalation create/update, and extraction job start/stop.</x:v>
      </x:c>
      <x:c r="G316" s="17" t="str">
        <x:v>Software implementation</x:v>
      </x:c>
      <x:c r="H316" s="17" t="str">
        <x:v>Planned</x:v>
      </x:c>
      <x:c r="I316" s="18" t="str">
        <x:v>Not Verified</x:v>
      </x:c>
      <x:c r="J316" s="17" t="str">
        <x:f>IF(OR(I316="Completed",I316="Not Applicable"),"No","Yes")</x:f>
        <x:v>Yes</x:v>
      </x:c>
      <x:c r="K316" s="17" t="str">
        <x:v>1A.7.2</x:v>
      </x:c>
      <x:c r="L316" s="21" t="str"/>
      <x:c r="M316" s="17" t="str">
        <x:v>Insufficient evidence</x:v>
      </x:c>
      <x:c r="N316" s="21" t="str">
        <x:v>/Users/devups/Development/CodexProjects/Gccs/docs/development-story-prompts.md (line 4986)</x:v>
      </x:c>
      <x:c r="O316" s="19"/>
      <x:c r="P316" s="21" t="str">
        <x:v>5 acceptance criteria; 5 TC references; implementation=yes; smoke=yes; automated=yes; Story-level regression template</x:v>
      </x:c>
      <x:c r="Q316" s="21" t="str"/>
      <x:c r="R316" s="21" t="str">
        <x:v>Execute Story 1A.8.1 one-at-a-time through implementation, smoke, automated, regression, commit, and push workflow.</x:v>
      </x:c>
      <x:c r="S316" s="18" t="str"/>
      <x:c r="T316" s="20"/>
      <x:c r="U316" s="21" t="str">
        <x:v>Done-marker conflict: documentary label is not sufficient proof; No-CUI remains the production boundary.</x:v>
      </x:c>
      <x:c r="V316" s="1"/>
    </x:row>
    <x:row r="317" ht="46" customHeight="1">
      <x:c r="A317" s="17" t="n">
        <x:v>313</x:v>
      </x:c>
      <x:c r="B317" s="17" t="str">
        <x:v>Phase 1A</x:v>
      </x:c>
      <x:c r="C317" s="17" t="str">
        <x:v>1A.8.1</x:v>
      </x:c>
      <x:c r="D317" s="21" t="str">
        <x:v>Required CUI Audit Events</x:v>
      </x:c>
      <x:c r="E317" s="17" t="n">
        <x:v>2</x:v>
      </x:c>
      <x:c r="F317" s="21" t="str">
        <x:v>Add audit writer calls to each Phase 1A workflow.</x:v>
      </x:c>
      <x:c r="G317" s="17" t="str">
        <x:v>Software implementation</x:v>
      </x:c>
      <x:c r="H317" s="17" t="str">
        <x:v>Planned</x:v>
      </x:c>
      <x:c r="I317" s="18" t="str">
        <x:v>Not Verified</x:v>
      </x:c>
      <x:c r="J317" s="17" t="str">
        <x:f>IF(OR(I317="Completed",I317="Not Applicable"),"No","Yes")</x:f>
        <x:v>Yes</x:v>
      </x:c>
      <x:c r="K317" s="17" t="str">
        <x:v>1A.8.1 task 1</x:v>
      </x:c>
      <x:c r="L317" s="21" t="str"/>
      <x:c r="M317" s="17" t="str">
        <x:v>Insufficient evidence</x:v>
      </x:c>
      <x:c r="N317" s="21" t="str">
        <x:v>/Users/devups/Development/CodexProjects/Gccs/docs/development-story-prompts.md (line 4986)</x:v>
      </x:c>
      <x:c r="O317" s="19"/>
      <x:c r="P317" s="21" t="str">
        <x:v>5 acceptance criteria; 5 TC references; implementation=yes; smoke=yes; automated=yes; Story-level regression template</x:v>
      </x:c>
      <x:c r="Q317" s="21" t="str"/>
      <x:c r="R317" s="21" t="str">
        <x:v>Execute Story 1A.8.1 one-at-a-time through implementation, smoke, automated, regression, commit, and push workflow.</x:v>
      </x:c>
      <x:c r="S317" s="18" t="str"/>
      <x:c r="T317" s="20"/>
      <x:c r="U317" s="21" t="str">
        <x:v>Done-marker conflict: documentary label is not sufficient proof; No-CUI remains the production boundary.</x:v>
      </x:c>
      <x:c r="V317" s="1"/>
    </x:row>
    <x:row r="318" ht="46" customHeight="1">
      <x:c r="A318" s="17" t="n">
        <x:v>314</x:v>
      </x:c>
      <x:c r="B318" s="17" t="str">
        <x:v>Phase 1A</x:v>
      </x:c>
      <x:c r="C318" s="17" t="str">
        <x:v>1A.8.1</x:v>
      </x:c>
      <x:c r="D318" s="21" t="str">
        <x:v>Required CUI Audit Events</x:v>
      </x:c>
      <x:c r="E318" s="17" t="n">
        <x:v>3</x:v>
      </x:c>
      <x:c r="F318" s="21" t="str">
        <x:v>Include tenant, actor, action, entity, classification, mode, timestamp, request metadata, and result.</x:v>
      </x:c>
      <x:c r="G318" s="17" t="str">
        <x:v>Software implementation</x:v>
      </x:c>
      <x:c r="H318" s="17" t="str">
        <x:v>Planned</x:v>
      </x:c>
      <x:c r="I318" s="18" t="str">
        <x:v>Not Verified</x:v>
      </x:c>
      <x:c r="J318" s="17" t="str">
        <x:f>IF(OR(I318="Completed",I318="Not Applicable"),"No","Yes")</x:f>
        <x:v>Yes</x:v>
      </x:c>
      <x:c r="K318" s="17" t="str">
        <x:v>1A.8.1 task 2</x:v>
      </x:c>
      <x:c r="L318" s="21" t="str"/>
      <x:c r="M318" s="17" t="str">
        <x:v>Insufficient evidence</x:v>
      </x:c>
      <x:c r="N318" s="21" t="str">
        <x:v>/Users/devups/Development/CodexProjects/Gccs/docs/development-story-prompts.md (line 4986)</x:v>
      </x:c>
      <x:c r="O318" s="19"/>
      <x:c r="P318" s="21" t="str">
        <x:v>5 acceptance criteria; 5 TC references; implementation=yes; smoke=yes; automated=yes; Story-level regression template</x:v>
      </x:c>
      <x:c r="Q318" s="21" t="str"/>
      <x:c r="R318" s="21" t="str">
        <x:v>Execute Story 1A.8.1 one-at-a-time through implementation, smoke, automated, regression, commit, and push workflow.</x:v>
      </x:c>
      <x:c r="S318" s="18" t="str"/>
      <x:c r="T318" s="20"/>
      <x:c r="U318" s="21" t="str">
        <x:v>Done-marker conflict: documentary label is not sufficient proof; No-CUI remains the production boundary.</x:v>
      </x:c>
      <x:c r="V318" s="1"/>
    </x:row>
    <x:row r="319" ht="46" customHeight="1">
      <x:c r="A319" s="17" t="n">
        <x:v>315</x:v>
      </x:c>
      <x:c r="B319" s="17" t="str">
        <x:v>Phase 1A</x:v>
      </x:c>
      <x:c r="C319" s="17" t="str">
        <x:v>1A.8.1</x:v>
      </x:c>
      <x:c r="D319" s="21" t="str">
        <x:v>Required CUI Audit Events</x:v>
      </x:c>
      <x:c r="E319" s="17" t="n">
        <x:v>4</x:v>
      </x:c>
      <x:c r="F319" s="21" t="str">
        <x:v>Add failure-path audit events for blocked actions.</x:v>
      </x:c>
      <x:c r="G319" s="17" t="str">
        <x:v>Software implementation</x:v>
      </x:c>
      <x:c r="H319" s="17" t="str">
        <x:v>Planned</x:v>
      </x:c>
      <x:c r="I319" s="18" t="str">
        <x:v>Not Verified</x:v>
      </x:c>
      <x:c r="J319" s="17" t="str">
        <x:f>IF(OR(I319="Completed",I319="Not Applicable"),"No","Yes")</x:f>
        <x:v>Yes</x:v>
      </x:c>
      <x:c r="K319" s="17" t="str">
        <x:v>1A.8.1 task 3</x:v>
      </x:c>
      <x:c r="L319" s="21" t="str"/>
      <x:c r="M319" s="17" t="str">
        <x:v>Insufficient evidence</x:v>
      </x:c>
      <x:c r="N319" s="21" t="str">
        <x:v>/Users/devups/Development/CodexProjects/Gccs/docs/development-story-prompts.md (line 4986)</x:v>
      </x:c>
      <x:c r="O319" s="19"/>
      <x:c r="P319" s="21" t="str">
        <x:v>5 acceptance criteria; 5 TC references; implementation=yes; smoke=yes; automated=yes; Story-level regression template</x:v>
      </x:c>
      <x:c r="Q319" s="21" t="str"/>
      <x:c r="R319" s="21" t="str">
        <x:v>Execute Story 1A.8.1 one-at-a-time through implementation, smoke, automated, regression, commit, and push workflow.</x:v>
      </x:c>
      <x:c r="S319" s="18" t="str"/>
      <x:c r="T319" s="20"/>
      <x:c r="U319" s="21" t="str">
        <x:v>Done-marker conflict: documentary label is not sufficient proof; No-CUI remains the production boundary.</x:v>
      </x:c>
      <x:c r="V319" s="1"/>
    </x:row>
    <x:row r="320" ht="46" customHeight="1">
      <x:c r="A320" s="17" t="n">
        <x:v>316</x:v>
      </x:c>
      <x:c r="B320" s="17" t="str">
        <x:v>Phase 1A</x:v>
      </x:c>
      <x:c r="C320" s="17" t="str">
        <x:v>1A.8.1</x:v>
      </x:c>
      <x:c r="D320" s="21" t="str">
        <x:v>Required CUI Audit Events</x:v>
      </x:c>
      <x:c r="E320" s="17" t="n">
        <x:v>5</x:v>
      </x:c>
      <x:c r="F320" s="21" t="str">
        <x:v>Add tests that verify event emission for each required event type.</x:v>
      </x:c>
      <x:c r="G320" s="17" t="str">
        <x:v>Software implementation</x:v>
      </x:c>
      <x:c r="H320" s="17" t="str">
        <x:v>Planned</x:v>
      </x:c>
      <x:c r="I320" s="18" t="str">
        <x:v>Not Verified</x:v>
      </x:c>
      <x:c r="J320" s="17" t="str">
        <x:f>IF(OR(I320="Completed",I320="Not Applicable"),"No","Yes")</x:f>
        <x:v>Yes</x:v>
      </x:c>
      <x:c r="K320" s="17" t="str">
        <x:v>1A.8.1 task 4</x:v>
      </x:c>
      <x:c r="L320" s="21" t="str"/>
      <x:c r="M320" s="17" t="str">
        <x:v>Insufficient evidence</x:v>
      </x:c>
      <x:c r="N320" s="21" t="str">
        <x:v>/Users/devups/Development/CodexProjects/Gccs/docs/development-story-prompts.md (line 4986)</x:v>
      </x:c>
      <x:c r="O320" s="19"/>
      <x:c r="P320" s="21" t="str">
        <x:v>5 acceptance criteria; 5 TC references; implementation=yes; smoke=yes; automated=yes; Story-level regression template</x:v>
      </x:c>
      <x:c r="Q320" s="21" t="str"/>
      <x:c r="R320" s="21" t="str">
        <x:v>Execute Story 1A.8.1 one-at-a-time through implementation, smoke, automated, regression, commit, and push workflow.</x:v>
      </x:c>
      <x:c r="S320" s="18" t="str"/>
      <x:c r="T320" s="20"/>
      <x:c r="U320" s="21" t="str">
        <x:v>Done-marker conflict: documentary label is not sufficient proof; No-CUI remains the production boundary.</x:v>
      </x:c>
      <x:c r="V320" s="1"/>
    </x:row>
    <x:row r="321" ht="46" customHeight="1">
      <x:c r="A321" s="17" t="n">
        <x:v>317</x:v>
      </x:c>
      <x:c r="B321" s="17" t="str">
        <x:v>Phase 1A</x:v>
      </x:c>
      <x:c r="C321" s="17" t="str">
        <x:v>1A.8.2</x:v>
      </x:c>
      <x:c r="D321" s="21" t="str">
        <x:v>CUI Audit Filters And Export</x:v>
      </x:c>
      <x:c r="E321" s="17" t="n">
        <x:v>1</x:v>
      </x:c>
      <x:c r="F321" s="21" t="str">
        <x:v>Add audit filters for event type, classification, tenant mode, actor, entity type, date range, and result.</x:v>
      </x:c>
      <x:c r="G321" s="17" t="str">
        <x:v>Software implementation</x:v>
      </x:c>
      <x:c r="H321" s="17" t="str">
        <x:v>Planned</x:v>
      </x:c>
      <x:c r="I321" s="18" t="str">
        <x:v>Not Verified</x:v>
      </x:c>
      <x:c r="J321" s="17" t="str">
        <x:f>IF(OR(I321="Completed",I321="Not Applicable"),"No","Yes")</x:f>
        <x:v>Yes</x:v>
      </x:c>
      <x:c r="K321" s="17" t="str">
        <x:v>1A.8.1</x:v>
      </x:c>
      <x:c r="L321" s="21" t="str"/>
      <x:c r="M321" s="17" t="str">
        <x:v>Insufficient evidence</x:v>
      </x:c>
      <x:c r="N321" s="21" t="str">
        <x:v>/Users/devups/Development/CodexProjects/Gccs/docs/development-story-prompts.md (line 5007)</x:v>
      </x:c>
      <x:c r="O321" s="19"/>
      <x:c r="P321" s="21" t="str">
        <x:v>5 acceptance criteria; 5 TC references; implementation=yes; smoke=yes; automated=yes; Story-level regression template</x:v>
      </x:c>
      <x:c r="Q321" s="21" t="str"/>
      <x:c r="R321" s="21" t="str">
        <x:v>Execute Story 1A.8.2 one-at-a-time through implementation, smoke, automated, regression, commit, and push workflow.</x:v>
      </x:c>
      <x:c r="S321" s="18" t="str"/>
      <x:c r="T321" s="20"/>
      <x:c r="U321" s="21" t="str">
        <x:v>Done-marker conflict: documentary label is not sufficient proof; No-CUI remains the production boundary.</x:v>
      </x:c>
      <x:c r="V321" s="1"/>
    </x:row>
    <x:row r="322" ht="46" customHeight="1">
      <x:c r="A322" s="17" t="n">
        <x:v>318</x:v>
      </x:c>
      <x:c r="B322" s="17" t="str">
        <x:v>Phase 1A</x:v>
      </x:c>
      <x:c r="C322" s="17" t="str">
        <x:v>1A.8.2</x:v>
      </x:c>
      <x:c r="D322" s="21" t="str">
        <x:v>CUI Audit Filters And Export</x:v>
      </x:c>
      <x:c r="E322" s="17" t="n">
        <x:v>2</x:v>
      </x:c>
      <x:c r="F322" s="21" t="str">
        <x:v>Add CUI readiness audit view or saved filter.</x:v>
      </x:c>
      <x:c r="G322" s="17" t="str">
        <x:v>Software implementation</x:v>
      </x:c>
      <x:c r="H322" s="17" t="str">
        <x:v>Planned</x:v>
      </x:c>
      <x:c r="I322" s="18" t="str">
        <x:v>Not Verified</x:v>
      </x:c>
      <x:c r="J322" s="17" t="str">
        <x:f>IF(OR(I322="Completed",I322="Not Applicable"),"No","Yes")</x:f>
        <x:v>Yes</x:v>
      </x:c>
      <x:c r="K322" s="17" t="str">
        <x:v>1A.8.2 task 1</x:v>
      </x:c>
      <x:c r="L322" s="21" t="str"/>
      <x:c r="M322" s="17" t="str">
        <x:v>Insufficient evidence</x:v>
      </x:c>
      <x:c r="N322" s="21" t="str">
        <x:v>/Users/devups/Development/CodexProjects/Gccs/docs/development-story-prompts.md (line 5007)</x:v>
      </x:c>
      <x:c r="O322" s="19"/>
      <x:c r="P322" s="21" t="str">
        <x:v>5 acceptance criteria; 5 TC references; implementation=yes; smoke=yes; automated=yes; Story-level regression template</x:v>
      </x:c>
      <x:c r="Q322" s="21" t="str"/>
      <x:c r="R322" s="21" t="str">
        <x:v>Execute Story 1A.8.2 one-at-a-time through implementation, smoke, automated, regression, commit, and push workflow.</x:v>
      </x:c>
      <x:c r="S322" s="18" t="str"/>
      <x:c r="T322" s="20"/>
      <x:c r="U322" s="21" t="str">
        <x:v>Done-marker conflict: documentary label is not sufficient proof; No-CUI remains the production boundary.</x:v>
      </x:c>
      <x:c r="V322" s="1"/>
    </x:row>
    <x:row r="323" ht="46" customHeight="1">
      <x:c r="A323" s="17" t="n">
        <x:v>319</x:v>
      </x:c>
      <x:c r="B323" s="17" t="str">
        <x:v>Phase 1A</x:v>
      </x:c>
      <x:c r="C323" s="17" t="str">
        <x:v>1A.8.2</x:v>
      </x:c>
      <x:c r="D323" s="21" t="str">
        <x:v>CUI Audit Filters And Export</x:v>
      </x:c>
      <x:c r="E323" s="17" t="n">
        <x:v>3</x:v>
      </x:c>
      <x:c r="F323" s="21" t="str">
        <x:v>Add export with tenant scope and permission checks.</x:v>
      </x:c>
      <x:c r="G323" s="17" t="str">
        <x:v>Software implementation</x:v>
      </x:c>
      <x:c r="H323" s="17" t="str">
        <x:v>Planned</x:v>
      </x:c>
      <x:c r="I323" s="18" t="str">
        <x:v>Not Verified</x:v>
      </x:c>
      <x:c r="J323" s="17" t="str">
        <x:f>IF(OR(I323="Completed",I323="Not Applicable"),"No","Yes")</x:f>
        <x:v>Yes</x:v>
      </x:c>
      <x:c r="K323" s="17" t="str">
        <x:v>1A.8.2 task 2</x:v>
      </x:c>
      <x:c r="L323" s="21" t="str"/>
      <x:c r="M323" s="17" t="str">
        <x:v>Insufficient evidence</x:v>
      </x:c>
      <x:c r="N323" s="21" t="str">
        <x:v>/Users/devups/Development/CodexProjects/Gccs/docs/development-story-prompts.md (line 5007)</x:v>
      </x:c>
      <x:c r="O323" s="19"/>
      <x:c r="P323" s="21" t="str">
        <x:v>5 acceptance criteria; 5 TC references; implementation=yes; smoke=yes; automated=yes; Story-level regression template</x:v>
      </x:c>
      <x:c r="Q323" s="21" t="str"/>
      <x:c r="R323" s="21" t="str">
        <x:v>Execute Story 1A.8.2 one-at-a-time through implementation, smoke, automated, regression, commit, and push workflow.</x:v>
      </x:c>
      <x:c r="S323" s="18" t="str"/>
      <x:c r="T323" s="20"/>
      <x:c r="U323" s="21" t="str">
        <x:v>Done-marker conflict: documentary label is not sufficient proof; No-CUI remains the production boundary.</x:v>
      </x:c>
      <x:c r="V323" s="1"/>
    </x:row>
    <x:row r="324" ht="46" customHeight="1">
      <x:c r="A324" s="17" t="n">
        <x:v>320</x:v>
      </x:c>
      <x:c r="B324" s="17" t="str">
        <x:v>Phase 1A</x:v>
      </x:c>
      <x:c r="C324" s="17" t="str">
        <x:v>1A.8.2</x:v>
      </x:c>
      <x:c r="D324" s="21" t="str">
        <x:v>CUI Audit Filters And Export</x:v>
      </x:c>
      <x:c r="E324" s="17" t="n">
        <x:v>4</x:v>
      </x:c>
      <x:c r="F324" s="21" t="str">
        <x:v>Add export metadata for generated by, generated at, filter criteria, and tenant.</x:v>
      </x:c>
      <x:c r="G324" s="17" t="str">
        <x:v>Software implementation</x:v>
      </x:c>
      <x:c r="H324" s="17" t="str">
        <x:v>Planned</x:v>
      </x:c>
      <x:c r="I324" s="18" t="str">
        <x:v>Not Verified</x:v>
      </x:c>
      <x:c r="J324" s="17" t="str">
        <x:f>IF(OR(I324="Completed",I324="Not Applicable"),"No","Yes")</x:f>
        <x:v>Yes</x:v>
      </x:c>
      <x:c r="K324" s="17" t="str">
        <x:v>1A.8.2 task 3</x:v>
      </x:c>
      <x:c r="L324" s="21" t="str"/>
      <x:c r="M324" s="17" t="str">
        <x:v>Insufficient evidence</x:v>
      </x:c>
      <x:c r="N324" s="21" t="str">
        <x:v>/Users/devups/Development/CodexProjects/Gccs/docs/development-story-prompts.md (line 5007)</x:v>
      </x:c>
      <x:c r="O324" s="19"/>
      <x:c r="P324" s="21" t="str">
        <x:v>5 acceptance criteria; 5 TC references; implementation=yes; smoke=yes; automated=yes; Story-level regression template</x:v>
      </x:c>
      <x:c r="Q324" s="21" t="str"/>
      <x:c r="R324" s="21" t="str">
        <x:v>Execute Story 1A.8.2 one-at-a-time through implementation, smoke, automated, regression, commit, and push workflow.</x:v>
      </x:c>
      <x:c r="S324" s="18" t="str"/>
      <x:c r="T324" s="20"/>
      <x:c r="U324" s="21" t="str">
        <x:v>Done-marker conflict: documentary label is not sufficient proof; No-CUI remains the production boundary.</x:v>
      </x:c>
      <x:c r="V324" s="1"/>
    </x:row>
    <x:row r="325" ht="46" customHeight="1">
      <x:c r="A325" s="17" t="n">
        <x:v>321</x:v>
      </x:c>
      <x:c r="B325" s="17" t="str">
        <x:v>Phase 1A</x:v>
      </x:c>
      <x:c r="C325" s="17" t="str">
        <x:v>1A.8.2</x:v>
      </x:c>
      <x:c r="D325" s="21" t="str">
        <x:v>CUI Audit Filters And Export</x:v>
      </x:c>
      <x:c r="E325" s="17" t="n">
        <x:v>5</x:v>
      </x:c>
      <x:c r="F325" s="21" t="str">
        <x:v>Add tests for filter correctness and export authorization.</x:v>
      </x:c>
      <x:c r="G325" s="17" t="str">
        <x:v>Software implementation</x:v>
      </x:c>
      <x:c r="H325" s="17" t="str">
        <x:v>Planned</x:v>
      </x:c>
      <x:c r="I325" s="18" t="str">
        <x:v>Not Verified</x:v>
      </x:c>
      <x:c r="J325" s="17" t="str">
        <x:f>IF(OR(I325="Completed",I325="Not Applicable"),"No","Yes")</x:f>
        <x:v>Yes</x:v>
      </x:c>
      <x:c r="K325" s="17" t="str">
        <x:v>1A.8.2 task 4</x:v>
      </x:c>
      <x:c r="L325" s="21" t="str"/>
      <x:c r="M325" s="17" t="str">
        <x:v>Insufficient evidence</x:v>
      </x:c>
      <x:c r="N325" s="21" t="str">
        <x:v>/Users/devups/Development/CodexProjects/Gccs/docs/development-story-prompts.md (line 5007)</x:v>
      </x:c>
      <x:c r="O325" s="19"/>
      <x:c r="P325" s="21" t="str">
        <x:v>5 acceptance criteria; 5 TC references; implementation=yes; smoke=yes; automated=yes; Story-level regression template</x:v>
      </x:c>
      <x:c r="Q325" s="21" t="str"/>
      <x:c r="R325" s="21" t="str">
        <x:v>Execute Story 1A.8.2 one-at-a-time through implementation, smoke, automated, regression, commit, and push workflow.</x:v>
      </x:c>
      <x:c r="S325" s="18" t="str"/>
      <x:c r="T325" s="20"/>
      <x:c r="U325" s="21" t="str">
        <x:v>Done-marker conflict: documentary label is not sufficient proof; No-CUI remains the production boundary.</x:v>
      </x:c>
      <x:c r="V325" s="1"/>
    </x:row>
    <x:row r="326" ht="46" customHeight="1">
      <x:c r="A326" s="17" t="n">
        <x:v>322</x:v>
      </x:c>
      <x:c r="B326" s="17" t="str">
        <x:v>Phase 1A</x:v>
      </x:c>
      <x:c r="C326" s="17" t="str">
        <x:v>1A.9.1</x:v>
      </x:c>
      <x:c r="D326" s="21" t="str">
        <x:v>Security Review Checklist</x:v>
      </x:c>
      <x:c r="E326" s="17" t="n">
        <x:v>1</x:v>
      </x:c>
      <x:c r="F326" s="21" t="str">
        <x:v>Define review areas for tenant isolation, evidence storage, encryption, malware scanning, retention, backup, restore, admin access, support access, logging, monitoring, and incident response.</x:v>
      </x:c>
      <x:c r="G326" s="17" t="str">
        <x:v>Software implementation</x:v>
      </x:c>
      <x:c r="H326" s="17" t="str">
        <x:v>Planned</x:v>
      </x:c>
      <x:c r="I326" s="18" t="str">
        <x:v>Not Verified</x:v>
      </x:c>
      <x:c r="J326" s="17" t="str">
        <x:f>IF(OR(I326="Completed",I326="Not Applicable"),"No","Yes")</x:f>
        <x:v>Yes</x:v>
      </x:c>
      <x:c r="K326" s="17" t="str">
        <x:v>1A.8.2</x:v>
      </x:c>
      <x:c r="L326" s="21" t="str"/>
      <x:c r="M326" s="17" t="str">
        <x:v>Insufficient evidence</x:v>
      </x:c>
      <x:c r="N326" s="21" t="str">
        <x:v>/Users/devups/Development/CodexProjects/Gccs/docs/development-story-prompts.md (line 5030)</x:v>
      </x:c>
      <x:c r="O326" s="19"/>
      <x:c r="P326" s="21" t="str">
        <x:v>5 acceptance criteria; 5 TC references; implementation=yes; smoke=yes; automated=yes; Story-level regression template</x:v>
      </x:c>
      <x:c r="Q326" s="21" t="str"/>
      <x:c r="R326" s="21" t="str">
        <x:v>Execute Story 1A.9.1 one-at-a-time through implementation, smoke, automated, regression, commit, and push workflow.</x:v>
      </x:c>
      <x:c r="S326" s="18" t="str"/>
      <x:c r="T326" s="20"/>
      <x:c r="U326" s="21" t="str">
        <x:v>Done-marker conflict: documentary label is not sufficient proof; No-CUI remains the production boundary.</x:v>
      </x:c>
      <x:c r="V326" s="1"/>
    </x:row>
    <x:row r="327" ht="46" customHeight="1">
      <x:c r="A327" s="17" t="n">
        <x:v>323</x:v>
      </x:c>
      <x:c r="B327" s="17" t="str">
        <x:v>Phase 1A</x:v>
      </x:c>
      <x:c r="C327" s="17" t="str">
        <x:v>1A.9.1</x:v>
      </x:c>
      <x:c r="D327" s="21" t="str">
        <x:v>Security Review Checklist</x:v>
      </x:c>
      <x:c r="E327" s="17" t="n">
        <x:v>2</x:v>
      </x:c>
      <x:c r="F327" s="21" t="str">
        <x:v>Add checklist fields for control status, evidence link, reviewer, review date, finding severity, remediation owner, due date, and closure notes.</x:v>
      </x:c>
      <x:c r="G327" s="17" t="str">
        <x:v>Software implementation</x:v>
      </x:c>
      <x:c r="H327" s="17" t="str">
        <x:v>Planned</x:v>
      </x:c>
      <x:c r="I327" s="18" t="str">
        <x:v>Not Verified</x:v>
      </x:c>
      <x:c r="J327" s="17" t="str">
        <x:f>IF(OR(I327="Completed",I327="Not Applicable"),"No","Yes")</x:f>
        <x:v>Yes</x:v>
      </x:c>
      <x:c r="K327" s="17" t="str">
        <x:v>1A.9.1 task 1</x:v>
      </x:c>
      <x:c r="L327" s="21" t="str"/>
      <x:c r="M327" s="17" t="str">
        <x:v>Insufficient evidence</x:v>
      </x:c>
      <x:c r="N327" s="21" t="str">
        <x:v>/Users/devups/Development/CodexProjects/Gccs/docs/development-story-prompts.md (line 5030)</x:v>
      </x:c>
      <x:c r="O327" s="19"/>
      <x:c r="P327" s="21" t="str">
        <x:v>5 acceptance criteria; 5 TC references; implementation=yes; smoke=yes; automated=yes; Story-level regression template</x:v>
      </x:c>
      <x:c r="Q327" s="21" t="str"/>
      <x:c r="R327" s="21" t="str">
        <x:v>Execute Story 1A.9.1 one-at-a-time through implementation, smoke, automated, regression, commit, and push workflow.</x:v>
      </x:c>
      <x:c r="S327" s="18" t="str"/>
      <x:c r="T327" s="20"/>
      <x:c r="U327" s="21" t="str">
        <x:v>Done-marker conflict: documentary label is not sufficient proof; No-CUI remains the production boundary.</x:v>
      </x:c>
      <x:c r="V327" s="1"/>
    </x:row>
    <x:row r="328" ht="46" customHeight="1">
      <x:c r="A328" s="17" t="n">
        <x:v>324</x:v>
      </x:c>
      <x:c r="B328" s="17" t="str">
        <x:v>Phase 1A</x:v>
      </x:c>
      <x:c r="C328" s="17" t="str">
        <x:v>1A.9.1</x:v>
      </x:c>
      <x:c r="D328" s="21" t="str">
        <x:v>Security Review Checklist</x:v>
      </x:c>
      <x:c r="E328" s="17" t="n">
        <x:v>3</x:v>
      </x:c>
      <x:c r="F328" s="21" t="str">
        <x:v>Link security review status to future CuiReady tenant approval.</x:v>
      </x:c>
      <x:c r="G328" s="17" t="str">
        <x:v>Software implementation</x:v>
      </x:c>
      <x:c r="H328" s="17" t="str">
        <x:v>Planned</x:v>
      </x:c>
      <x:c r="I328" s="18" t="str">
        <x:v>Not Verified</x:v>
      </x:c>
      <x:c r="J328" s="17" t="str">
        <x:f>IF(OR(I328="Completed",I328="Not Applicable"),"No","Yes")</x:f>
        <x:v>Yes</x:v>
      </x:c>
      <x:c r="K328" s="17" t="str">
        <x:v>1A.9.1 task 2</x:v>
      </x:c>
      <x:c r="L328" s="21" t="str"/>
      <x:c r="M328" s="17" t="str">
        <x:v>Insufficient evidence</x:v>
      </x:c>
      <x:c r="N328" s="21" t="str">
        <x:v>/Users/devups/Development/CodexProjects/Gccs/docs/development-story-prompts.md (line 5030)</x:v>
      </x:c>
      <x:c r="O328" s="19"/>
      <x:c r="P328" s="21" t="str">
        <x:v>5 acceptance criteria; 5 TC references; implementation=yes; smoke=yes; automated=yes; Story-level regression template</x:v>
      </x:c>
      <x:c r="Q328" s="21" t="str"/>
      <x:c r="R328" s="21" t="str">
        <x:v>Execute Story 1A.9.1 one-at-a-time through implementation, smoke, automated, regression, commit, and push workflow.</x:v>
      </x:c>
      <x:c r="S328" s="18" t="str"/>
      <x:c r="T328" s="20"/>
      <x:c r="U328" s="21" t="str">
        <x:v>Done-marker conflict: documentary label is not sufficient proof; No-CUI remains the production boundary.</x:v>
      </x:c>
      <x:c r="V328" s="1"/>
    </x:row>
    <x:row r="329" ht="46" customHeight="1">
      <x:c r="A329" s="17" t="n">
        <x:v>325</x:v>
      </x:c>
      <x:c r="B329" s="17" t="str">
        <x:v>Phase 1A</x:v>
      </x:c>
      <x:c r="C329" s="17" t="str">
        <x:v>1A.9.1</x:v>
      </x:c>
      <x:c r="D329" s="21" t="str">
        <x:v>Security Review Checklist</x:v>
      </x:c>
      <x:c r="E329" s="17" t="n">
        <x:v>4</x:v>
      </x:c>
      <x:c r="F329" s="21" t="str">
        <x:v>Add ability to record compensating controls and accepted risks.</x:v>
      </x:c>
      <x:c r="G329" s="17" t="str">
        <x:v>Software implementation</x:v>
      </x:c>
      <x:c r="H329" s="17" t="str">
        <x:v>Planned</x:v>
      </x:c>
      <x:c r="I329" s="18" t="str">
        <x:v>Not Verified</x:v>
      </x:c>
      <x:c r="J329" s="17" t="str">
        <x:f>IF(OR(I329="Completed",I329="Not Applicable"),"No","Yes")</x:f>
        <x:v>Yes</x:v>
      </x:c>
      <x:c r="K329" s="17" t="str">
        <x:v>1A.9.1 task 3</x:v>
      </x:c>
      <x:c r="L329" s="21" t="str"/>
      <x:c r="M329" s="17" t="str">
        <x:v>Insufficient evidence</x:v>
      </x:c>
      <x:c r="N329" s="21" t="str">
        <x:v>/Users/devups/Development/CodexProjects/Gccs/docs/development-story-prompts.md (line 5030)</x:v>
      </x:c>
      <x:c r="O329" s="19"/>
      <x:c r="P329" s="21" t="str">
        <x:v>5 acceptance criteria; 5 TC references; implementation=yes; smoke=yes; automated=yes; Story-level regression template</x:v>
      </x:c>
      <x:c r="Q329" s="21" t="str"/>
      <x:c r="R329" s="21" t="str">
        <x:v>Execute Story 1A.9.1 one-at-a-time through implementation, smoke, automated, regression, commit, and push workflow.</x:v>
      </x:c>
      <x:c r="S329" s="18" t="str"/>
      <x:c r="T329" s="20"/>
      <x:c r="U329" s="21" t="str">
        <x:v>Done-marker conflict: documentary label is not sufficient proof; No-CUI remains the production boundary.</x:v>
      </x:c>
      <x:c r="V329" s="1"/>
    </x:row>
    <x:row r="330" ht="46" customHeight="1">
      <x:c r="A330" s="17" t="n">
        <x:v>326</x:v>
      </x:c>
      <x:c r="B330" s="17" t="str">
        <x:v>Phase 1A</x:v>
      </x:c>
      <x:c r="C330" s="17" t="str">
        <x:v>1A.9.1</x:v>
      </x:c>
      <x:c r="D330" s="21" t="str">
        <x:v>Security Review Checklist</x:v>
      </x:c>
      <x:c r="E330" s="17" t="n">
        <x:v>5</x:v>
      </x:c>
      <x:c r="F330" s="21" t="str">
        <x:v>Add reporting for open findings.</x:v>
      </x:c>
      <x:c r="G330" s="17" t="str">
        <x:v>Software implementation</x:v>
      </x:c>
      <x:c r="H330" s="17" t="str">
        <x:v>Planned</x:v>
      </x:c>
      <x:c r="I330" s="18" t="str">
        <x:v>Not Verified</x:v>
      </x:c>
      <x:c r="J330" s="17" t="str">
        <x:f>IF(OR(I330="Completed",I330="Not Applicable"),"No","Yes")</x:f>
        <x:v>Yes</x:v>
      </x:c>
      <x:c r="K330" s="17" t="str">
        <x:v>1A.9.1 task 4</x:v>
      </x:c>
      <x:c r="L330" s="21" t="str"/>
      <x:c r="M330" s="17" t="str">
        <x:v>Insufficient evidence</x:v>
      </x:c>
      <x:c r="N330" s="21" t="str">
        <x:v>/Users/devups/Development/CodexProjects/Gccs/docs/development-story-prompts.md (line 5030)</x:v>
      </x:c>
      <x:c r="O330" s="19"/>
      <x:c r="P330" s="21" t="str">
        <x:v>5 acceptance criteria; 5 TC references; implementation=yes; smoke=yes; automated=yes; Story-level regression template</x:v>
      </x:c>
      <x:c r="Q330" s="21" t="str"/>
      <x:c r="R330" s="21" t="str">
        <x:v>Execute Story 1A.9.1 one-at-a-time through implementation, smoke, automated, regression, commit, and push workflow.</x:v>
      </x:c>
      <x:c r="S330" s="18" t="str"/>
      <x:c r="T330" s="20"/>
      <x:c r="U330" s="21" t="str">
        <x:v>Done-marker conflict: documentary label is not sufficient proof; No-CUI remains the production boundary.</x:v>
      </x:c>
      <x:c r="V330" s="1"/>
    </x:row>
    <x:row r="331" ht="46" customHeight="1">
      <x:c r="A331" s="17" t="n">
        <x:v>327</x:v>
      </x:c>
      <x:c r="B331" s="17" t="str">
        <x:v>Phase 1A</x:v>
      </x:c>
      <x:c r="C331" s="17" t="str">
        <x:v>1A.9.2</x:v>
      </x:c>
      <x:c r="D331" s="21" t="str">
        <x:v>Technical Control Verification</x:v>
      </x:c>
      <x:c r="E331" s="17" t="n">
        <x:v>1</x:v>
      </x:c>
      <x:c r="F331" s="21" t="str">
        <x:v>Add tenant isolation test coverage for CUI-classified records and files.</x:v>
      </x:c>
      <x:c r="G331" s="17" t="str">
        <x:v>Software implementation</x:v>
      </x:c>
      <x:c r="H331" s="17" t="str">
        <x:v>Planned</x:v>
      </x:c>
      <x:c r="I331" s="18" t="str">
        <x:v>Not Verified</x:v>
      </x:c>
      <x:c r="J331" s="17" t="str">
        <x:f>IF(OR(I331="Completed",I331="Not Applicable"),"No","Yes")</x:f>
        <x:v>Yes</x:v>
      </x:c>
      <x:c r="K331" s="17" t="str">
        <x:v>1A.9.1</x:v>
      </x:c>
      <x:c r="L331" s="21" t="str"/>
      <x:c r="M331" s="17" t="str">
        <x:v>Insufficient evidence</x:v>
      </x:c>
      <x:c r="N331" s="21" t="str">
        <x:v>/Users/devups/Development/CodexProjects/Gccs/docs/development-story-prompts.md (line 5051)</x:v>
      </x:c>
      <x:c r="O331" s="19"/>
      <x:c r="P331" s="21" t="str">
        <x:v>5 acceptance criteria; 5 TC references; implementation=yes; smoke=yes; automated=yes; Story-level regression template</x:v>
      </x:c>
      <x:c r="Q331" s="21" t="str"/>
      <x:c r="R331" s="21" t="str">
        <x:v>Execute Story 1A.9.2 one-at-a-time through implementation, smoke, automated, regression, commit, and push workflow.</x:v>
      </x:c>
      <x:c r="S331" s="18" t="str"/>
      <x:c r="T331" s="20"/>
      <x:c r="U331" s="21" t="str">
        <x:v>Done-marker conflict: documentary label is not sufficient proof; No-CUI remains the production boundary.</x:v>
      </x:c>
      <x:c r="V331" s="1"/>
    </x:row>
    <x:row r="332" ht="46" customHeight="1">
      <x:c r="A332" s="17" t="n">
        <x:v>328</x:v>
      </x:c>
      <x:c r="B332" s="17" t="str">
        <x:v>Phase 1A</x:v>
      </x:c>
      <x:c r="C332" s="17" t="str">
        <x:v>1A.9.2</x:v>
      </x:c>
      <x:c r="D332" s="21" t="str">
        <x:v>Technical Control Verification</x:v>
      </x:c>
      <x:c r="E332" s="17" t="n">
        <x:v>2</x:v>
      </x:c>
      <x:c r="F332" s="21" t="str">
        <x:v>Verify object storage access controls, encryption metadata, malware scan state, retention behavior, and deletion behavior.</x:v>
      </x:c>
      <x:c r="G332" s="17" t="str">
        <x:v>Software implementation</x:v>
      </x:c>
      <x:c r="H332" s="17" t="str">
        <x:v>Planned</x:v>
      </x:c>
      <x:c r="I332" s="18" t="str">
        <x:v>Not Verified</x:v>
      </x:c>
      <x:c r="J332" s="17" t="str">
        <x:f>IF(OR(I332="Completed",I332="Not Applicable"),"No","Yes")</x:f>
        <x:v>Yes</x:v>
      </x:c>
      <x:c r="K332" s="17" t="str">
        <x:v>1A.9.2 task 1</x:v>
      </x:c>
      <x:c r="L332" s="21" t="str"/>
      <x:c r="M332" s="17" t="str">
        <x:v>Insufficient evidence</x:v>
      </x:c>
      <x:c r="N332" s="21" t="str">
        <x:v>/Users/devups/Development/CodexProjects/Gccs/docs/development-story-prompts.md (line 5051)</x:v>
      </x:c>
      <x:c r="O332" s="19"/>
      <x:c r="P332" s="21" t="str">
        <x:v>5 acceptance criteria; 5 TC references; implementation=yes; smoke=yes; automated=yes; Story-level regression template</x:v>
      </x:c>
      <x:c r="Q332" s="21" t="str"/>
      <x:c r="R332" s="21" t="str">
        <x:v>Execute Story 1A.9.2 one-at-a-time through implementation, smoke, automated, regression, commit, and push workflow.</x:v>
      </x:c>
      <x:c r="S332" s="18" t="str"/>
      <x:c r="T332" s="20"/>
      <x:c r="U332" s="21" t="str">
        <x:v>Done-marker conflict: documentary label is not sufficient proof; No-CUI remains the production boundary.</x:v>
      </x:c>
      <x:c r="V332" s="1"/>
    </x:row>
    <x:row r="333" ht="46" customHeight="1">
      <x:c r="A333" s="17" t="n">
        <x:v>329</x:v>
      </x:c>
      <x:c r="B333" s="17" t="str">
        <x:v>Phase 1A</x:v>
      </x:c>
      <x:c r="C333" s="17" t="str">
        <x:v>1A.9.2</x:v>
      </x:c>
      <x:c r="D333" s="21" t="str">
        <x:v>Technical Control Verification</x:v>
      </x:c>
      <x:c r="E333" s="17" t="n">
        <x:v>3</x:v>
      </x:c>
      <x:c r="F333" s="21" t="str">
        <x:v>Verify backup and restore evidence for classified tenant content metadata.</x:v>
      </x:c>
      <x:c r="G333" s="17" t="str">
        <x:v>Software implementation</x:v>
      </x:c>
      <x:c r="H333" s="17" t="str">
        <x:v>Planned</x:v>
      </x:c>
      <x:c r="I333" s="18" t="str">
        <x:v>Not Verified</x:v>
      </x:c>
      <x:c r="J333" s="17" t="str">
        <x:f>IF(OR(I333="Completed",I333="Not Applicable"),"No","Yes")</x:f>
        <x:v>Yes</x:v>
      </x:c>
      <x:c r="K333" s="17" t="str">
        <x:v>1A.9.2 task 2</x:v>
      </x:c>
      <x:c r="L333" s="21" t="str"/>
      <x:c r="M333" s="17" t="str">
        <x:v>Insufficient evidence</x:v>
      </x:c>
      <x:c r="N333" s="21" t="str">
        <x:v>/Users/devups/Development/CodexProjects/Gccs/docs/development-story-prompts.md (line 5051)</x:v>
      </x:c>
      <x:c r="O333" s="19"/>
      <x:c r="P333" s="21" t="str">
        <x:v>5 acceptance criteria; 5 TC references; implementation=yes; smoke=yes; automated=yes; Story-level regression template</x:v>
      </x:c>
      <x:c r="Q333" s="21" t="str"/>
      <x:c r="R333" s="21" t="str">
        <x:v>Execute Story 1A.9.2 one-at-a-time through implementation, smoke, automated, regression, commit, and push workflow.</x:v>
      </x:c>
      <x:c r="S333" s="18" t="str"/>
      <x:c r="T333" s="20"/>
      <x:c r="U333" s="21" t="str">
        <x:v>Done-marker conflict: documentary label is not sufficient proof; No-CUI remains the production boundary.</x:v>
      </x:c>
      <x:c r="V333" s="1"/>
    </x:row>
    <x:row r="334" ht="46" customHeight="1">
      <x:c r="A334" s="17" t="n">
        <x:v>330</x:v>
      </x:c>
      <x:c r="B334" s="17" t="str">
        <x:v>Phase 1A</x:v>
      </x:c>
      <x:c r="C334" s="17" t="str">
        <x:v>1A.9.2</x:v>
      </x:c>
      <x:c r="D334" s="21" t="str">
        <x:v>Technical Control Verification</x:v>
      </x:c>
      <x:c r="E334" s="17" t="n">
        <x:v>4</x:v>
      </x:c>
      <x:c r="F334" s="21" t="str">
        <x:v>Verify least-privilege admin/support access workflows.</x:v>
      </x:c>
      <x:c r="G334" s="17" t="str">
        <x:v>Software implementation</x:v>
      </x:c>
      <x:c r="H334" s="17" t="str">
        <x:v>Planned</x:v>
      </x:c>
      <x:c r="I334" s="18" t="str">
        <x:v>Not Verified</x:v>
      </x:c>
      <x:c r="J334" s="17" t="str">
        <x:f>IF(OR(I334="Completed",I334="Not Applicable"),"No","Yes")</x:f>
        <x:v>Yes</x:v>
      </x:c>
      <x:c r="K334" s="17" t="str">
        <x:v>1A.9.2 task 3</x:v>
      </x:c>
      <x:c r="L334" s="21" t="str"/>
      <x:c r="M334" s="17" t="str">
        <x:v>Insufficient evidence</x:v>
      </x:c>
      <x:c r="N334" s="21" t="str">
        <x:v>/Users/devups/Development/CodexProjects/Gccs/docs/development-story-prompts.md (line 5051)</x:v>
      </x:c>
      <x:c r="O334" s="19"/>
      <x:c r="P334" s="21" t="str">
        <x:v>5 acceptance criteria; 5 TC references; implementation=yes; smoke=yes; automated=yes; Story-level regression template</x:v>
      </x:c>
      <x:c r="Q334" s="21" t="str"/>
      <x:c r="R334" s="21" t="str">
        <x:v>Execute Story 1A.9.2 one-at-a-time through implementation, smoke, automated, regression, commit, and push workflow.</x:v>
      </x:c>
      <x:c r="S334" s="18" t="str"/>
      <x:c r="T334" s="20"/>
      <x:c r="U334" s="21" t="str">
        <x:v>Done-marker conflict: documentary label is not sufficient proof; No-CUI remains the production boundary.</x:v>
      </x:c>
      <x:c r="V334" s="1"/>
    </x:row>
    <x:row r="335" ht="46" customHeight="1">
      <x:c r="A335" s="17" t="n">
        <x:v>331</x:v>
      </x:c>
      <x:c r="B335" s="17" t="str">
        <x:v>Phase 1A</x:v>
      </x:c>
      <x:c r="C335" s="17" t="str">
        <x:v>1A.9.2</x:v>
      </x:c>
      <x:c r="D335" s="21" t="str">
        <x:v>Technical Control Verification</x:v>
      </x:c>
      <x:c r="E335" s="17" t="n">
        <x:v>5</x:v>
      </x:c>
      <x:c r="F335" s="21" t="str">
        <x:v>Produce a security readiness summary for release review.</x:v>
      </x:c>
      <x:c r="G335" s="17" t="str">
        <x:v>Software implementation</x:v>
      </x:c>
      <x:c r="H335" s="17" t="str">
        <x:v>Planned</x:v>
      </x:c>
      <x:c r="I335" s="18" t="str">
        <x:v>Not Verified</x:v>
      </x:c>
      <x:c r="J335" s="17" t="str">
        <x:f>IF(OR(I335="Completed",I335="Not Applicable"),"No","Yes")</x:f>
        <x:v>Yes</x:v>
      </x:c>
      <x:c r="K335" s="17" t="str">
        <x:v>1A.9.2 task 4</x:v>
      </x:c>
      <x:c r="L335" s="21" t="str"/>
      <x:c r="M335" s="17" t="str">
        <x:v>Insufficient evidence</x:v>
      </x:c>
      <x:c r="N335" s="21" t="str">
        <x:v>/Users/devups/Development/CodexProjects/Gccs/docs/development-story-prompts.md (line 5051)</x:v>
      </x:c>
      <x:c r="O335" s="19"/>
      <x:c r="P335" s="21" t="str">
        <x:v>5 acceptance criteria; 5 TC references; implementation=yes; smoke=yes; automated=yes; Story-level regression template</x:v>
      </x:c>
      <x:c r="Q335" s="21" t="str"/>
      <x:c r="R335" s="21" t="str">
        <x:v>Execute Story 1A.9.2 one-at-a-time through implementation, smoke, automated, regression, commit, and push workflow.</x:v>
      </x:c>
      <x:c r="S335" s="18" t="str"/>
      <x:c r="T335" s="20"/>
      <x:c r="U335" s="21" t="str">
        <x:v>Done-marker conflict: documentary label is not sufficient proof; No-CUI remains the production boundary.</x:v>
      </x:c>
      <x:c r="V335" s="1"/>
    </x:row>
    <x:row r="336" ht="46" customHeight="1">
      <x:c r="A336" s="17" t="n">
        <x:v>332</x:v>
      </x:c>
      <x:c r="B336" s="17" t="str">
        <x:v>Phase 1A</x:v>
      </x:c>
      <x:c r="C336" s="17" t="str">
        <x:v>1A.9.3</x:v>
      </x:c>
      <x:c r="D336" s="21" t="str">
        <x:v>Incident Response Readiness</x:v>
      </x:c>
      <x:c r="E336" s="17" t="n">
        <x:v>1</x:v>
      </x:c>
      <x:c r="F336" s="21" t="str">
        <x:v>Define incident playbooks for accidental CUI upload, suspected CUI in a non-CUI tenant, prohibited data upload, cross-tenant exposure suspicion, malware detection, and failed deletion/export request.</x:v>
      </x:c>
      <x:c r="G336" s="17" t="str">
        <x:v>Software implementation</x:v>
      </x:c>
      <x:c r="H336" s="17" t="str">
        <x:v>Planned</x:v>
      </x:c>
      <x:c r="I336" s="18" t="str">
        <x:v>Not Verified</x:v>
      </x:c>
      <x:c r="J336" s="17" t="str">
        <x:f>IF(OR(I336="Completed",I336="Not Applicable"),"No","Yes")</x:f>
        <x:v>Yes</x:v>
      </x:c>
      <x:c r="K336" s="17" t="str">
        <x:v>1A.9.2</x:v>
      </x:c>
      <x:c r="L336" s="21" t="str"/>
      <x:c r="M336" s="17" t="str">
        <x:v>Insufficient evidence</x:v>
      </x:c>
      <x:c r="N336" s="21" t="str">
        <x:v>/Users/devups/Development/CodexProjects/Gccs/docs/development-story-prompts.md (line 5072)</x:v>
      </x:c>
      <x:c r="O336" s="19"/>
      <x:c r="P336" s="21" t="str">
        <x:v>5 acceptance criteria; 5 TC references; implementation=yes; smoke=yes; automated=yes; Story-level regression template</x:v>
      </x:c>
      <x:c r="Q336" s="21" t="str"/>
      <x:c r="R336" s="21" t="str">
        <x:v>Execute Story 1A.9.3 one-at-a-time through implementation, smoke, automated, regression, commit, and push workflow.</x:v>
      </x:c>
      <x:c r="S336" s="18" t="str"/>
      <x:c r="T336" s="20"/>
      <x:c r="U336" s="21" t="str">
        <x:v>Done-marker conflict: documentary label is not sufficient proof; No-CUI remains the production boundary.</x:v>
      </x:c>
      <x:c r="V336" s="1"/>
    </x:row>
    <x:row r="337" ht="46" customHeight="1">
      <x:c r="A337" s="17" t="n">
        <x:v>333</x:v>
      </x:c>
      <x:c r="B337" s="17" t="str">
        <x:v>Phase 1A</x:v>
      </x:c>
      <x:c r="C337" s="17" t="str">
        <x:v>1A.9.3</x:v>
      </x:c>
      <x:c r="D337" s="21" t="str">
        <x:v>Incident Response Readiness</x:v>
      </x:c>
      <x:c r="E337" s="17" t="n">
        <x:v>2</x:v>
      </x:c>
      <x:c r="F337" s="21" t="str">
        <x:v>Add contact and escalation owner records for security, support, legal/compliance, engineering, and customer success.</x:v>
      </x:c>
      <x:c r="G337" s="17" t="str">
        <x:v>Software implementation</x:v>
      </x:c>
      <x:c r="H337" s="17" t="str">
        <x:v>Planned</x:v>
      </x:c>
      <x:c r="I337" s="18" t="str">
        <x:v>Not Verified</x:v>
      </x:c>
      <x:c r="J337" s="17" t="str">
        <x:f>IF(OR(I337="Completed",I337="Not Applicable"),"No","Yes")</x:f>
        <x:v>Yes</x:v>
      </x:c>
      <x:c r="K337" s="17" t="str">
        <x:v>1A.9.3 task 1</x:v>
      </x:c>
      <x:c r="L337" s="21" t="str"/>
      <x:c r="M337" s="17" t="str">
        <x:v>Insufficient evidence</x:v>
      </x:c>
      <x:c r="N337" s="21" t="str">
        <x:v>/Users/devups/Development/CodexProjects/Gccs/docs/development-story-prompts.md (line 5072)</x:v>
      </x:c>
      <x:c r="O337" s="19"/>
      <x:c r="P337" s="21" t="str">
        <x:v>5 acceptance criteria; 5 TC references; implementation=yes; smoke=yes; automated=yes; Story-level regression template</x:v>
      </x:c>
      <x:c r="Q337" s="21" t="str"/>
      <x:c r="R337" s="21" t="str">
        <x:v>Execute Story 1A.9.3 one-at-a-time through implementation, smoke, automated, regression, commit, and push workflow.</x:v>
      </x:c>
      <x:c r="S337" s="18" t="str"/>
      <x:c r="T337" s="20"/>
      <x:c r="U337" s="21" t="str">
        <x:v>Done-marker conflict: documentary label is not sufficient proof; No-CUI remains the production boundary.</x:v>
      </x:c>
      <x:c r="V337" s="1"/>
    </x:row>
    <x:row r="338" ht="46" customHeight="1">
      <x:c r="A338" s="17" t="n">
        <x:v>334</x:v>
      </x:c>
      <x:c r="B338" s="17" t="str">
        <x:v>Phase 1A</x:v>
      </x:c>
      <x:c r="C338" s="17" t="str">
        <x:v>1A.9.3</x:v>
      </x:c>
      <x:c r="D338" s="21" t="str">
        <x:v>Incident Response Readiness</x:v>
      </x:c>
      <x:c r="E338" s="17" t="n">
        <x:v>3</x:v>
      </x:c>
      <x:c r="F338" s="21" t="str">
        <x:v>Add tabletop checklist and evidence capture.</x:v>
      </x:c>
      <x:c r="G338" s="17" t="str">
        <x:v>Software implementation</x:v>
      </x:c>
      <x:c r="H338" s="17" t="str">
        <x:v>Planned</x:v>
      </x:c>
      <x:c r="I338" s="18" t="str">
        <x:v>Not Verified</x:v>
      </x:c>
      <x:c r="J338" s="17" t="str">
        <x:f>IF(OR(I338="Completed",I338="Not Applicable"),"No","Yes")</x:f>
        <x:v>Yes</x:v>
      </x:c>
      <x:c r="K338" s="17" t="str">
        <x:v>1A.9.3 task 2</x:v>
      </x:c>
      <x:c r="L338" s="21" t="str"/>
      <x:c r="M338" s="17" t="str">
        <x:v>Insufficient evidence</x:v>
      </x:c>
      <x:c r="N338" s="21" t="str">
        <x:v>/Users/devups/Development/CodexProjects/Gccs/docs/development-story-prompts.md (line 5072)</x:v>
      </x:c>
      <x:c r="O338" s="19"/>
      <x:c r="P338" s="21" t="str">
        <x:v>5 acceptance criteria; 5 TC references; implementation=yes; smoke=yes; automated=yes; Story-level regression template</x:v>
      </x:c>
      <x:c r="Q338" s="21" t="str"/>
      <x:c r="R338" s="21" t="str">
        <x:v>Execute Story 1A.9.3 one-at-a-time through implementation, smoke, automated, regression, commit, and push workflow.</x:v>
      </x:c>
      <x:c r="S338" s="18" t="str"/>
      <x:c r="T338" s="20"/>
      <x:c r="U338" s="21" t="str">
        <x:v>Done-marker conflict: documentary label is not sufficient proof; No-CUI remains the production boundary.</x:v>
      </x:c>
      <x:c r="V338" s="1"/>
    </x:row>
    <x:row r="339" ht="46" customHeight="1">
      <x:c r="A339" s="17" t="n">
        <x:v>335</x:v>
      </x:c>
      <x:c r="B339" s="17" t="str">
        <x:v>Phase 1A</x:v>
      </x:c>
      <x:c r="C339" s="17" t="str">
        <x:v>1A.9.3</x:v>
      </x:c>
      <x:c r="D339" s="21" t="str">
        <x:v>Incident Response Readiness</x:v>
      </x:c>
      <x:c r="E339" s="17" t="n">
        <x:v>4</x:v>
      </x:c>
      <x:c r="F339" s="21" t="str">
        <x:v>Link incident response readiness to security review and tenant approval checklist.</x:v>
      </x:c>
      <x:c r="G339" s="17" t="str">
        <x:v>Software implementation</x:v>
      </x:c>
      <x:c r="H339" s="17" t="str">
        <x:v>Planned</x:v>
      </x:c>
      <x:c r="I339" s="18" t="str">
        <x:v>Not Verified</x:v>
      </x:c>
      <x:c r="J339" s="17" t="str">
        <x:f>IF(OR(I339="Completed",I339="Not Applicable"),"No","Yes")</x:f>
        <x:v>Yes</x:v>
      </x:c>
      <x:c r="K339" s="17" t="str">
        <x:v>1A.9.3 task 3</x:v>
      </x:c>
      <x:c r="L339" s="21" t="str"/>
      <x:c r="M339" s="17" t="str">
        <x:v>Insufficient evidence</x:v>
      </x:c>
      <x:c r="N339" s="21" t="str">
        <x:v>/Users/devups/Development/CodexProjects/Gccs/docs/development-story-prompts.md (line 5072)</x:v>
      </x:c>
      <x:c r="O339" s="19"/>
      <x:c r="P339" s="21" t="str">
        <x:v>5 acceptance criteria; 5 TC references; implementation=yes; smoke=yes; automated=yes; Story-level regression template</x:v>
      </x:c>
      <x:c r="Q339" s="21" t="str"/>
      <x:c r="R339" s="21" t="str">
        <x:v>Execute Story 1A.9.3 one-at-a-time through implementation, smoke, automated, regression, commit, and push workflow.</x:v>
      </x:c>
      <x:c r="S339" s="18" t="str"/>
      <x:c r="T339" s="20"/>
      <x:c r="U339" s="21" t="str">
        <x:v>Done-marker conflict: documentary label is not sufficient proof; No-CUI remains the production boundary.</x:v>
      </x:c>
      <x:c r="V339" s="1"/>
    </x:row>
    <x:row r="340" ht="46" customHeight="1">
      <x:c r="A340" s="17" t="n">
        <x:v>336</x:v>
      </x:c>
      <x:c r="B340" s="17" t="str">
        <x:v>Phase 1A</x:v>
      </x:c>
      <x:c r="C340" s="17" t="str">
        <x:v>1A.9.3</x:v>
      </x:c>
      <x:c r="D340" s="21" t="str">
        <x:v>Incident Response Readiness</x:v>
      </x:c>
      <x:c r="E340" s="17" t="n">
        <x:v>5</x:v>
      </x:c>
      <x:c r="F340" s="21" t="str">
        <x:v>Add annual or release-based review reminder.</x:v>
      </x:c>
      <x:c r="G340" s="17" t="str">
        <x:v>Software implementation</x:v>
      </x:c>
      <x:c r="H340" s="17" t="str">
        <x:v>Planned</x:v>
      </x:c>
      <x:c r="I340" s="18" t="str">
        <x:v>Not Verified</x:v>
      </x:c>
      <x:c r="J340" s="17" t="str">
        <x:f>IF(OR(I340="Completed",I340="Not Applicable"),"No","Yes")</x:f>
        <x:v>Yes</x:v>
      </x:c>
      <x:c r="K340" s="17" t="str">
        <x:v>1A.9.3 task 4</x:v>
      </x:c>
      <x:c r="L340" s="21" t="str"/>
      <x:c r="M340" s="17" t="str">
        <x:v>Insufficient evidence</x:v>
      </x:c>
      <x:c r="N340" s="21" t="str">
        <x:v>/Users/devups/Development/CodexProjects/Gccs/docs/development-story-prompts.md (line 5072)</x:v>
      </x:c>
      <x:c r="O340" s="19"/>
      <x:c r="P340" s="21" t="str">
        <x:v>5 acceptance criteria; 5 TC references; implementation=yes; smoke=yes; automated=yes; Story-level regression template</x:v>
      </x:c>
      <x:c r="Q340" s="21" t="str"/>
      <x:c r="R340" s="21" t="str">
        <x:v>Execute Story 1A.9.3 one-at-a-time through implementation, smoke, automated, regression, commit, and push workflow.</x:v>
      </x:c>
      <x:c r="S340" s="18" t="str"/>
      <x:c r="T340" s="20"/>
      <x:c r="U340" s="21" t="str">
        <x:v>Done-marker conflict: documentary label is not sufficient proof; No-CUI remains the production boundary.</x:v>
      </x:c>
      <x:c r="V340" s="1"/>
    </x:row>
    <x:row r="341" ht="46" customHeight="1">
      <x:c r="A341" s="17" t="n">
        <x:v>337</x:v>
      </x:c>
      <x:c r="B341" s="17" t="str">
        <x:v>Production Readiness</x:v>
      </x:c>
      <x:c r="C341" s="17" t="str">
        <x:v>PR-0.1</x:v>
      </x:c>
      <x:c r="D341" s="21" t="str">
        <x:v>Record And Approve Launch Posture</x:v>
      </x:c>
      <x:c r="E341" s="17" t="n">
        <x:v>1</x:v>
      </x:c>
      <x:c r="F341" s="21" t="str">
        <x:v>Review the launch posture decision in docs/production-readiness-plan.md.</x:v>
      </x:c>
      <x:c r="G341" s="17" t="str">
        <x:v>Production readiness / governance</x:v>
      </x:c>
      <x:c r="H341" s="17" t="str">
        <x:v>Planned</x:v>
      </x:c>
      <x:c r="I341" s="18" t="str">
        <x:v>Completed</x:v>
      </x:c>
      <x:c r="J341" s="17" t="str">
        <x:f>IF(OR(I341="Completed",I341="Not Applicable"),"No","Yes")</x:f>
        <x:v>No</x:v>
      </x:c>
      <x:c r="K341" s="17" t="str"/>
      <x:c r="L341" s="21" t="str">
        <x:v>Production-readiness closure/evidence set records completion for the solo-controlled No-CUI pilot scope.</x:v>
      </x:c>
      <x:c r="M341" s="17" t="str">
        <x:v>Governed readiness evidence</x:v>
      </x:c>
      <x:c r="N341" s="21" t="str">
        <x:v>/Users/devups/Development/CodexProjects/Gccs/docs/production-readiness-launch-closure-evidence.md; /Users/devups/Development/CodexProjects/Gccs/docs/production-readiness-completed-story-dod-review.md</x:v>
      </x:c>
      <x:c r="O341" s="19" t="n">
        <x:v>46269.666666666664</x:v>
      </x:c>
      <x:c r="P341" s="21" t="str">
        <x:v>4 acceptance criteria; 0 TC references; implementation=yes; smoke=yes; automated=yes; Production readiness verification workflow</x:v>
      </x:c>
      <x:c r="Q341" s="21" t="str"/>
      <x:c r="R341" s="21" t="str">
        <x:v>Retain evidence and rerun the applicable gate if launch scope, infrastructure, or regulated-data posture changes.</x:v>
      </x:c>
      <x:c r="S341" s="18" t="str"/>
      <x:c r="T341" s="20"/>
      <x:c r="U341" s="21" t="str">
        <x:v>Evidence does not authorize broader production separation of duties, real CUI, FedRAMP status, or government approval.</x:v>
      </x:c>
      <x:c r="V341" s="1"/>
    </x:row>
    <x:row r="342" ht="46" customHeight="1">
      <x:c r="A342" s="17" t="n">
        <x:v>338</x:v>
      </x:c>
      <x:c r="B342" s="17" t="str">
        <x:v>Production Readiness</x:v>
      </x:c>
      <x:c r="C342" s="17" t="str">
        <x:v>PR-0.1</x:v>
      </x:c>
      <x:c r="D342" s="21" t="str">
        <x:v>Record And Approve Launch Posture</x:v>
      </x:c>
      <x:c r="E342" s="17" t="n">
        <x:v>2</x:v>
      </x:c>
      <x:c r="F342" s="21" t="str">
        <x:v>Confirm the decision states No-CUI / compliance management only with synthetic CUI-ready demonstration workflows.</x:v>
      </x:c>
      <x:c r="G342" s="17" t="str">
        <x:v>Production readiness / governance</x:v>
      </x:c>
      <x:c r="H342" s="17" t="str">
        <x:v>Planned</x:v>
      </x:c>
      <x:c r="I342" s="18" t="str">
        <x:v>Completed</x:v>
      </x:c>
      <x:c r="J342" s="17" t="str">
        <x:f>IF(OR(I342="Completed",I342="Not Applicable"),"No","Yes")</x:f>
        <x:v>No</x:v>
      </x:c>
      <x:c r="K342" s="17" t="str">
        <x:v>PR-0.1 task 1</x:v>
      </x:c>
      <x:c r="L342" s="21" t="str">
        <x:v>Production-readiness closure/evidence set records completion for the solo-controlled No-CUI pilot scope.</x:v>
      </x:c>
      <x:c r="M342" s="17" t="str">
        <x:v>Governed readiness evidence</x:v>
      </x:c>
      <x:c r="N342" s="21" t="str">
        <x:v>/Users/devups/Development/CodexProjects/Gccs/docs/production-readiness-launch-closure-evidence.md; /Users/devups/Development/CodexProjects/Gccs/docs/production-readiness-completed-story-dod-review.md</x:v>
      </x:c>
      <x:c r="O342" s="19" t="n">
        <x:v>46269.666666666664</x:v>
      </x:c>
      <x:c r="P342" s="21" t="str">
        <x:v>4 acceptance criteria; 0 TC references; implementation=yes; smoke=yes; automated=yes; Production readiness verification workflow</x:v>
      </x:c>
      <x:c r="Q342" s="21" t="str"/>
      <x:c r="R342" s="21" t="str">
        <x:v>Retain evidence and rerun the applicable gate if launch scope, infrastructure, or regulated-data posture changes.</x:v>
      </x:c>
      <x:c r="S342" s="18" t="str"/>
      <x:c r="T342" s="20"/>
      <x:c r="U342" s="21" t="str">
        <x:v>Evidence does not authorize broader production separation of duties, real CUI, FedRAMP status, or government approval.</x:v>
      </x:c>
      <x:c r="V342" s="1"/>
    </x:row>
    <x:row r="343" ht="46" customHeight="1">
      <x:c r="A343" s="17" t="n">
        <x:v>339</x:v>
      </x:c>
      <x:c r="B343" s="17" t="str">
        <x:v>Production Readiness</x:v>
      </x:c>
      <x:c r="C343" s="17" t="str">
        <x:v>PR-0.1</x:v>
      </x:c>
      <x:c r="D343" s="21" t="str">
        <x:v>Record And Approve Launch Posture</x:v>
      </x:c>
      <x:c r="E343" s="17" t="n">
        <x:v>3</x:v>
      </x:c>
      <x:c r="F343" s="21" t="str">
        <x:v>Identify required approvers for product, engineering, security, compliance content, support, and legal or contracting review.</x:v>
      </x:c>
      <x:c r="G343" s="17" t="str">
        <x:v>Production readiness / governance</x:v>
      </x:c>
      <x:c r="H343" s="17" t="str">
        <x:v>Planned</x:v>
      </x:c>
      <x:c r="I343" s="18" t="str">
        <x:v>Completed</x:v>
      </x:c>
      <x:c r="J343" s="17" t="str">
        <x:f>IF(OR(I343="Completed",I343="Not Applicable"),"No","Yes")</x:f>
        <x:v>No</x:v>
      </x:c>
      <x:c r="K343" s="17" t="str">
        <x:v>PR-0.1 task 2</x:v>
      </x:c>
      <x:c r="L343" s="21" t="str">
        <x:v>Production-readiness closure/evidence set records completion for the solo-controlled No-CUI pilot scope.</x:v>
      </x:c>
      <x:c r="M343" s="17" t="str">
        <x:v>Governed readiness evidence</x:v>
      </x:c>
      <x:c r="N343" s="21" t="str">
        <x:v>/Users/devups/Development/CodexProjects/Gccs/docs/production-readiness-launch-closure-evidence.md; /Users/devups/Development/CodexProjects/Gccs/docs/production-readiness-completed-story-dod-review.md</x:v>
      </x:c>
      <x:c r="O343" s="19" t="n">
        <x:v>46269.666666666664</x:v>
      </x:c>
      <x:c r="P343" s="21" t="str">
        <x:v>4 acceptance criteria; 0 TC references; implementation=yes; smoke=yes; automated=yes; Production readiness verification workflow</x:v>
      </x:c>
      <x:c r="Q343" s="21" t="str"/>
      <x:c r="R343" s="21" t="str">
        <x:v>Retain evidence and rerun the applicable gate if launch scope, infrastructure, or regulated-data posture changes.</x:v>
      </x:c>
      <x:c r="S343" s="18" t="str"/>
      <x:c r="T343" s="20"/>
      <x:c r="U343" s="21" t="str">
        <x:v>Evidence does not authorize broader production separation of duties, real CUI, FedRAMP status, or government approval.</x:v>
      </x:c>
      <x:c r="V343" s="1"/>
    </x:row>
    <x:row r="344" ht="46" customHeight="1">
      <x:c r="A344" s="17" t="n">
        <x:v>340</x:v>
      </x:c>
      <x:c r="B344" s="17" t="str">
        <x:v>Production Readiness</x:v>
      </x:c>
      <x:c r="C344" s="17" t="str">
        <x:v>PR-0.1</x:v>
      </x:c>
      <x:c r="D344" s="21" t="str">
        <x:v>Record And Approve Launch Posture</x:v>
      </x:c>
      <x:c r="E344" s="17" t="n">
        <x:v>4</x:v>
      </x:c>
      <x:c r="F344" s="21" t="str">
        <x:v>Record approval status, pending status, review date, and decision exclusions.</x:v>
      </x:c>
      <x:c r="G344" s="17" t="str">
        <x:v>Production readiness / governance</x:v>
      </x:c>
      <x:c r="H344" s="17" t="str">
        <x:v>Planned</x:v>
      </x:c>
      <x:c r="I344" s="18" t="str">
        <x:v>Completed</x:v>
      </x:c>
      <x:c r="J344" s="17" t="str">
        <x:f>IF(OR(I344="Completed",I344="Not Applicable"),"No","Yes")</x:f>
        <x:v>No</x:v>
      </x:c>
      <x:c r="K344" s="17" t="str">
        <x:v>PR-0.1 task 3</x:v>
      </x:c>
      <x:c r="L344" s="21" t="str">
        <x:v>Production-readiness closure/evidence set records completion for the solo-controlled No-CUI pilot scope.</x:v>
      </x:c>
      <x:c r="M344" s="17" t="str">
        <x:v>Governed readiness evidence</x:v>
      </x:c>
      <x:c r="N344" s="21" t="str">
        <x:v>/Users/devups/Development/CodexProjects/Gccs/docs/production-readiness-launch-closure-evidence.md; /Users/devups/Development/CodexProjects/Gccs/docs/production-readiness-completed-story-dod-review.md</x:v>
      </x:c>
      <x:c r="O344" s="19" t="n">
        <x:v>46269.666666666664</x:v>
      </x:c>
      <x:c r="P344" s="21" t="str">
        <x:v>4 acceptance criteria; 0 TC references; implementation=yes; smoke=yes; automated=yes; Production readiness verification workflow</x:v>
      </x:c>
      <x:c r="Q344" s="21" t="str"/>
      <x:c r="R344" s="21" t="str">
        <x:v>Retain evidence and rerun the applicable gate if launch scope, infrastructure, or regulated-data posture changes.</x:v>
      </x:c>
      <x:c r="S344" s="18" t="str"/>
      <x:c r="T344" s="20"/>
      <x:c r="U344" s="21" t="str">
        <x:v>Evidence does not authorize broader production separation of duties, real CUI, FedRAMP status, or government approval.</x:v>
      </x:c>
      <x:c r="V344" s="1"/>
    </x:row>
    <x:row r="345" ht="46" customHeight="1">
      <x:c r="A345" s="17" t="n">
        <x:v>341</x:v>
      </x:c>
      <x:c r="B345" s="17" t="str">
        <x:v>Production Readiness</x:v>
      </x:c>
      <x:c r="C345" s="17" t="str">
        <x:v>PR-0.1</x:v>
      </x:c>
      <x:c r="D345" s="21" t="str">
        <x:v>Record And Approve Launch Posture</x:v>
      </x:c>
      <x:c r="E345" s="17" t="n">
        <x:v>5</x:v>
      </x:c>
      <x:c r="F345" s="21" t="str">
        <x:v>Add any unresolved decision gaps to the launch blockers list.</x:v>
      </x:c>
      <x:c r="G345" s="17" t="str">
        <x:v>Production readiness / governance</x:v>
      </x:c>
      <x:c r="H345" s="17" t="str">
        <x:v>Planned</x:v>
      </x:c>
      <x:c r="I345" s="18" t="str">
        <x:v>Completed</x:v>
      </x:c>
      <x:c r="J345" s="17" t="str">
        <x:f>IF(OR(I345="Completed",I345="Not Applicable"),"No","Yes")</x:f>
        <x:v>No</x:v>
      </x:c>
      <x:c r="K345" s="17" t="str">
        <x:v>PR-0.1 task 4</x:v>
      </x:c>
      <x:c r="L345" s="21" t="str">
        <x:v>Production-readiness closure/evidence set records completion for the solo-controlled No-CUI pilot scope.</x:v>
      </x:c>
      <x:c r="M345" s="17" t="str">
        <x:v>Governed readiness evidence</x:v>
      </x:c>
      <x:c r="N345" s="21" t="str">
        <x:v>/Users/devups/Development/CodexProjects/Gccs/docs/production-readiness-launch-closure-evidence.md; /Users/devups/Development/CodexProjects/Gccs/docs/production-readiness-completed-story-dod-review.md</x:v>
      </x:c>
      <x:c r="O345" s="19" t="n">
        <x:v>46269.666666666664</x:v>
      </x:c>
      <x:c r="P345" s="21" t="str">
        <x:v>4 acceptance criteria; 0 TC references; implementation=yes; smoke=yes; automated=yes; Production readiness verification workflow</x:v>
      </x:c>
      <x:c r="Q345" s="21" t="str"/>
      <x:c r="R345" s="21" t="str">
        <x:v>Retain evidence and rerun the applicable gate if launch scope, infrastructure, or regulated-data posture changes.</x:v>
      </x:c>
      <x:c r="S345" s="18" t="str"/>
      <x:c r="T345" s="20"/>
      <x:c r="U345" s="21" t="str">
        <x:v>Evidence does not authorize broader production separation of duties, real CUI, FedRAMP status, or government approval.</x:v>
      </x:c>
      <x:c r="V345" s="1"/>
    </x:row>
    <x:row r="346" ht="46" customHeight="1">
      <x:c r="A346" s="17" t="n">
        <x:v>342</x:v>
      </x:c>
      <x:c r="B346" s="17" t="str">
        <x:v>Production Readiness</x:v>
      </x:c>
      <x:c r="C346" s="17" t="str">
        <x:v>PR-0.2</x:v>
      </x:c>
      <x:c r="D346" s="21" t="str">
        <x:v>Align Launch Documents To No-CUI Posture</x:v>
      </x:c>
      <x:c r="E346" s="17" t="n">
        <x:v>1</x:v>
      </x:c>
      <x:c r="F346" s="21" t="str">
        <x:v>Review referenced readiness, delivery, roadmap, strategy, staging, security, and decision-log documents.</x:v>
      </x:c>
      <x:c r="G346" s="17" t="str">
        <x:v>Production readiness / governance</x:v>
      </x:c>
      <x:c r="H346" s="17" t="str">
        <x:v>Planned</x:v>
      </x:c>
      <x:c r="I346" s="18" t="str">
        <x:v>Completed</x:v>
      </x:c>
      <x:c r="J346" s="17" t="str">
        <x:f>IF(OR(I346="Completed",I346="Not Applicable"),"No","Yes")</x:f>
        <x:v>No</x:v>
      </x:c>
      <x:c r="K346" s="17" t="str">
        <x:v>PR-0.1</x:v>
      </x:c>
      <x:c r="L346" s="21" t="str">
        <x:v>Production-readiness closure/evidence set records completion for the solo-controlled No-CUI pilot scope.</x:v>
      </x:c>
      <x:c r="M346" s="17" t="str">
        <x:v>Governed readiness evidence</x:v>
      </x:c>
      <x:c r="N346" s="21" t="str">
        <x:v>/Users/devups/Development/CodexProjects/Gccs/docs/production-readiness-launch-closure-evidence.md; /Users/devups/Development/CodexProjects/Gccs/docs/production-readiness-completed-story-dod-review.md</x:v>
      </x:c>
      <x:c r="O346" s="19" t="n">
        <x:v>46269.666666666664</x:v>
      </x:c>
      <x:c r="P346" s="21" t="str">
        <x:v>4 acceptance criteria; 0 TC references; implementation=yes; smoke=yes; automated=yes; Production readiness verification workflow</x:v>
      </x:c>
      <x:c r="Q346" s="21" t="str"/>
      <x:c r="R346" s="21" t="str">
        <x:v>Retain evidence and rerun the applicable gate if launch scope, infrastructure, or regulated-data posture changes.</x:v>
      </x:c>
      <x:c r="S346" s="18" t="str"/>
      <x:c r="T346" s="20"/>
      <x:c r="U346" s="21" t="str">
        <x:v>Evidence does not authorize broader production separation of duties, real CUI, FedRAMP status, or government approval.</x:v>
      </x:c>
      <x:c r="V346" s="1"/>
    </x:row>
    <x:row r="347" ht="46" customHeight="1">
      <x:c r="A347" s="17" t="n">
        <x:v>343</x:v>
      </x:c>
      <x:c r="B347" s="17" t="str">
        <x:v>Production Readiness</x:v>
      </x:c>
      <x:c r="C347" s="17" t="str">
        <x:v>PR-0.2</x:v>
      </x:c>
      <x:c r="D347" s="21" t="str">
        <x:v>Align Launch Documents To No-CUI Posture</x:v>
      </x:c>
      <x:c r="E347" s="17" t="n">
        <x:v>2</x:v>
      </x:c>
      <x:c r="F347" s="21" t="str">
        <x:v>Search for language implying production CUI readiness, certification, official approval, legal advice, or customer permission to upload CUI.</x:v>
      </x:c>
      <x:c r="G347" s="17" t="str">
        <x:v>Production readiness / governance</x:v>
      </x:c>
      <x:c r="H347" s="17" t="str">
        <x:v>Planned</x:v>
      </x:c>
      <x:c r="I347" s="18" t="str">
        <x:v>Completed</x:v>
      </x:c>
      <x:c r="J347" s="17" t="str">
        <x:f>IF(OR(I347="Completed",I347="Not Applicable"),"No","Yes")</x:f>
        <x:v>No</x:v>
      </x:c>
      <x:c r="K347" s="17" t="str">
        <x:v>PR-0.2 task 1</x:v>
      </x:c>
      <x:c r="L347" s="21" t="str">
        <x:v>Production-readiness closure/evidence set records completion for the solo-controlled No-CUI pilot scope.</x:v>
      </x:c>
      <x:c r="M347" s="17" t="str">
        <x:v>Governed readiness evidence</x:v>
      </x:c>
      <x:c r="N347" s="21" t="str">
        <x:v>/Users/devups/Development/CodexProjects/Gccs/docs/production-readiness-launch-closure-evidence.md; /Users/devups/Development/CodexProjects/Gccs/docs/production-readiness-completed-story-dod-review.md</x:v>
      </x:c>
      <x:c r="O347" s="19" t="n">
        <x:v>46269.666666666664</x:v>
      </x:c>
      <x:c r="P347" s="21" t="str">
        <x:v>4 acceptance criteria; 0 TC references; implementation=yes; smoke=yes; automated=yes; Production readiness verification workflow</x:v>
      </x:c>
      <x:c r="Q347" s="21" t="str"/>
      <x:c r="R347" s="21" t="str">
        <x:v>Retain evidence and rerun the applicable gate if launch scope, infrastructure, or regulated-data posture changes.</x:v>
      </x:c>
      <x:c r="S347" s="18" t="str"/>
      <x:c r="T347" s="20"/>
      <x:c r="U347" s="21" t="str">
        <x:v>Evidence does not authorize broader production separation of duties, real CUI, FedRAMP status, or government approval.</x:v>
      </x:c>
      <x:c r="V347" s="1"/>
    </x:row>
    <x:row r="348" ht="46" customHeight="1">
      <x:c r="A348" s="17" t="n">
        <x:v>344</x:v>
      </x:c>
      <x:c r="B348" s="17" t="str">
        <x:v>Production Readiness</x:v>
      </x:c>
      <x:c r="C348" s="17" t="str">
        <x:v>PR-0.2</x:v>
      </x:c>
      <x:c r="D348" s="21" t="str">
        <x:v>Align Launch Documents To No-CUI Posture</x:v>
      </x:c>
      <x:c r="E348" s="17" t="n">
        <x:v>3</x:v>
      </x:c>
      <x:c r="F348" s="21" t="str">
        <x:v>Update or flag inconsistent language for owner review.</x:v>
      </x:c>
      <x:c r="G348" s="17" t="str">
        <x:v>Production readiness / governance</x:v>
      </x:c>
      <x:c r="H348" s="17" t="str">
        <x:v>Planned</x:v>
      </x:c>
      <x:c r="I348" s="18" t="str">
        <x:v>Completed</x:v>
      </x:c>
      <x:c r="J348" s="17" t="str">
        <x:f>IF(OR(I348="Completed",I348="Not Applicable"),"No","Yes")</x:f>
        <x:v>No</x:v>
      </x:c>
      <x:c r="K348" s="17" t="str">
        <x:v>PR-0.2 task 2</x:v>
      </x:c>
      <x:c r="L348" s="21" t="str">
        <x:v>Production-readiness closure/evidence set records completion for the solo-controlled No-CUI pilot scope.</x:v>
      </x:c>
      <x:c r="M348" s="17" t="str">
        <x:v>Governed readiness evidence</x:v>
      </x:c>
      <x:c r="N348" s="21" t="str">
        <x:v>/Users/devups/Development/CodexProjects/Gccs/docs/production-readiness-launch-closure-evidence.md; /Users/devups/Development/CodexProjects/Gccs/docs/production-readiness-completed-story-dod-review.md</x:v>
      </x:c>
      <x:c r="O348" s="19" t="n">
        <x:v>46269.666666666664</x:v>
      </x:c>
      <x:c r="P348" s="21" t="str">
        <x:v>4 acceptance criteria; 0 TC references; implementation=yes; smoke=yes; automated=yes; Production readiness verification workflow</x:v>
      </x:c>
      <x:c r="Q348" s="21" t="str"/>
      <x:c r="R348" s="21" t="str">
        <x:v>Retain evidence and rerun the applicable gate if launch scope, infrastructure, or regulated-data posture changes.</x:v>
      </x:c>
      <x:c r="S348" s="18" t="str"/>
      <x:c r="T348" s="20"/>
      <x:c r="U348" s="21" t="str">
        <x:v>Evidence does not authorize broader production separation of duties, real CUI, FedRAMP status, or government approval.</x:v>
      </x:c>
      <x:c r="V348" s="1"/>
    </x:row>
    <x:row r="349" ht="46" customHeight="1">
      <x:c r="A349" s="17" t="n">
        <x:v>345</x:v>
      </x:c>
      <x:c r="B349" s="17" t="str">
        <x:v>Production Readiness</x:v>
      </x:c>
      <x:c r="C349" s="17" t="str">
        <x:v>PR-0.2</x:v>
      </x:c>
      <x:c r="D349" s="21" t="str">
        <x:v>Align Launch Documents To No-CUI Posture</x:v>
      </x:c>
      <x:c r="E349" s="17" t="n">
        <x:v>4</x:v>
      </x:c>
      <x:c r="F349" s="21" t="str">
        <x:v>Record any unresolved contradiction in the known-risk acceptance log.</x:v>
      </x:c>
      <x:c r="G349" s="17" t="str">
        <x:v>Production readiness / governance</x:v>
      </x:c>
      <x:c r="H349" s="17" t="str">
        <x:v>Planned</x:v>
      </x:c>
      <x:c r="I349" s="18" t="str">
        <x:v>Completed</x:v>
      </x:c>
      <x:c r="J349" s="17" t="str">
        <x:f>IF(OR(I349="Completed",I349="Not Applicable"),"No","Yes")</x:f>
        <x:v>No</x:v>
      </x:c>
      <x:c r="K349" s="17" t="str">
        <x:v>PR-0.2 task 3</x:v>
      </x:c>
      <x:c r="L349" s="21" t="str">
        <x:v>Production-readiness closure/evidence set records completion for the solo-controlled No-CUI pilot scope.</x:v>
      </x:c>
      <x:c r="M349" s="17" t="str">
        <x:v>Governed readiness evidence</x:v>
      </x:c>
      <x:c r="N349" s="21" t="str">
        <x:v>/Users/devups/Development/CodexProjects/Gccs/docs/production-readiness-launch-closure-evidence.md; /Users/devups/Development/CodexProjects/Gccs/docs/production-readiness-completed-story-dod-review.md</x:v>
      </x:c>
      <x:c r="O349" s="19" t="n">
        <x:v>46269.666666666664</x:v>
      </x:c>
      <x:c r="P349" s="21" t="str">
        <x:v>4 acceptance criteria; 0 TC references; implementation=yes; smoke=yes; automated=yes; Production readiness verification workflow</x:v>
      </x:c>
      <x:c r="Q349" s="21" t="str"/>
      <x:c r="R349" s="21" t="str">
        <x:v>Retain evidence and rerun the applicable gate if launch scope, infrastructure, or regulated-data posture changes.</x:v>
      </x:c>
      <x:c r="S349" s="18" t="str"/>
      <x:c r="T349" s="20"/>
      <x:c r="U349" s="21" t="str">
        <x:v>Evidence does not authorize broader production separation of duties, real CUI, FedRAMP status, or government approval.</x:v>
      </x:c>
      <x:c r="V349" s="1"/>
    </x:row>
    <x:row r="350" ht="46" customHeight="1">
      <x:c r="A350" s="17" t="n">
        <x:v>346</x:v>
      </x:c>
      <x:c r="B350" s="17" t="str">
        <x:v>Production Readiness</x:v>
      </x:c>
      <x:c r="C350" s="17" t="str">
        <x:v>PR-0.3</x:v>
      </x:c>
      <x:c r="D350" s="21" t="str">
        <x:v>Verify Tenant Mode Boundary Design</x:v>
      </x:c>
      <x:c r="E350" s="17" t="n">
        <x:v>1</x:v>
      </x:c>
      <x:c r="F350" s="21" t="str">
        <x:v>Confirm DemoSandbox, NoCui, and future CuiReady tenant modes are documented.</x:v>
      </x:c>
      <x:c r="G350" s="17" t="str">
        <x:v>Production readiness / governance</x:v>
      </x:c>
      <x:c r="H350" s="17" t="str">
        <x:v>Planned</x:v>
      </x:c>
      <x:c r="I350" s="18" t="str">
        <x:v>Completed</x:v>
      </x:c>
      <x:c r="J350" s="17" t="str">
        <x:f>IF(OR(I350="Completed",I350="Not Applicable"),"No","Yes")</x:f>
        <x:v>No</x:v>
      </x:c>
      <x:c r="K350" s="17" t="str">
        <x:v>PR-0.2</x:v>
      </x:c>
      <x:c r="L350" s="21" t="str">
        <x:v>Production-readiness closure/evidence set records completion for the solo-controlled No-CUI pilot scope.</x:v>
      </x:c>
      <x:c r="M350" s="17" t="str">
        <x:v>Governed readiness evidence</x:v>
      </x:c>
      <x:c r="N350" s="21" t="str">
        <x:v>/Users/devups/Development/CodexProjects/Gccs/docs/production-readiness-launch-closure-evidence.md; /Users/devups/Development/CodexProjects/Gccs/docs/production-readiness-completed-story-dod-review.md</x:v>
      </x:c>
      <x:c r="O350" s="19" t="n">
        <x:v>46269.666666666664</x:v>
      </x:c>
      <x:c r="P350" s="21" t="str">
        <x:v>4 acceptance criteria; 0 TC references; implementation=yes; smoke=yes; automated=yes; Production readiness verification workflow</x:v>
      </x:c>
      <x:c r="Q350" s="21" t="str"/>
      <x:c r="R350" s="21" t="str">
        <x:v>Retain evidence and rerun the applicable gate if launch scope, infrastructure, or regulated-data posture changes.</x:v>
      </x:c>
      <x:c r="S350" s="18" t="str"/>
      <x:c r="T350" s="20"/>
      <x:c r="U350" s="21" t="str">
        <x:v>Evidence does not authorize broader production separation of duties, real CUI, FedRAMP status, or government approval.</x:v>
      </x:c>
      <x:c r="V350" s="1"/>
    </x:row>
    <x:row r="351" ht="46" customHeight="1">
      <x:c r="A351" s="17" t="n">
        <x:v>347</x:v>
      </x:c>
      <x:c r="B351" s="17" t="str">
        <x:v>Production Readiness</x:v>
      </x:c>
      <x:c r="C351" s="17" t="str">
        <x:v>PR-0.3</x:v>
      </x:c>
      <x:c r="D351" s="21" t="str">
        <x:v>Verify Tenant Mode Boundary Design</x:v>
      </x:c>
      <x:c r="E351" s="17" t="n">
        <x:v>2</x:v>
      </x:c>
      <x:c r="F351" s="21" t="str">
        <x:v>Confirm upload, import, extraction, report, and evidence workflows read tenant mode from trusted server-side context.</x:v>
      </x:c>
      <x:c r="G351" s="17" t="str">
        <x:v>Production readiness / governance</x:v>
      </x:c>
      <x:c r="H351" s="17" t="str">
        <x:v>Planned</x:v>
      </x:c>
      <x:c r="I351" s="18" t="str">
        <x:v>Completed</x:v>
      </x:c>
      <x:c r="J351" s="17" t="str">
        <x:f>IF(OR(I351="Completed",I351="Not Applicable"),"No","Yes")</x:f>
        <x:v>No</x:v>
      </x:c>
      <x:c r="K351" s="17" t="str">
        <x:v>PR-0.3 task 1</x:v>
      </x:c>
      <x:c r="L351" s="21" t="str">
        <x:v>Production-readiness closure/evidence set records completion for the solo-controlled No-CUI pilot scope.</x:v>
      </x:c>
      <x:c r="M351" s="17" t="str">
        <x:v>Governed readiness evidence</x:v>
      </x:c>
      <x:c r="N351" s="21" t="str">
        <x:v>/Users/devups/Development/CodexProjects/Gccs/docs/production-readiness-launch-closure-evidence.md; /Users/devups/Development/CodexProjects/Gccs/docs/production-readiness-completed-story-dod-review.md</x:v>
      </x:c>
      <x:c r="O351" s="19" t="n">
        <x:v>46269.666666666664</x:v>
      </x:c>
      <x:c r="P351" s="21" t="str">
        <x:v>4 acceptance criteria; 0 TC references; implementation=yes; smoke=yes; automated=yes; Production readiness verification workflow</x:v>
      </x:c>
      <x:c r="Q351" s="21" t="str"/>
      <x:c r="R351" s="21" t="str">
        <x:v>Retain evidence and rerun the applicable gate if launch scope, infrastructure, or regulated-data posture changes.</x:v>
      </x:c>
      <x:c r="S351" s="18" t="str"/>
      <x:c r="T351" s="20"/>
      <x:c r="U351" s="21" t="str">
        <x:v>Evidence does not authorize broader production separation of duties, real CUI, FedRAMP status, or government approval.</x:v>
      </x:c>
      <x:c r="V351" s="1"/>
    </x:row>
    <x:row r="352" ht="46" customHeight="1">
      <x:c r="A352" s="17" t="n">
        <x:v>348</x:v>
      </x:c>
      <x:c r="B352" s="17" t="str">
        <x:v>Production Readiness</x:v>
      </x:c>
      <x:c r="C352" s="17" t="str">
        <x:v>PR-0.3</x:v>
      </x:c>
      <x:c r="D352" s="21" t="str">
        <x:v>Verify Tenant Mode Boundary Design</x:v>
      </x:c>
      <x:c r="E352" s="17" t="n">
        <x:v>3</x:v>
      </x:c>
      <x:c r="F352" s="21" t="str">
        <x:v>Confirm real CUI blocking does not depend only on frontend warnings.</x:v>
      </x:c>
      <x:c r="G352" s="17" t="str">
        <x:v>Production readiness / governance</x:v>
      </x:c>
      <x:c r="H352" s="17" t="str">
        <x:v>Planned</x:v>
      </x:c>
      <x:c r="I352" s="18" t="str">
        <x:v>Completed</x:v>
      </x:c>
      <x:c r="J352" s="17" t="str">
        <x:f>IF(OR(I352="Completed",I352="Not Applicable"),"No","Yes")</x:f>
        <x:v>No</x:v>
      </x:c>
      <x:c r="K352" s="17" t="str">
        <x:v>PR-0.3 task 2</x:v>
      </x:c>
      <x:c r="L352" s="21" t="str">
        <x:v>Production-readiness closure/evidence set records completion for the solo-controlled No-CUI pilot scope.</x:v>
      </x:c>
      <x:c r="M352" s="17" t="str">
        <x:v>Governed readiness evidence</x:v>
      </x:c>
      <x:c r="N352" s="21" t="str">
        <x:v>/Users/devups/Development/CodexProjects/Gccs/docs/production-readiness-launch-closure-evidence.md; /Users/devups/Development/CodexProjects/Gccs/docs/production-readiness-completed-story-dod-review.md</x:v>
      </x:c>
      <x:c r="O352" s="19" t="n">
        <x:v>46269.666666666664</x:v>
      </x:c>
      <x:c r="P352" s="21" t="str">
        <x:v>4 acceptance criteria; 0 TC references; implementation=yes; smoke=yes; automated=yes; Production readiness verification workflow</x:v>
      </x:c>
      <x:c r="Q352" s="21" t="str"/>
      <x:c r="R352" s="21" t="str">
        <x:v>Retain evidence and rerun the applicable gate if launch scope, infrastructure, or regulated-data posture changes.</x:v>
      </x:c>
      <x:c r="S352" s="18" t="str"/>
      <x:c r="T352" s="20"/>
      <x:c r="U352" s="21" t="str">
        <x:v>Evidence does not authorize broader production separation of duties, real CUI, FedRAMP status, or government approval.</x:v>
      </x:c>
      <x:c r="V352" s="1"/>
    </x:row>
    <x:row r="353" ht="46" customHeight="1">
      <x:c r="A353" s="17" t="n">
        <x:v>349</x:v>
      </x:c>
      <x:c r="B353" s="17" t="str">
        <x:v>Production Readiness</x:v>
      </x:c>
      <x:c r="C353" s="17" t="str">
        <x:v>PR-0.3</x:v>
      </x:c>
      <x:c r="D353" s="21" t="str">
        <x:v>Verify Tenant Mode Boundary Design</x:v>
      </x:c>
      <x:c r="E353" s="17" t="n">
        <x:v>4</x:v>
      </x:c>
      <x:c r="F353" s="21" t="str">
        <x:v>Add or identify tests for synthetic demo boundaries and real CUI blocking.</x:v>
      </x:c>
      <x:c r="G353" s="17" t="str">
        <x:v>Production readiness / governance</x:v>
      </x:c>
      <x:c r="H353" s="17" t="str">
        <x:v>Planned</x:v>
      </x:c>
      <x:c r="I353" s="18" t="str">
        <x:v>Completed</x:v>
      </x:c>
      <x:c r="J353" s="17" t="str">
        <x:f>IF(OR(I353="Completed",I353="Not Applicable"),"No","Yes")</x:f>
        <x:v>No</x:v>
      </x:c>
      <x:c r="K353" s="17" t="str">
        <x:v>PR-0.3 task 3</x:v>
      </x:c>
      <x:c r="L353" s="21" t="str">
        <x:v>Production-readiness closure/evidence set records completion for the solo-controlled No-CUI pilot scope.</x:v>
      </x:c>
      <x:c r="M353" s="17" t="str">
        <x:v>Governed readiness evidence</x:v>
      </x:c>
      <x:c r="N353" s="21" t="str">
        <x:v>/Users/devups/Development/CodexProjects/Gccs/docs/production-readiness-launch-closure-evidence.md; /Users/devups/Development/CodexProjects/Gccs/docs/production-readiness-completed-story-dod-review.md</x:v>
      </x:c>
      <x:c r="O353" s="19" t="n">
        <x:v>46269.666666666664</x:v>
      </x:c>
      <x:c r="P353" s="21" t="str">
        <x:v>4 acceptance criteria; 0 TC references; implementation=yes; smoke=yes; automated=yes; Production readiness verification workflow</x:v>
      </x:c>
      <x:c r="Q353" s="21" t="str"/>
      <x:c r="R353" s="21" t="str">
        <x:v>Retain evidence and rerun the applicable gate if launch scope, infrastructure, or regulated-data posture changes.</x:v>
      </x:c>
      <x:c r="S353" s="18" t="str"/>
      <x:c r="T353" s="20"/>
      <x:c r="U353" s="21" t="str">
        <x:v>Evidence does not authorize broader production separation of duties, real CUI, FedRAMP status, or government approval.</x:v>
      </x:c>
      <x:c r="V353" s="1"/>
    </x:row>
    <x:row r="354" ht="46" customHeight="1">
      <x:c r="A354" s="17" t="n">
        <x:v>350</x:v>
      </x:c>
      <x:c r="B354" s="17" t="str">
        <x:v>Production Readiness</x:v>
      </x:c>
      <x:c r="C354" s="17" t="str">
        <x:v>PR-1.1</x:v>
      </x:c>
      <x:c r="D354" s="21" t="str">
        <x:v>Re-Run Definition Of Ready For Open MVP Stories</x:v>
      </x:c>
      <x:c r="E354" s="17" t="n">
        <x:v>1</x:v>
      </x:c>
      <x:c r="F354" s="21" t="str">
        <x:v>List all remaining open MVP launch stories.</x:v>
      </x:c>
      <x:c r="G354" s="17" t="str">
        <x:v>Production readiness / governance</x:v>
      </x:c>
      <x:c r="H354" s="17" t="str">
        <x:v>Planned</x:v>
      </x:c>
      <x:c r="I354" s="18" t="str">
        <x:v>Completed</x:v>
      </x:c>
      <x:c r="J354" s="17" t="str">
        <x:f>IF(OR(I354="Completed",I354="Not Applicable"),"No","Yes")</x:f>
        <x:v>No</x:v>
      </x:c>
      <x:c r="K354" s="17" t="str">
        <x:v>PR-0.3</x:v>
      </x:c>
      <x:c r="L354" s="21" t="str">
        <x:v>Production-readiness closure/evidence set records completion for the solo-controlled No-CUI pilot scope.</x:v>
      </x:c>
      <x:c r="M354" s="17" t="str">
        <x:v>Governed readiness evidence</x:v>
      </x:c>
      <x:c r="N354" s="21" t="str">
        <x:v>/Users/devups/Development/CodexProjects/Gccs/docs/production-readiness-launch-closure-evidence.md; /Users/devups/Development/CodexProjects/Gccs/docs/production-readiness-completed-story-dod-review.md</x:v>
      </x:c>
      <x:c r="O354" s="19" t="n">
        <x:v>46269.666666666664</x:v>
      </x:c>
      <x:c r="P354" s="21" t="str">
        <x:v>4 acceptance criteria; 0 TC references; implementation=yes; smoke=yes; automated=yes; Production readiness verification workflow</x:v>
      </x:c>
      <x:c r="Q354" s="21" t="str"/>
      <x:c r="R354" s="21" t="str">
        <x:v>Retain evidence and rerun the applicable gate if launch scope, infrastructure, or regulated-data posture changes.</x:v>
      </x:c>
      <x:c r="S354" s="18" t="str"/>
      <x:c r="T354" s="20"/>
      <x:c r="U354" s="21" t="str">
        <x:v>Evidence does not authorize broader production separation of duties, real CUI, FedRAMP status, or government approval.</x:v>
      </x:c>
      <x:c r="V354" s="1"/>
    </x:row>
    <x:row r="355" ht="46" customHeight="1">
      <x:c r="A355" s="17" t="n">
        <x:v>351</x:v>
      </x:c>
      <x:c r="B355" s="17" t="str">
        <x:v>Production Readiness</x:v>
      </x:c>
      <x:c r="C355" s="17" t="str">
        <x:v>PR-1.1</x:v>
      </x:c>
      <x:c r="D355" s="21" t="str">
        <x:v>Re-Run Definition Of Ready For Open MVP Stories</x:v>
      </x:c>
      <x:c r="E355" s="17" t="n">
        <x:v>2</x:v>
      </x:c>
      <x:c r="F355" s="21" t="str">
        <x:v>Verify actor, goal, business value, included scope, excluded scope, and acceptance criteria.</x:v>
      </x:c>
      <x:c r="G355" s="17" t="str">
        <x:v>Production readiness / governance</x:v>
      </x:c>
      <x:c r="H355" s="17" t="str">
        <x:v>Planned</x:v>
      </x:c>
      <x:c r="I355" s="18" t="str">
        <x:v>Completed</x:v>
      </x:c>
      <x:c r="J355" s="17" t="str">
        <x:f>IF(OR(I355="Completed",I355="Not Applicable"),"No","Yes")</x:f>
        <x:v>No</x:v>
      </x:c>
      <x:c r="K355" s="17" t="str">
        <x:v>PR-1.1 task 1</x:v>
      </x:c>
      <x:c r="L355" s="21" t="str">
        <x:v>Production-readiness closure/evidence set records completion for the solo-controlled No-CUI pilot scope.</x:v>
      </x:c>
      <x:c r="M355" s="17" t="str">
        <x:v>Governed readiness evidence</x:v>
      </x:c>
      <x:c r="N355" s="21" t="str">
        <x:v>/Users/devups/Development/CodexProjects/Gccs/docs/production-readiness-launch-closure-evidence.md; /Users/devups/Development/CodexProjects/Gccs/docs/production-readiness-completed-story-dod-review.md</x:v>
      </x:c>
      <x:c r="O355" s="19" t="n">
        <x:v>46269.666666666664</x:v>
      </x:c>
      <x:c r="P355" s="21" t="str">
        <x:v>4 acceptance criteria; 0 TC references; implementation=yes; smoke=yes; automated=yes; Production readiness verification workflow</x:v>
      </x:c>
      <x:c r="Q355" s="21" t="str"/>
      <x:c r="R355" s="21" t="str">
        <x:v>Retain evidence and rerun the applicable gate if launch scope, infrastructure, or regulated-data posture changes.</x:v>
      </x:c>
      <x:c r="S355" s="18" t="str"/>
      <x:c r="T355" s="20"/>
      <x:c r="U355" s="21" t="str">
        <x:v>Evidence does not authorize broader production separation of duties, real CUI, FedRAMP status, or government approval.</x:v>
      </x:c>
      <x:c r="V355" s="1"/>
    </x:row>
    <x:row r="356" ht="46" customHeight="1">
      <x:c r="A356" s="17" t="n">
        <x:v>352</x:v>
      </x:c>
      <x:c r="B356" s="17" t="str">
        <x:v>Production Readiness</x:v>
      </x:c>
      <x:c r="C356" s="17" t="str">
        <x:v>PR-1.1</x:v>
      </x:c>
      <x:c r="D356" s="21" t="str">
        <x:v>Re-Run Definition Of Ready For Open MVP Stories</x:v>
      </x:c>
      <x:c r="E356" s="17" t="n">
        <x:v>3</x:v>
      </x:c>
      <x:c r="F356" s="21" t="str">
        <x:v>Verify each story identifies data requirements, dependencies, security implications, RBAC implications, audit logging implications, and CUI/data-handling implications.</x:v>
      </x:c>
      <x:c r="G356" s="17" t="str">
        <x:v>Production readiness / governance</x:v>
      </x:c>
      <x:c r="H356" s="17" t="str">
        <x:v>Planned</x:v>
      </x:c>
      <x:c r="I356" s="18" t="str">
        <x:v>Completed</x:v>
      </x:c>
      <x:c r="J356" s="17" t="str">
        <x:f>IF(OR(I356="Completed",I356="Not Applicable"),"No","Yes")</x:f>
        <x:v>No</x:v>
      </x:c>
      <x:c r="K356" s="17" t="str">
        <x:v>PR-1.1 task 2</x:v>
      </x:c>
      <x:c r="L356" s="21" t="str">
        <x:v>Production-readiness closure/evidence set records completion for the solo-controlled No-CUI pilot scope.</x:v>
      </x:c>
      <x:c r="M356" s="17" t="str">
        <x:v>Governed readiness evidence</x:v>
      </x:c>
      <x:c r="N356" s="21" t="str">
        <x:v>/Users/devups/Development/CodexProjects/Gccs/docs/production-readiness-launch-closure-evidence.md; /Users/devups/Development/CodexProjects/Gccs/docs/production-readiness-completed-story-dod-review.md</x:v>
      </x:c>
      <x:c r="O356" s="19" t="n">
        <x:v>46269.666666666664</x:v>
      </x:c>
      <x:c r="P356" s="21" t="str">
        <x:v>4 acceptance criteria; 0 TC references; implementation=yes; smoke=yes; automated=yes; Production readiness verification workflow</x:v>
      </x:c>
      <x:c r="Q356" s="21" t="str"/>
      <x:c r="R356" s="21" t="str">
        <x:v>Retain evidence and rerun the applicable gate if launch scope, infrastructure, or regulated-data posture changes.</x:v>
      </x:c>
      <x:c r="S356" s="18" t="str"/>
      <x:c r="T356" s="20"/>
      <x:c r="U356" s="21" t="str">
        <x:v>Evidence does not authorize broader production separation of duties, real CUI, FedRAMP status, or government approval.</x:v>
      </x:c>
      <x:c r="V356" s="1"/>
    </x:row>
    <x:row r="357" ht="46" customHeight="1">
      <x:c r="A357" s="17" t="n">
        <x:v>353</x:v>
      </x:c>
      <x:c r="B357" s="17" t="str">
        <x:v>Production Readiness</x:v>
      </x:c>
      <x:c r="C357" s="17" t="str">
        <x:v>PR-1.1</x:v>
      </x:c>
      <x:c r="D357" s="21" t="str">
        <x:v>Re-Run Definition Of Ready For Open MVP Stories</x:v>
      </x:c>
      <x:c r="E357" s="17" t="n">
        <x:v>4</x:v>
      </x:c>
      <x:c r="F357" s="21" t="str">
        <x:v>Reject, defer, or return stories that are missing required readiness fields.</x:v>
      </x:c>
      <x:c r="G357" s="17" t="str">
        <x:v>Production readiness / governance</x:v>
      </x:c>
      <x:c r="H357" s="17" t="str">
        <x:v>Planned</x:v>
      </x:c>
      <x:c r="I357" s="18" t="str">
        <x:v>Completed</x:v>
      </x:c>
      <x:c r="J357" s="17" t="str">
        <x:f>IF(OR(I357="Completed",I357="Not Applicable"),"No","Yes")</x:f>
        <x:v>No</x:v>
      </x:c>
      <x:c r="K357" s="17" t="str">
        <x:v>PR-1.1 task 3</x:v>
      </x:c>
      <x:c r="L357" s="21" t="str">
        <x:v>Production-readiness closure/evidence set records completion for the solo-controlled No-CUI pilot scope.</x:v>
      </x:c>
      <x:c r="M357" s="17" t="str">
        <x:v>Governed readiness evidence</x:v>
      </x:c>
      <x:c r="N357" s="21" t="str">
        <x:v>/Users/devups/Development/CodexProjects/Gccs/docs/production-readiness-launch-closure-evidence.md; /Users/devups/Development/CodexProjects/Gccs/docs/production-readiness-completed-story-dod-review.md</x:v>
      </x:c>
      <x:c r="O357" s="19" t="n">
        <x:v>46269.666666666664</x:v>
      </x:c>
      <x:c r="P357" s="21" t="str">
        <x:v>4 acceptance criteria; 0 TC references; implementation=yes; smoke=yes; automated=yes; Production readiness verification workflow</x:v>
      </x:c>
      <x:c r="Q357" s="21" t="str"/>
      <x:c r="R357" s="21" t="str">
        <x:v>Retain evidence and rerun the applicable gate if launch scope, infrastructure, or regulated-data posture changes.</x:v>
      </x:c>
      <x:c r="S357" s="18" t="str"/>
      <x:c r="T357" s="20"/>
      <x:c r="U357" s="21" t="str">
        <x:v>Evidence does not authorize broader production separation of duties, real CUI, FedRAMP status, or government approval.</x:v>
      </x:c>
      <x:c r="V357" s="1"/>
    </x:row>
    <x:row r="358" ht="46" customHeight="1">
      <x:c r="A358" s="17" t="n">
        <x:v>354</x:v>
      </x:c>
      <x:c r="B358" s="17" t="str">
        <x:v>Production Readiness</x:v>
      </x:c>
      <x:c r="C358" s="17" t="str">
        <x:v>PR-1.2</x:v>
      </x:c>
      <x:c r="D358" s="21" t="str">
        <x:v>Map Open Stories To Test Cases</x:v>
      </x:c>
      <x:c r="E358" s="17" t="n">
        <x:v>1</x:v>
      </x:c>
      <x:c r="F358" s="21" t="str">
        <x:v>Map open stories to test cases in docs/development-story-test-cases.md.</x:v>
      </x:c>
      <x:c r="G358" s="17" t="str">
        <x:v>Production readiness / governance</x:v>
      </x:c>
      <x:c r="H358" s="17" t="str">
        <x:v>Planned</x:v>
      </x:c>
      <x:c r="I358" s="18" t="str">
        <x:v>Completed</x:v>
      </x:c>
      <x:c r="J358" s="17" t="str">
        <x:f>IF(OR(I358="Completed",I358="Not Applicable"),"No","Yes")</x:f>
        <x:v>No</x:v>
      </x:c>
      <x:c r="K358" s="17" t="str">
        <x:v>PR-1.1</x:v>
      </x:c>
      <x:c r="L358" s="21" t="str">
        <x:v>Production-readiness closure/evidence set records completion for the solo-controlled No-CUI pilot scope.</x:v>
      </x:c>
      <x:c r="M358" s="17" t="str">
        <x:v>Governed readiness evidence</x:v>
      </x:c>
      <x:c r="N358" s="21" t="str">
        <x:v>/Users/devups/Development/CodexProjects/Gccs/docs/production-readiness-launch-closure-evidence.md; /Users/devups/Development/CodexProjects/Gccs/docs/production-readiness-completed-story-dod-review.md</x:v>
      </x:c>
      <x:c r="O358" s="19" t="n">
        <x:v>46269.666666666664</x:v>
      </x:c>
      <x:c r="P358" s="21" t="str">
        <x:v>4 acceptance criteria; 0 TC references; implementation=yes; smoke=yes; automated=yes; Production readiness verification workflow</x:v>
      </x:c>
      <x:c r="Q358" s="21" t="str"/>
      <x:c r="R358" s="21" t="str">
        <x:v>Retain evidence and rerun the applicable gate if launch scope, infrastructure, or regulated-data posture changes.</x:v>
      </x:c>
      <x:c r="S358" s="18" t="str"/>
      <x:c r="T358" s="20"/>
      <x:c r="U358" s="21" t="str">
        <x:v>Evidence does not authorize broader production separation of duties, real CUI, FedRAMP status, or government approval.</x:v>
      </x:c>
      <x:c r="V358" s="1"/>
    </x:row>
    <x:row r="359" ht="46" customHeight="1">
      <x:c r="A359" s="17" t="n">
        <x:v>355</x:v>
      </x:c>
      <x:c r="B359" s="17" t="str">
        <x:v>Production Readiness</x:v>
      </x:c>
      <x:c r="C359" s="17" t="str">
        <x:v>PR-1.2</x:v>
      </x:c>
      <x:c r="D359" s="21" t="str">
        <x:v>Map Open Stories To Test Cases</x:v>
      </x:c>
      <x:c r="E359" s="17" t="n">
        <x:v>2</x:v>
      </x:c>
      <x:c r="F359" s="21" t="str">
        <x:v>Identify missing unit, integration, API, frontend, staging, tenant isolation, RBAC, upload, report, and audit coverage.</x:v>
      </x:c>
      <x:c r="G359" s="17" t="str">
        <x:v>Production readiness / governance</x:v>
      </x:c>
      <x:c r="H359" s="17" t="str">
        <x:v>Planned</x:v>
      </x:c>
      <x:c r="I359" s="18" t="str">
        <x:v>Completed</x:v>
      </x:c>
      <x:c r="J359" s="17" t="str">
        <x:f>IF(OR(I359="Completed",I359="Not Applicable"),"No","Yes")</x:f>
        <x:v>No</x:v>
      </x:c>
      <x:c r="K359" s="17" t="str">
        <x:v>PR-1.2 task 1</x:v>
      </x:c>
      <x:c r="L359" s="21" t="str">
        <x:v>Production-readiness closure/evidence set records completion for the solo-controlled No-CUI pilot scope.</x:v>
      </x:c>
      <x:c r="M359" s="17" t="str">
        <x:v>Governed readiness evidence</x:v>
      </x:c>
      <x:c r="N359" s="21" t="str">
        <x:v>/Users/devups/Development/CodexProjects/Gccs/docs/production-readiness-launch-closure-evidence.md; /Users/devups/Development/CodexProjects/Gccs/docs/production-readiness-completed-story-dod-review.md</x:v>
      </x:c>
      <x:c r="O359" s="19" t="n">
        <x:v>46269.666666666664</x:v>
      </x:c>
      <x:c r="P359" s="21" t="str">
        <x:v>4 acceptance criteria; 0 TC references; implementation=yes; smoke=yes; automated=yes; Production readiness verification workflow</x:v>
      </x:c>
      <x:c r="Q359" s="21" t="str"/>
      <x:c r="R359" s="21" t="str">
        <x:v>Retain evidence and rerun the applicable gate if launch scope, infrastructure, or regulated-data posture changes.</x:v>
      </x:c>
      <x:c r="S359" s="18" t="str"/>
      <x:c r="T359" s="20"/>
      <x:c r="U359" s="21" t="str">
        <x:v>Evidence does not authorize broader production separation of duties, real CUI, FedRAMP status, or government approval.</x:v>
      </x:c>
      <x:c r="V359" s="1"/>
    </x:row>
    <x:row r="360" ht="46" customHeight="1">
      <x:c r="A360" s="17" t="n">
        <x:v>356</x:v>
      </x:c>
      <x:c r="B360" s="17" t="str">
        <x:v>Production Readiness</x:v>
      </x:c>
      <x:c r="C360" s="17" t="str">
        <x:v>PR-1.2</x:v>
      </x:c>
      <x:c r="D360" s="21" t="str">
        <x:v>Map Open Stories To Test Cases</x:v>
      </x:c>
      <x:c r="E360" s="17" t="n">
        <x:v>3</x:v>
      </x:c>
      <x:c r="F360" s="21" t="str">
        <x:v>Add follow-up test tasks for missing coverage.</x:v>
      </x:c>
      <x:c r="G360" s="17" t="str">
        <x:v>Production readiness / governance</x:v>
      </x:c>
      <x:c r="H360" s="17" t="str">
        <x:v>Planned</x:v>
      </x:c>
      <x:c r="I360" s="18" t="str">
        <x:v>Completed</x:v>
      </x:c>
      <x:c r="J360" s="17" t="str">
        <x:f>IF(OR(I360="Completed",I360="Not Applicable"),"No","Yes")</x:f>
        <x:v>No</x:v>
      </x:c>
      <x:c r="K360" s="17" t="str">
        <x:v>PR-1.2 task 2</x:v>
      </x:c>
      <x:c r="L360" s="21" t="str">
        <x:v>Production-readiness closure/evidence set records completion for the solo-controlled No-CUI pilot scope.</x:v>
      </x:c>
      <x:c r="M360" s="17" t="str">
        <x:v>Governed readiness evidence</x:v>
      </x:c>
      <x:c r="N360" s="21" t="str">
        <x:v>/Users/devups/Development/CodexProjects/Gccs/docs/production-readiness-launch-closure-evidence.md; /Users/devups/Development/CodexProjects/Gccs/docs/production-readiness-completed-story-dod-review.md</x:v>
      </x:c>
      <x:c r="O360" s="19" t="n">
        <x:v>46269.666666666664</x:v>
      </x:c>
      <x:c r="P360" s="21" t="str">
        <x:v>4 acceptance criteria; 0 TC references; implementation=yes; smoke=yes; automated=yes; Production readiness verification workflow</x:v>
      </x:c>
      <x:c r="Q360" s="21" t="str"/>
      <x:c r="R360" s="21" t="str">
        <x:v>Retain evidence and rerun the applicable gate if launch scope, infrastructure, or regulated-data posture changes.</x:v>
      </x:c>
      <x:c r="S360" s="18" t="str"/>
      <x:c r="T360" s="20"/>
      <x:c r="U360" s="21" t="str">
        <x:v>Evidence does not authorize broader production separation of duties, real CUI, FedRAMP status, or government approval.</x:v>
      </x:c>
      <x:c r="V360" s="1"/>
    </x:row>
    <x:row r="361" ht="46" customHeight="1">
      <x:c r="A361" s="17" t="n">
        <x:v>357</x:v>
      </x:c>
      <x:c r="B361" s="17" t="str">
        <x:v>Production Readiness</x:v>
      </x:c>
      <x:c r="C361" s="17" t="str">
        <x:v>PR-1.2</x:v>
      </x:c>
      <x:c r="D361" s="21" t="str">
        <x:v>Map Open Stories To Test Cases</x:v>
      </x:c>
      <x:c r="E361" s="17" t="n">
        <x:v>4</x:v>
      </x:c>
      <x:c r="F361" s="21" t="str">
        <x:v>Mark stories blocked when test coverage is required but absent.</x:v>
      </x:c>
      <x:c r="G361" s="17" t="str">
        <x:v>Production readiness / governance</x:v>
      </x:c>
      <x:c r="H361" s="17" t="str">
        <x:v>Planned</x:v>
      </x:c>
      <x:c r="I361" s="18" t="str">
        <x:v>Completed</x:v>
      </x:c>
      <x:c r="J361" s="17" t="str">
        <x:f>IF(OR(I361="Completed",I361="Not Applicable"),"No","Yes")</x:f>
        <x:v>No</x:v>
      </x:c>
      <x:c r="K361" s="17" t="str">
        <x:v>PR-1.2 task 3</x:v>
      </x:c>
      <x:c r="L361" s="21" t="str">
        <x:v>Production-readiness closure/evidence set records completion for the solo-controlled No-CUI pilot scope.</x:v>
      </x:c>
      <x:c r="M361" s="17" t="str">
        <x:v>Governed readiness evidence</x:v>
      </x:c>
      <x:c r="N361" s="21" t="str">
        <x:v>/Users/devups/Development/CodexProjects/Gccs/docs/production-readiness-launch-closure-evidence.md; /Users/devups/Development/CodexProjects/Gccs/docs/production-readiness-completed-story-dod-review.md</x:v>
      </x:c>
      <x:c r="O361" s="19" t="n">
        <x:v>46269.666666666664</x:v>
      </x:c>
      <x:c r="P361" s="21" t="str">
        <x:v>4 acceptance criteria; 0 TC references; implementation=yes; smoke=yes; automated=yes; Production readiness verification workflow</x:v>
      </x:c>
      <x:c r="Q361" s="21" t="str"/>
      <x:c r="R361" s="21" t="str">
        <x:v>Retain evidence and rerun the applicable gate if launch scope, infrastructure, or regulated-data posture changes.</x:v>
      </x:c>
      <x:c r="S361" s="18" t="str"/>
      <x:c r="T361" s="20"/>
      <x:c r="U361" s="21" t="str">
        <x:v>Evidence does not authorize broader production separation of duties, real CUI, FedRAMP status, or government approval.</x:v>
      </x:c>
      <x:c r="V361" s="1"/>
    </x:row>
    <x:row r="362" ht="46" customHeight="1">
      <x:c r="A362" s="17" t="n">
        <x:v>358</x:v>
      </x:c>
      <x:c r="B362" s="17" t="str">
        <x:v>Production Readiness</x:v>
      </x:c>
      <x:c r="C362" s="17" t="str">
        <x:v>PR-1.3</x:v>
      </x:c>
      <x:c r="D362" s="21" t="str">
        <x:v>Gate Risky Workflow Changes</x:v>
      </x:c>
      <x:c r="E362" s="17" t="n">
        <x:v>1</x:v>
      </x:c>
      <x:c r="F362" s="21" t="str">
        <x:v>Review open stories that affect upload, import, export, search, AI, evidence, report, extraction, or background processing.</x:v>
      </x:c>
      <x:c r="G362" s="17" t="str">
        <x:v>Production readiness / governance</x:v>
      </x:c>
      <x:c r="H362" s="17" t="str">
        <x:v>Planned</x:v>
      </x:c>
      <x:c r="I362" s="18" t="str">
        <x:v>Completed</x:v>
      </x:c>
      <x:c r="J362" s="17" t="str">
        <x:f>IF(OR(I362="Completed",I362="Not Applicable"),"No","Yes")</x:f>
        <x:v>No</x:v>
      </x:c>
      <x:c r="K362" s="17" t="str">
        <x:v>PR-1.2</x:v>
      </x:c>
      <x:c r="L362" s="21" t="str">
        <x:v>Production-readiness closure/evidence set records completion for the solo-controlled No-CUI pilot scope.</x:v>
      </x:c>
      <x:c r="M362" s="17" t="str">
        <x:v>Governed readiness evidence</x:v>
      </x:c>
      <x:c r="N362" s="21" t="str">
        <x:v>/Users/devups/Development/CodexProjects/Gccs/docs/production-readiness-launch-closure-evidence.md; /Users/devups/Development/CodexProjects/Gccs/docs/production-readiness-completed-story-dod-review.md</x:v>
      </x:c>
      <x:c r="O362" s="19" t="n">
        <x:v>46269.666666666664</x:v>
      </x:c>
      <x:c r="P362" s="21" t="str">
        <x:v>4 acceptance criteria; 0 TC references; implementation=yes; smoke=yes; automated=yes; Production readiness verification workflow</x:v>
      </x:c>
      <x:c r="Q362" s="21" t="str"/>
      <x:c r="R362" s="21" t="str">
        <x:v>Retain evidence and rerun the applicable gate if launch scope, infrastructure, or regulated-data posture changes.</x:v>
      </x:c>
      <x:c r="S362" s="18" t="str"/>
      <x:c r="T362" s="20"/>
      <x:c r="U362" s="21" t="str">
        <x:v>Evidence does not authorize broader production separation of duties, real CUI, FedRAMP status, or government approval.</x:v>
      </x:c>
      <x:c r="V362" s="1"/>
    </x:row>
    <x:row r="363" ht="46" customHeight="1">
      <x:c r="A363" s="17" t="n">
        <x:v>359</x:v>
      </x:c>
      <x:c r="B363" s="17" t="str">
        <x:v>Production Readiness</x:v>
      </x:c>
      <x:c r="C363" s="17" t="str">
        <x:v>PR-1.3</x:v>
      </x:c>
      <x:c r="D363" s="21" t="str">
        <x:v>Gate Risky Workflow Changes</x:v>
      </x:c>
      <x:c r="E363" s="17" t="n">
        <x:v>2</x:v>
      </x:c>
      <x:c r="F363" s="21" t="str">
        <x:v>Verify server-side tenant mode enforcement coverage for each risky workflow.</x:v>
      </x:c>
      <x:c r="G363" s="17" t="str">
        <x:v>Production readiness / governance</x:v>
      </x:c>
      <x:c r="H363" s="17" t="str">
        <x:v>Planned</x:v>
      </x:c>
      <x:c r="I363" s="18" t="str">
        <x:v>Completed</x:v>
      </x:c>
      <x:c r="J363" s="17" t="str">
        <x:f>IF(OR(I363="Completed",I363="Not Applicable"),"No","Yes")</x:f>
        <x:v>No</x:v>
      </x:c>
      <x:c r="K363" s="17" t="str">
        <x:v>PR-1.3 task 1</x:v>
      </x:c>
      <x:c r="L363" s="21" t="str">
        <x:v>Production-readiness closure/evidence set records completion for the solo-controlled No-CUI pilot scope.</x:v>
      </x:c>
      <x:c r="M363" s="17" t="str">
        <x:v>Governed readiness evidence</x:v>
      </x:c>
      <x:c r="N363" s="21" t="str">
        <x:v>/Users/devups/Development/CodexProjects/Gccs/docs/production-readiness-launch-closure-evidence.md; /Users/devups/Development/CodexProjects/Gccs/docs/production-readiness-completed-story-dod-review.md</x:v>
      </x:c>
      <x:c r="O363" s="19" t="n">
        <x:v>46269.666666666664</x:v>
      </x:c>
      <x:c r="P363" s="21" t="str">
        <x:v>4 acceptance criteria; 0 TC references; implementation=yes; smoke=yes; automated=yes; Production readiness verification workflow</x:v>
      </x:c>
      <x:c r="Q363" s="21" t="str"/>
      <x:c r="R363" s="21" t="str">
        <x:v>Retain evidence and rerun the applicable gate if launch scope, infrastructure, or regulated-data posture changes.</x:v>
      </x:c>
      <x:c r="S363" s="18" t="str"/>
      <x:c r="T363" s="20"/>
      <x:c r="U363" s="21" t="str">
        <x:v>Evidence does not authorize broader production separation of duties, real CUI, FedRAMP status, or government approval.</x:v>
      </x:c>
      <x:c r="V363" s="1"/>
    </x:row>
    <x:row r="364" ht="46" customHeight="1">
      <x:c r="A364" s="17" t="n">
        <x:v>360</x:v>
      </x:c>
      <x:c r="B364" s="17" t="str">
        <x:v>Production Readiness</x:v>
      </x:c>
      <x:c r="C364" s="17" t="str">
        <x:v>PR-1.3</x:v>
      </x:c>
      <x:c r="D364" s="21" t="str">
        <x:v>Gate Risky Workflow Changes</x:v>
      </x:c>
      <x:c r="E364" s="17" t="n">
        <x:v>3</x:v>
      </x:c>
      <x:c r="F364" s="21" t="str">
        <x:v>Verify audit logging and RBAC implications are documented.</x:v>
      </x:c>
      <x:c r="G364" s="17" t="str">
        <x:v>Production readiness / governance</x:v>
      </x:c>
      <x:c r="H364" s="17" t="str">
        <x:v>Planned</x:v>
      </x:c>
      <x:c r="I364" s="18" t="str">
        <x:v>Completed</x:v>
      </x:c>
      <x:c r="J364" s="17" t="str">
        <x:f>IF(OR(I364="Completed",I364="Not Applicable"),"No","Yes")</x:f>
        <x:v>No</x:v>
      </x:c>
      <x:c r="K364" s="17" t="str">
        <x:v>PR-1.3 task 2</x:v>
      </x:c>
      <x:c r="L364" s="21" t="str">
        <x:v>Production-readiness closure/evidence set records completion for the solo-controlled No-CUI pilot scope.</x:v>
      </x:c>
      <x:c r="M364" s="17" t="str">
        <x:v>Governed readiness evidence</x:v>
      </x:c>
      <x:c r="N364" s="21" t="str">
        <x:v>/Users/devups/Development/CodexProjects/Gccs/docs/production-readiness-launch-closure-evidence.md; /Users/devups/Development/CodexProjects/Gccs/docs/production-readiness-completed-story-dod-review.md</x:v>
      </x:c>
      <x:c r="O364" s="19" t="n">
        <x:v>46269.666666666664</x:v>
      </x:c>
      <x:c r="P364" s="21" t="str">
        <x:v>4 acceptance criteria; 0 TC references; implementation=yes; smoke=yes; automated=yes; Production readiness verification workflow</x:v>
      </x:c>
      <x:c r="Q364" s="21" t="str"/>
      <x:c r="R364" s="21" t="str">
        <x:v>Retain evidence and rerun the applicable gate if launch scope, infrastructure, or regulated-data posture changes.</x:v>
      </x:c>
      <x:c r="S364" s="18" t="str"/>
      <x:c r="T364" s="20"/>
      <x:c r="U364" s="21" t="str">
        <x:v>Evidence does not authorize broader production separation of duties, real CUI, FedRAMP status, or government approval.</x:v>
      </x:c>
      <x:c r="V364" s="1"/>
    </x:row>
    <x:row r="365" ht="46" customHeight="1">
      <x:c r="A365" s="17" t="n">
        <x:v>361</x:v>
      </x:c>
      <x:c r="B365" s="17" t="str">
        <x:v>Production Readiness</x:v>
      </x:c>
      <x:c r="C365" s="17" t="str">
        <x:v>PR-1.3</x:v>
      </x:c>
      <x:c r="D365" s="21" t="str">
        <x:v>Gate Risky Workflow Changes</x:v>
      </x:c>
      <x:c r="E365" s="17" t="n">
        <x:v>4</x:v>
      </x:c>
      <x:c r="F365" s="21" t="str">
        <x:v>Defer or block stories without sufficient guardrails.</x:v>
      </x:c>
      <x:c r="G365" s="17" t="str">
        <x:v>Production readiness / governance</x:v>
      </x:c>
      <x:c r="H365" s="17" t="str">
        <x:v>Planned</x:v>
      </x:c>
      <x:c r="I365" s="18" t="str">
        <x:v>Completed</x:v>
      </x:c>
      <x:c r="J365" s="17" t="str">
        <x:f>IF(OR(I365="Completed",I365="Not Applicable"),"No","Yes")</x:f>
        <x:v>No</x:v>
      </x:c>
      <x:c r="K365" s="17" t="str">
        <x:v>PR-1.3 task 3</x:v>
      </x:c>
      <x:c r="L365" s="21" t="str">
        <x:v>Production-readiness closure/evidence set records completion for the solo-controlled No-CUI pilot scope.</x:v>
      </x:c>
      <x:c r="M365" s="17" t="str">
        <x:v>Governed readiness evidence</x:v>
      </x:c>
      <x:c r="N365" s="21" t="str">
        <x:v>/Users/devups/Development/CodexProjects/Gccs/docs/production-readiness-launch-closure-evidence.md; /Users/devups/Development/CodexProjects/Gccs/docs/production-readiness-completed-story-dod-review.md</x:v>
      </x:c>
      <x:c r="O365" s="19" t="n">
        <x:v>46269.666666666664</x:v>
      </x:c>
      <x:c r="P365" s="21" t="str">
        <x:v>4 acceptance criteria; 0 TC references; implementation=yes; smoke=yes; automated=yes; Production readiness verification workflow</x:v>
      </x:c>
      <x:c r="Q365" s="21" t="str"/>
      <x:c r="R365" s="21" t="str">
        <x:v>Retain evidence and rerun the applicable gate if launch scope, infrastructure, or regulated-data posture changes.</x:v>
      </x:c>
      <x:c r="S365" s="18" t="str"/>
      <x:c r="T365" s="20"/>
      <x:c r="U365" s="21" t="str">
        <x:v>Evidence does not authorize broader production separation of duties, real CUI, FedRAMP status, or government approval.</x:v>
      </x:c>
      <x:c r="V365" s="1"/>
    </x:row>
    <x:row r="366" ht="46" customHeight="1">
      <x:c r="A366" s="17" t="n">
        <x:v>362</x:v>
      </x:c>
      <x:c r="B366" s="17" t="str">
        <x:v>Production Readiness</x:v>
      </x:c>
      <x:c r="C366" s="17" t="str">
        <x:v>PR-2.1</x:v>
      </x:c>
      <x:c r="D366" s="21" t="str">
        <x:v>Freeze MVP Launch Scope</x:v>
      </x:c>
      <x:c r="E366" s="17" t="n">
        <x:v>1</x:v>
      </x:c>
      <x:c r="F366" s="21" t="str">
        <x:v>Identify all launch-critical modules and stories.</x:v>
      </x:c>
      <x:c r="G366" s="17" t="str">
        <x:v>Production readiness / governance</x:v>
      </x:c>
      <x:c r="H366" s="17" t="str">
        <x:v>Planned</x:v>
      </x:c>
      <x:c r="I366" s="18" t="str">
        <x:v>Completed</x:v>
      </x:c>
      <x:c r="J366" s="17" t="str">
        <x:f>IF(OR(I366="Completed",I366="Not Applicable"),"No","Yes")</x:f>
        <x:v>No</x:v>
      </x:c>
      <x:c r="K366" s="17" t="str">
        <x:v>PR-1.3</x:v>
      </x:c>
      <x:c r="L366" s="21" t="str">
        <x:v>Production-readiness closure/evidence set records completion for the solo-controlled No-CUI pilot scope.</x:v>
      </x:c>
      <x:c r="M366" s="17" t="str">
        <x:v>Governed readiness evidence</x:v>
      </x:c>
      <x:c r="N366" s="21" t="str">
        <x:v>/Users/devups/Development/CodexProjects/Gccs/docs/production-readiness-launch-closure-evidence.md; /Users/devups/Development/CodexProjects/Gccs/docs/production-readiness-completed-story-dod-review.md</x:v>
      </x:c>
      <x:c r="O366" s="19" t="n">
        <x:v>46269.666666666664</x:v>
      </x:c>
      <x:c r="P366" s="21" t="str">
        <x:v>4 acceptance criteria; 0 TC references; implementation=yes; smoke=yes; automated=yes; Production readiness verification workflow</x:v>
      </x:c>
      <x:c r="Q366" s="21" t="str"/>
      <x:c r="R366" s="21" t="str">
        <x:v>Retain evidence and rerun the applicable gate if launch scope, infrastructure, or regulated-data posture changes.</x:v>
      </x:c>
      <x:c r="S366" s="18" t="str"/>
      <x:c r="T366" s="20"/>
      <x:c r="U366" s="21" t="str">
        <x:v>Evidence does not authorize broader production separation of duties, real CUI, FedRAMP status, or government approval.</x:v>
      </x:c>
      <x:c r="V366" s="1"/>
    </x:row>
    <x:row r="367" ht="46" customHeight="1">
      <x:c r="A367" s="17" t="n">
        <x:v>363</x:v>
      </x:c>
      <x:c r="B367" s="17" t="str">
        <x:v>Production Readiness</x:v>
      </x:c>
      <x:c r="C367" s="17" t="str">
        <x:v>PR-2.1</x:v>
      </x:c>
      <x:c r="D367" s="21" t="str">
        <x:v>Freeze MVP Launch Scope</x:v>
      </x:c>
      <x:c r="E367" s="17" t="n">
        <x:v>2</x:v>
      </x:c>
      <x:c r="F367" s="21" t="str">
        <x:v>Defer non-launch Phase 2+ features unless they are required to remove a production blocker.</x:v>
      </x:c>
      <x:c r="G367" s="17" t="str">
        <x:v>Production readiness / governance</x:v>
      </x:c>
      <x:c r="H367" s="17" t="str">
        <x:v>Planned</x:v>
      </x:c>
      <x:c r="I367" s="18" t="str">
        <x:v>Completed</x:v>
      </x:c>
      <x:c r="J367" s="17" t="str">
        <x:f>IF(OR(I367="Completed",I367="Not Applicable"),"No","Yes")</x:f>
        <x:v>No</x:v>
      </x:c>
      <x:c r="K367" s="17" t="str">
        <x:v>PR-2.1 task 1</x:v>
      </x:c>
      <x:c r="L367" s="21" t="str">
        <x:v>Production-readiness closure/evidence set records completion for the solo-controlled No-CUI pilot scope.</x:v>
      </x:c>
      <x:c r="M367" s="17" t="str">
        <x:v>Governed readiness evidence</x:v>
      </x:c>
      <x:c r="N367" s="21" t="str">
        <x:v>/Users/devups/Development/CodexProjects/Gccs/docs/production-readiness-launch-closure-evidence.md; /Users/devups/Development/CodexProjects/Gccs/docs/production-readiness-completed-story-dod-review.md</x:v>
      </x:c>
      <x:c r="O367" s="19" t="n">
        <x:v>46269.666666666664</x:v>
      </x:c>
      <x:c r="P367" s="21" t="str">
        <x:v>4 acceptance criteria; 0 TC references; implementation=yes; smoke=yes; automated=yes; Production readiness verification workflow</x:v>
      </x:c>
      <x:c r="Q367" s="21" t="str"/>
      <x:c r="R367" s="21" t="str">
        <x:v>Retain evidence and rerun the applicable gate if launch scope, infrastructure, or regulated-data posture changes.</x:v>
      </x:c>
      <x:c r="S367" s="18" t="str"/>
      <x:c r="T367" s="20"/>
      <x:c r="U367" s="21" t="str">
        <x:v>Evidence does not authorize broader production separation of duties, real CUI, FedRAMP status, or government approval.</x:v>
      </x:c>
      <x:c r="V367" s="1"/>
    </x:row>
    <x:row r="368" ht="46" customHeight="1">
      <x:c r="A368" s="17" t="n">
        <x:v>364</x:v>
      </x:c>
      <x:c r="B368" s="17" t="str">
        <x:v>Production Readiness</x:v>
      </x:c>
      <x:c r="C368" s="17" t="str">
        <x:v>PR-2.1</x:v>
      </x:c>
      <x:c r="D368" s="21" t="str">
        <x:v>Freeze MVP Launch Scope</x:v>
      </x:c>
      <x:c r="E368" s="17" t="n">
        <x:v>3</x:v>
      </x:c>
      <x:c r="F368" s="21" t="str">
        <x:v>Record scope exclusions and known limitations.</x:v>
      </x:c>
      <x:c r="G368" s="17" t="str">
        <x:v>Production readiness / governance</x:v>
      </x:c>
      <x:c r="H368" s="17" t="str">
        <x:v>Planned</x:v>
      </x:c>
      <x:c r="I368" s="18" t="str">
        <x:v>Completed</x:v>
      </x:c>
      <x:c r="J368" s="17" t="str">
        <x:f>IF(OR(I368="Completed",I368="Not Applicable"),"No","Yes")</x:f>
        <x:v>No</x:v>
      </x:c>
      <x:c r="K368" s="17" t="str">
        <x:v>PR-2.1 task 2</x:v>
      </x:c>
      <x:c r="L368" s="21" t="str">
        <x:v>Production-readiness closure/evidence set records completion for the solo-controlled No-CUI pilot scope.</x:v>
      </x:c>
      <x:c r="M368" s="17" t="str">
        <x:v>Governed readiness evidence</x:v>
      </x:c>
      <x:c r="N368" s="21" t="str">
        <x:v>/Users/devups/Development/CodexProjects/Gccs/docs/production-readiness-launch-closure-evidence.md; /Users/devups/Development/CodexProjects/Gccs/docs/production-readiness-completed-story-dod-review.md</x:v>
      </x:c>
      <x:c r="O368" s="19" t="n">
        <x:v>46269.666666666664</x:v>
      </x:c>
      <x:c r="P368" s="21" t="str">
        <x:v>4 acceptance criteria; 0 TC references; implementation=yes; smoke=yes; automated=yes; Production readiness verification workflow</x:v>
      </x:c>
      <x:c r="Q368" s="21" t="str"/>
      <x:c r="R368" s="21" t="str">
        <x:v>Retain evidence and rerun the applicable gate if launch scope, infrastructure, or regulated-data posture changes.</x:v>
      </x:c>
      <x:c r="S368" s="18" t="str"/>
      <x:c r="T368" s="20"/>
      <x:c r="U368" s="21" t="str">
        <x:v>Evidence does not authorize broader production separation of duties, real CUI, FedRAMP status, or government approval.</x:v>
      </x:c>
      <x:c r="V368" s="1"/>
    </x:row>
    <x:row r="369" ht="46" customHeight="1">
      <x:c r="A369" s="17" t="n">
        <x:v>365</x:v>
      </x:c>
      <x:c r="B369" s="17" t="str">
        <x:v>Production Readiness</x:v>
      </x:c>
      <x:c r="C369" s="17" t="str">
        <x:v>PR-2.1</x:v>
      </x:c>
      <x:c r="D369" s="21" t="str">
        <x:v>Freeze MVP Launch Scope</x:v>
      </x:c>
      <x:c r="E369" s="17" t="n">
        <x:v>4</x:v>
      </x:c>
      <x:c r="F369" s="21" t="str">
        <x:v>Communicate the frozen scope to product, engineering, QA, security, compliance content, support, and legal reviewers.</x:v>
      </x:c>
      <x:c r="G369" s="17" t="str">
        <x:v>Production readiness / governance</x:v>
      </x:c>
      <x:c r="H369" s="17" t="str">
        <x:v>Planned</x:v>
      </x:c>
      <x:c r="I369" s="18" t="str">
        <x:v>Completed</x:v>
      </x:c>
      <x:c r="J369" s="17" t="str">
        <x:f>IF(OR(I369="Completed",I369="Not Applicable"),"No","Yes")</x:f>
        <x:v>No</x:v>
      </x:c>
      <x:c r="K369" s="17" t="str">
        <x:v>PR-2.1 task 3</x:v>
      </x:c>
      <x:c r="L369" s="21" t="str">
        <x:v>Production-readiness closure/evidence set records completion for the solo-controlled No-CUI pilot scope.</x:v>
      </x:c>
      <x:c r="M369" s="17" t="str">
        <x:v>Governed readiness evidence</x:v>
      </x:c>
      <x:c r="N369" s="21" t="str">
        <x:v>/Users/devups/Development/CodexProjects/Gccs/docs/production-readiness-launch-closure-evidence.md; /Users/devups/Development/CodexProjects/Gccs/docs/production-readiness-completed-story-dod-review.md</x:v>
      </x:c>
      <x:c r="O369" s="19" t="n">
        <x:v>46269.666666666664</x:v>
      </x:c>
      <x:c r="P369" s="21" t="str">
        <x:v>4 acceptance criteria; 0 TC references; implementation=yes; smoke=yes; automated=yes; Production readiness verification workflow</x:v>
      </x:c>
      <x:c r="Q369" s="21" t="str"/>
      <x:c r="R369" s="21" t="str">
        <x:v>Retain evidence and rerun the applicable gate if launch scope, infrastructure, or regulated-data posture changes.</x:v>
      </x:c>
      <x:c r="S369" s="18" t="str"/>
      <x:c r="T369" s="20"/>
      <x:c r="U369" s="21" t="str">
        <x:v>Evidence does not authorize broader production separation of duties, real CUI, FedRAMP status, or government approval.</x:v>
      </x:c>
      <x:c r="V369" s="1"/>
    </x:row>
    <x:row r="370" ht="46" customHeight="1">
      <x:c r="A370" s="17" t="n">
        <x:v>366</x:v>
      </x:c>
      <x:c r="B370" s="17" t="str">
        <x:v>Production Readiness</x:v>
      </x:c>
      <x:c r="C370" s="17" t="str">
        <x:v>PR-2.2</x:v>
      </x:c>
      <x:c r="D370" s="21" t="str">
        <x:v>Re-Run Definition Of Done For Completed MVP Stories</x:v>
      </x:c>
      <x:c r="E370" s="17" t="n">
        <x:v>1</x:v>
      </x:c>
      <x:c r="F370" s="21" t="str">
        <x:v>Review completed launch stories for passing acceptance criteria.</x:v>
      </x:c>
      <x:c r="G370" s="17" t="str">
        <x:v>Production readiness / governance</x:v>
      </x:c>
      <x:c r="H370" s="17" t="str">
        <x:v>Planned</x:v>
      </x:c>
      <x:c r="I370" s="18" t="str">
        <x:v>Completed</x:v>
      </x:c>
      <x:c r="J370" s="17" t="str">
        <x:f>IF(OR(I370="Completed",I370="Not Applicable"),"No","Yes")</x:f>
        <x:v>No</x:v>
      </x:c>
      <x:c r="K370" s="17" t="str">
        <x:v>PR-2.1</x:v>
      </x:c>
      <x:c r="L370" s="21" t="str">
        <x:v>Production-readiness closure/evidence set records completion for the solo-controlled No-CUI pilot scope.</x:v>
      </x:c>
      <x:c r="M370" s="17" t="str">
        <x:v>Governed readiness evidence</x:v>
      </x:c>
      <x:c r="N370" s="21" t="str">
        <x:v>/Users/devups/Development/CodexProjects/Gccs/docs/production-readiness-launch-closure-evidence.md; /Users/devups/Development/CodexProjects/Gccs/docs/production-readiness-completed-story-dod-review.md</x:v>
      </x:c>
      <x:c r="O370" s="19" t="n">
        <x:v>46269.666666666664</x:v>
      </x:c>
      <x:c r="P370" s="21" t="str">
        <x:v>4 acceptance criteria; 0 TC references; implementation=yes; smoke=yes; automated=yes; Production readiness verification workflow</x:v>
      </x:c>
      <x:c r="Q370" s="21" t="str"/>
      <x:c r="R370" s="21" t="str">
        <x:v>Retain evidence and rerun the applicable gate if launch scope, infrastructure, or regulated-data posture changes.</x:v>
      </x:c>
      <x:c r="S370" s="18" t="str"/>
      <x:c r="T370" s="20"/>
      <x:c r="U370" s="21" t="str">
        <x:v>Evidence does not authorize broader production separation of duties, real CUI, FedRAMP status, or government approval.</x:v>
      </x:c>
      <x:c r="V370" s="1"/>
    </x:row>
    <x:row r="371" ht="46" customHeight="1">
      <x:c r="A371" s="17" t="n">
        <x:v>367</x:v>
      </x:c>
      <x:c r="B371" s="17" t="str">
        <x:v>Production Readiness</x:v>
      </x:c>
      <x:c r="C371" s="17" t="str">
        <x:v>PR-2.2</x:v>
      </x:c>
      <x:c r="D371" s="21" t="str">
        <x:v>Re-Run Definition Of Done For Completed MVP Stories</x:v>
      </x:c>
      <x:c r="E371" s="17" t="n">
        <x:v>2</x:v>
      </x:c>
      <x:c r="F371" s="21" t="str">
        <x:v>Confirm relevant unit, integration, API, frontend, staging, regression, or manual tests.</x:v>
      </x:c>
      <x:c r="G371" s="17" t="str">
        <x:v>Production readiness / governance</x:v>
      </x:c>
      <x:c r="H371" s="17" t="str">
        <x:v>Planned</x:v>
      </x:c>
      <x:c r="I371" s="18" t="str">
        <x:v>Completed</x:v>
      </x:c>
      <x:c r="J371" s="17" t="str">
        <x:f>IF(OR(I371="Completed",I371="Not Applicable"),"No","Yes")</x:f>
        <x:v>No</x:v>
      </x:c>
      <x:c r="K371" s="17" t="str">
        <x:v>PR-2.2 task 1</x:v>
      </x:c>
      <x:c r="L371" s="21" t="str">
        <x:v>Production-readiness closure/evidence set records completion for the solo-controlled No-CUI pilot scope.</x:v>
      </x:c>
      <x:c r="M371" s="17" t="str">
        <x:v>Governed readiness evidence</x:v>
      </x:c>
      <x:c r="N371" s="21" t="str">
        <x:v>/Users/devups/Development/CodexProjects/Gccs/docs/production-readiness-launch-closure-evidence.md; /Users/devups/Development/CodexProjects/Gccs/docs/production-readiness-completed-story-dod-review.md</x:v>
      </x:c>
      <x:c r="O371" s="19" t="n">
        <x:v>46269.666666666664</x:v>
      </x:c>
      <x:c r="P371" s="21" t="str">
        <x:v>4 acceptance criteria; 0 TC references; implementation=yes; smoke=yes; automated=yes; Production readiness verification workflow</x:v>
      </x:c>
      <x:c r="Q371" s="21" t="str"/>
      <x:c r="R371" s="21" t="str">
        <x:v>Retain evidence and rerun the applicable gate if launch scope, infrastructure, or regulated-data posture changes.</x:v>
      </x:c>
      <x:c r="S371" s="18" t="str"/>
      <x:c r="T371" s="20"/>
      <x:c r="U371" s="21" t="str">
        <x:v>Evidence does not authorize broader production separation of duties, real CUI, FedRAMP status, or government approval.</x:v>
      </x:c>
      <x:c r="V371" s="1"/>
    </x:row>
    <x:row r="372" ht="46" customHeight="1">
      <x:c r="A372" s="17" t="n">
        <x:v>368</x:v>
      </x:c>
      <x:c r="B372" s="17" t="str">
        <x:v>Production Readiness</x:v>
      </x:c>
      <x:c r="C372" s="17" t="str">
        <x:v>PR-2.2</x:v>
      </x:c>
      <x:c r="D372" s="21" t="str">
        <x:v>Re-Run Definition Of Done For Completed MVP Stories</x:v>
      </x:c>
      <x:c r="E372" s="17" t="n">
        <x:v>3</x:v>
      </x:c>
      <x:c r="F372" s="21" t="str">
        <x:v>Confirm tenant isolation, RBAC, audit logging, error states, empty states, validation failures, permission denials, and accessibility coverage where applicable.</x:v>
      </x:c>
      <x:c r="G372" s="17" t="str">
        <x:v>Production readiness / governance</x:v>
      </x:c>
      <x:c r="H372" s="17" t="str">
        <x:v>Planned</x:v>
      </x:c>
      <x:c r="I372" s="18" t="str">
        <x:v>Completed</x:v>
      </x:c>
      <x:c r="J372" s="17" t="str">
        <x:f>IF(OR(I372="Completed",I372="Not Applicable"),"No","Yes")</x:f>
        <x:v>No</x:v>
      </x:c>
      <x:c r="K372" s="17" t="str">
        <x:v>PR-2.2 task 2</x:v>
      </x:c>
      <x:c r="L372" s="21" t="str">
        <x:v>Production-readiness closure/evidence set records completion for the solo-controlled No-CUI pilot scope.</x:v>
      </x:c>
      <x:c r="M372" s="17" t="str">
        <x:v>Governed readiness evidence</x:v>
      </x:c>
      <x:c r="N372" s="21" t="str">
        <x:v>/Users/devups/Development/CodexProjects/Gccs/docs/production-readiness-launch-closure-evidence.md; /Users/devups/Development/CodexProjects/Gccs/docs/production-readiness-completed-story-dod-review.md</x:v>
      </x:c>
      <x:c r="O372" s="19" t="n">
        <x:v>46269.666666666664</x:v>
      </x:c>
      <x:c r="P372" s="21" t="str">
        <x:v>4 acceptance criteria; 0 TC references; implementation=yes; smoke=yes; automated=yes; Production readiness verification workflow</x:v>
      </x:c>
      <x:c r="Q372" s="21" t="str"/>
      <x:c r="R372" s="21" t="str">
        <x:v>Retain evidence and rerun the applicable gate if launch scope, infrastructure, or regulated-data posture changes.</x:v>
      </x:c>
      <x:c r="S372" s="18" t="str"/>
      <x:c r="T372" s="20"/>
      <x:c r="U372" s="21" t="str">
        <x:v>Evidence does not authorize broader production separation of duties, real CUI, FedRAMP status, or government approval.</x:v>
      </x:c>
      <x:c r="V372" s="1"/>
    </x:row>
    <x:row r="373" ht="46" customHeight="1">
      <x:c r="A373" s="17" t="n">
        <x:v>369</x:v>
      </x:c>
      <x:c r="B373" s="17" t="str">
        <x:v>Production Readiness</x:v>
      </x:c>
      <x:c r="C373" s="17" t="str">
        <x:v>PR-2.2</x:v>
      </x:c>
      <x:c r="D373" s="21" t="str">
        <x:v>Re-Run Definition Of Done For Completed MVP Stories</x:v>
      </x:c>
      <x:c r="E373" s="17" t="n">
        <x:v>4</x:v>
      </x:c>
      <x:c r="F373" s="21" t="str">
        <x:v>Confirm documentation or release notes were updated for changed behavior.</x:v>
      </x:c>
      <x:c r="G373" s="17" t="str">
        <x:v>Production readiness / governance</x:v>
      </x:c>
      <x:c r="H373" s="17" t="str">
        <x:v>Planned</x:v>
      </x:c>
      <x:c r="I373" s="18" t="str">
        <x:v>Completed</x:v>
      </x:c>
      <x:c r="J373" s="17" t="str">
        <x:f>IF(OR(I373="Completed",I373="Not Applicable"),"No","Yes")</x:f>
        <x:v>No</x:v>
      </x:c>
      <x:c r="K373" s="17" t="str">
        <x:v>PR-2.2 task 3</x:v>
      </x:c>
      <x:c r="L373" s="21" t="str">
        <x:v>Production-readiness closure/evidence set records completion for the solo-controlled No-CUI pilot scope.</x:v>
      </x:c>
      <x:c r="M373" s="17" t="str">
        <x:v>Governed readiness evidence</x:v>
      </x:c>
      <x:c r="N373" s="21" t="str">
        <x:v>/Users/devups/Development/CodexProjects/Gccs/docs/production-readiness-launch-closure-evidence.md; /Users/devups/Development/CodexProjects/Gccs/docs/production-readiness-completed-story-dod-review.md</x:v>
      </x:c>
      <x:c r="O373" s="19" t="n">
        <x:v>46269.666666666664</x:v>
      </x:c>
      <x:c r="P373" s="21" t="str">
        <x:v>4 acceptance criteria; 0 TC references; implementation=yes; smoke=yes; automated=yes; Production readiness verification workflow</x:v>
      </x:c>
      <x:c r="Q373" s="21" t="str"/>
      <x:c r="R373" s="21" t="str">
        <x:v>Retain evidence and rerun the applicable gate if launch scope, infrastructure, or regulated-data posture changes.</x:v>
      </x:c>
      <x:c r="S373" s="18" t="str"/>
      <x:c r="T373" s="20"/>
      <x:c r="U373" s="21" t="str">
        <x:v>Evidence does not authorize broader production separation of duties, real CUI, FedRAMP status, or government approval.</x:v>
      </x:c>
      <x:c r="V373" s="1"/>
    </x:row>
    <x:row r="374" ht="46" customHeight="1">
      <x:c r="A374" s="17" t="n">
        <x:v>370</x:v>
      </x:c>
      <x:c r="B374" s="17" t="str">
        <x:v>Production Readiness</x:v>
      </x:c>
      <x:c r="C374" s="17" t="str">
        <x:v>PR-2.3</x:v>
      </x:c>
      <x:c r="D374" s="21" t="str">
        <x:v>Convert Completion Gaps Into Launch Decisions</x:v>
      </x:c>
      <x:c r="E374" s="17" t="n">
        <x:v>1</x:v>
      </x:c>
      <x:c r="F374" s="21" t="str">
        <x:v>Review failed, partial, skipped, or untested Definition of Done items.</x:v>
      </x:c>
      <x:c r="G374" s="17" t="str">
        <x:v>Production readiness / governance</x:v>
      </x:c>
      <x:c r="H374" s="17" t="str">
        <x:v>Planned</x:v>
      </x:c>
      <x:c r="I374" s="18" t="str">
        <x:v>Completed</x:v>
      </x:c>
      <x:c r="J374" s="17" t="str">
        <x:f>IF(OR(I374="Completed",I374="Not Applicable"),"No","Yes")</x:f>
        <x:v>No</x:v>
      </x:c>
      <x:c r="K374" s="17" t="str">
        <x:v>PR-2.2</x:v>
      </x:c>
      <x:c r="L374" s="21" t="str">
        <x:v>Production-readiness closure/evidence set records completion for the solo-controlled No-CUI pilot scope.</x:v>
      </x:c>
      <x:c r="M374" s="17" t="str">
        <x:v>Governed readiness evidence</x:v>
      </x:c>
      <x:c r="N374" s="21" t="str">
        <x:v>/Users/devups/Development/CodexProjects/Gccs/docs/production-readiness-launch-closure-evidence.md; /Users/devups/Development/CodexProjects/Gccs/docs/production-readiness-completed-story-dod-review.md</x:v>
      </x:c>
      <x:c r="O374" s="19" t="n">
        <x:v>46269.666666666664</x:v>
      </x:c>
      <x:c r="P374" s="21" t="str">
        <x:v>4 acceptance criteria; 0 TC references; implementation=yes; smoke=yes; automated=yes; Production readiness verification workflow</x:v>
      </x:c>
      <x:c r="Q374" s="21" t="str"/>
      <x:c r="R374" s="21" t="str">
        <x:v>Retain evidence and rerun the applicable gate if launch scope, infrastructure, or regulated-data posture changes.</x:v>
      </x:c>
      <x:c r="S374" s="18" t="str"/>
      <x:c r="T374" s="20"/>
      <x:c r="U374" s="21" t="str">
        <x:v>Evidence does not authorize broader production separation of duties, real CUI, FedRAMP status, or government approval.</x:v>
      </x:c>
      <x:c r="V374" s="1"/>
    </x:row>
    <x:row r="375" ht="46" customHeight="1">
      <x:c r="A375" s="17" t="n">
        <x:v>371</x:v>
      </x:c>
      <x:c r="B375" s="17" t="str">
        <x:v>Production Readiness</x:v>
      </x:c>
      <x:c r="C375" s="17" t="str">
        <x:v>PR-2.3</x:v>
      </x:c>
      <x:c r="D375" s="21" t="str">
        <x:v>Convert Completion Gaps Into Launch Decisions</x:v>
      </x:c>
      <x:c r="E375" s="17" t="n">
        <x:v>2</x:v>
      </x:c>
      <x:c r="F375" s="21" t="str">
        <x:v>Classify each gap as launch blocker, accepted risk, deferred follow-up, or not applicable.</x:v>
      </x:c>
      <x:c r="G375" s="17" t="str">
        <x:v>Production readiness / governance</x:v>
      </x:c>
      <x:c r="H375" s="17" t="str">
        <x:v>Planned</x:v>
      </x:c>
      <x:c r="I375" s="18" t="str">
        <x:v>Completed</x:v>
      </x:c>
      <x:c r="J375" s="17" t="str">
        <x:f>IF(OR(I375="Completed",I375="Not Applicable"),"No","Yes")</x:f>
        <x:v>No</x:v>
      </x:c>
      <x:c r="K375" s="17" t="str">
        <x:v>PR-2.3 task 1</x:v>
      </x:c>
      <x:c r="L375" s="21" t="str">
        <x:v>Production-readiness closure/evidence set records completion for the solo-controlled No-CUI pilot scope.</x:v>
      </x:c>
      <x:c r="M375" s="17" t="str">
        <x:v>Governed readiness evidence</x:v>
      </x:c>
      <x:c r="N375" s="21" t="str">
        <x:v>/Users/devups/Development/CodexProjects/Gccs/docs/production-readiness-launch-closure-evidence.md; /Users/devups/Development/CodexProjects/Gccs/docs/production-readiness-completed-story-dod-review.md</x:v>
      </x:c>
      <x:c r="O375" s="19" t="n">
        <x:v>46269.666666666664</x:v>
      </x:c>
      <x:c r="P375" s="21" t="str">
        <x:v>4 acceptance criteria; 0 TC references; implementation=yes; smoke=yes; automated=yes; Production readiness verification workflow</x:v>
      </x:c>
      <x:c r="Q375" s="21" t="str"/>
      <x:c r="R375" s="21" t="str">
        <x:v>Retain evidence and rerun the applicable gate if launch scope, infrastructure, or regulated-data posture changes.</x:v>
      </x:c>
      <x:c r="S375" s="18" t="str"/>
      <x:c r="T375" s="20"/>
      <x:c r="U375" s="21" t="str">
        <x:v>Evidence does not authorize broader production separation of duties, real CUI, FedRAMP status, or government approval.</x:v>
      </x:c>
      <x:c r="V375" s="1"/>
    </x:row>
    <x:row r="376" ht="46" customHeight="1">
      <x:c r="A376" s="17" t="n">
        <x:v>372</x:v>
      </x:c>
      <x:c r="B376" s="17" t="str">
        <x:v>Production Readiness</x:v>
      </x:c>
      <x:c r="C376" s="17" t="str">
        <x:v>PR-2.3</x:v>
      </x:c>
      <x:c r="D376" s="21" t="str">
        <x:v>Convert Completion Gaps Into Launch Decisions</x:v>
      </x:c>
      <x:c r="E376" s="17" t="n">
        <x:v>3</x:v>
      </x:c>
      <x:c r="F376" s="21" t="str">
        <x:v>Assign owner, severity, mitigation, and target date.</x:v>
      </x:c>
      <x:c r="G376" s="17" t="str">
        <x:v>Production readiness / governance</x:v>
      </x:c>
      <x:c r="H376" s="17" t="str">
        <x:v>Planned</x:v>
      </x:c>
      <x:c r="I376" s="18" t="str">
        <x:v>Completed</x:v>
      </x:c>
      <x:c r="J376" s="17" t="str">
        <x:f>IF(OR(I376="Completed",I376="Not Applicable"),"No","Yes")</x:f>
        <x:v>No</x:v>
      </x:c>
      <x:c r="K376" s="17" t="str">
        <x:v>PR-2.3 task 2</x:v>
      </x:c>
      <x:c r="L376" s="21" t="str">
        <x:v>Production-readiness closure/evidence set records completion for the solo-controlled No-CUI pilot scope.</x:v>
      </x:c>
      <x:c r="M376" s="17" t="str">
        <x:v>Governed readiness evidence</x:v>
      </x:c>
      <x:c r="N376" s="21" t="str">
        <x:v>/Users/devups/Development/CodexProjects/Gccs/docs/production-readiness-launch-closure-evidence.md; /Users/devups/Development/CodexProjects/Gccs/docs/production-readiness-completed-story-dod-review.md</x:v>
      </x:c>
      <x:c r="O376" s="19" t="n">
        <x:v>46269.666666666664</x:v>
      </x:c>
      <x:c r="P376" s="21" t="str">
        <x:v>4 acceptance criteria; 0 TC references; implementation=yes; smoke=yes; automated=yes; Production readiness verification workflow</x:v>
      </x:c>
      <x:c r="Q376" s="21" t="str"/>
      <x:c r="R376" s="21" t="str">
        <x:v>Retain evidence and rerun the applicable gate if launch scope, infrastructure, or regulated-data posture changes.</x:v>
      </x:c>
      <x:c r="S376" s="18" t="str"/>
      <x:c r="T376" s="20"/>
      <x:c r="U376" s="21" t="str">
        <x:v>Evidence does not authorize broader production separation of duties, real CUI, FedRAMP status, or government approval.</x:v>
      </x:c>
      <x:c r="V376" s="1"/>
    </x:row>
    <x:row r="377" ht="46" customHeight="1">
      <x:c r="A377" s="17" t="n">
        <x:v>373</x:v>
      </x:c>
      <x:c r="B377" s="17" t="str">
        <x:v>Production Readiness</x:v>
      </x:c>
      <x:c r="C377" s="17" t="str">
        <x:v>PR-2.3</x:v>
      </x:c>
      <x:c r="D377" s="21" t="str">
        <x:v>Convert Completion Gaps Into Launch Decisions</x:v>
      </x:c>
      <x:c r="E377" s="17" t="n">
        <x:v>4</x:v>
      </x:c>
      <x:c r="F377" s="21" t="str">
        <x:v>Add accepted risks to the known-risk acceptance log.</x:v>
      </x:c>
      <x:c r="G377" s="17" t="str">
        <x:v>Production readiness / governance</x:v>
      </x:c>
      <x:c r="H377" s="17" t="str">
        <x:v>Planned</x:v>
      </x:c>
      <x:c r="I377" s="18" t="str">
        <x:v>Completed</x:v>
      </x:c>
      <x:c r="J377" s="17" t="str">
        <x:f>IF(OR(I377="Completed",I377="Not Applicable"),"No","Yes")</x:f>
        <x:v>No</x:v>
      </x:c>
      <x:c r="K377" s="17" t="str">
        <x:v>PR-2.3 task 3</x:v>
      </x:c>
      <x:c r="L377" s="21" t="str">
        <x:v>Production-readiness closure/evidence set records completion for the solo-controlled No-CUI pilot scope.</x:v>
      </x:c>
      <x:c r="M377" s="17" t="str">
        <x:v>Governed readiness evidence</x:v>
      </x:c>
      <x:c r="N377" s="21" t="str">
        <x:v>/Users/devups/Development/CodexProjects/Gccs/docs/production-readiness-launch-closure-evidence.md; /Users/devups/Development/CodexProjects/Gccs/docs/production-readiness-completed-story-dod-review.md</x:v>
      </x:c>
      <x:c r="O377" s="19" t="n">
        <x:v>46269.666666666664</x:v>
      </x:c>
      <x:c r="P377" s="21" t="str">
        <x:v>4 acceptance criteria; 0 TC references; implementation=yes; smoke=yes; automated=yes; Production readiness verification workflow</x:v>
      </x:c>
      <x:c r="Q377" s="21" t="str"/>
      <x:c r="R377" s="21" t="str">
        <x:v>Retain evidence and rerun the applicable gate if launch scope, infrastructure, or regulated-data posture changes.</x:v>
      </x:c>
      <x:c r="S377" s="18" t="str"/>
      <x:c r="T377" s="20"/>
      <x:c r="U377" s="21" t="str">
        <x:v>Evidence does not authorize broader production separation of duties, real CUI, FedRAMP status, or government approval.</x:v>
      </x:c>
      <x:c r="V377" s="1"/>
    </x:row>
    <x:row r="378" ht="46" customHeight="1">
      <x:c r="A378" s="17" t="n">
        <x:v>374</x:v>
      </x:c>
      <x:c r="B378" s="17" t="str">
        <x:v>Production Readiness</x:v>
      </x:c>
      <x:c r="C378" s="17" t="str">
        <x:v>PR-3.1</x:v>
      </x:c>
      <x:c r="D378" s="21" t="str">
        <x:v>Deploy And Smoke Test Staging</x:v>
      </x:c>
      <x:c r="E378" s="17" t="n">
        <x:v>1</x:v>
      </x:c>
      <x:c r="F378" s="21" t="str">
        <x:v>Run staging deployment through the approved CI/CD pipeline.</x:v>
      </x:c>
      <x:c r="G378" s="17" t="str">
        <x:v>Production readiness / governance</x:v>
      </x:c>
      <x:c r="H378" s="17" t="str">
        <x:v>Planned</x:v>
      </x:c>
      <x:c r="I378" s="18" t="str">
        <x:v>Completed</x:v>
      </x:c>
      <x:c r="J378" s="17" t="str">
        <x:f>IF(OR(I378="Completed",I378="Not Applicable"),"No","Yes")</x:f>
        <x:v>No</x:v>
      </x:c>
      <x:c r="K378" s="17" t="str">
        <x:v>PR-2.3</x:v>
      </x:c>
      <x:c r="L378" s="21" t="str">
        <x:v>Production-readiness closure/evidence set records completion for the solo-controlled No-CUI pilot scope.</x:v>
      </x:c>
      <x:c r="M378" s="17" t="str">
        <x:v>Governed readiness evidence</x:v>
      </x:c>
      <x:c r="N378" s="21" t="str">
        <x:v>/Users/devups/Development/CodexProjects/Gccs/docs/production-readiness-launch-closure-evidence.md; /Users/devups/Development/CodexProjects/Gccs/docs/production-readiness-completed-story-dod-review.md</x:v>
      </x:c>
      <x:c r="O378" s="19" t="n">
        <x:v>46269.666666666664</x:v>
      </x:c>
      <x:c r="P378" s="21" t="str">
        <x:v>4 acceptance criteria; 0 TC references; implementation=yes; smoke=yes; automated=yes; Production readiness verification workflow</x:v>
      </x:c>
      <x:c r="Q378" s="21" t="str"/>
      <x:c r="R378" s="21" t="str">
        <x:v>Retain evidence and rerun the applicable gate if launch scope, infrastructure, or regulated-data posture changes.</x:v>
      </x:c>
      <x:c r="S378" s="18" t="str"/>
      <x:c r="T378" s="20"/>
      <x:c r="U378" s="21" t="str">
        <x:v>Evidence does not authorize broader production separation of duties, real CUI, FedRAMP status, or government approval.</x:v>
      </x:c>
      <x:c r="V378" s="1"/>
    </x:row>
    <x:row r="379" ht="46" customHeight="1">
      <x:c r="A379" s="17" t="n">
        <x:v>375</x:v>
      </x:c>
      <x:c r="B379" s="17" t="str">
        <x:v>Production Readiness</x:v>
      </x:c>
      <x:c r="C379" s="17" t="str">
        <x:v>PR-3.1</x:v>
      </x:c>
      <x:c r="D379" s="21" t="str">
        <x:v>Deploy And Smoke Test Staging</x:v>
      </x:c>
      <x:c r="E379" s="17" t="n">
        <x:v>2</x:v>
      </x:c>
      <x:c r="F379" s="21" t="str">
        <x:v>Confirm staging uses synthetic-only data and no production secrets, uploads, logs, customer data, or real CUI.</x:v>
      </x:c>
      <x:c r="G379" s="17" t="str">
        <x:v>Production readiness / governance</x:v>
      </x:c>
      <x:c r="H379" s="17" t="str">
        <x:v>Planned</x:v>
      </x:c>
      <x:c r="I379" s="18" t="str">
        <x:v>Completed</x:v>
      </x:c>
      <x:c r="J379" s="17" t="str">
        <x:f>IF(OR(I379="Completed",I379="Not Applicable"),"No","Yes")</x:f>
        <x:v>No</x:v>
      </x:c>
      <x:c r="K379" s="17" t="str">
        <x:v>PR-3.1 task 1</x:v>
      </x:c>
      <x:c r="L379" s="21" t="str">
        <x:v>Production-readiness closure/evidence set records completion for the solo-controlled No-CUI pilot scope.</x:v>
      </x:c>
      <x:c r="M379" s="17" t="str">
        <x:v>Governed readiness evidence</x:v>
      </x:c>
      <x:c r="N379" s="21" t="str">
        <x:v>/Users/devups/Development/CodexProjects/Gccs/docs/production-readiness-launch-closure-evidence.md; /Users/devups/Development/CodexProjects/Gccs/docs/production-readiness-completed-story-dod-review.md</x:v>
      </x:c>
      <x:c r="O379" s="19" t="n">
        <x:v>46269.666666666664</x:v>
      </x:c>
      <x:c r="P379" s="21" t="str">
        <x:v>4 acceptance criteria; 0 TC references; implementation=yes; smoke=yes; automated=yes; Production readiness verification workflow</x:v>
      </x:c>
      <x:c r="Q379" s="21" t="str"/>
      <x:c r="R379" s="21" t="str">
        <x:v>Retain evidence and rerun the applicable gate if launch scope, infrastructure, or regulated-data posture changes.</x:v>
      </x:c>
      <x:c r="S379" s="18" t="str"/>
      <x:c r="T379" s="20"/>
      <x:c r="U379" s="21" t="str">
        <x:v>Evidence does not authorize broader production separation of duties, real CUI, FedRAMP status, or government approval.</x:v>
      </x:c>
      <x:c r="V379" s="1"/>
    </x:row>
    <x:row r="380" ht="46" customHeight="1">
      <x:c r="A380" s="17" t="n">
        <x:v>376</x:v>
      </x:c>
      <x:c r="B380" s="17" t="str">
        <x:v>Production Readiness</x:v>
      </x:c>
      <x:c r="C380" s="17" t="str">
        <x:v>PR-3.1</x:v>
      </x:c>
      <x:c r="D380" s="21" t="str">
        <x:v>Deploy And Smoke Test Staging</x:v>
      </x:c>
      <x:c r="E380" s="17" t="n">
        <x:v>3</x:v>
      </x:c>
      <x:c r="F380" s="21" t="str">
        <x:v>Run /health smoke tests.</x:v>
      </x:c>
      <x:c r="G380" s="17" t="str">
        <x:v>Production readiness / governance</x:v>
      </x:c>
      <x:c r="H380" s="17" t="str">
        <x:v>Planned</x:v>
      </x:c>
      <x:c r="I380" s="18" t="str">
        <x:v>Completed</x:v>
      </x:c>
      <x:c r="J380" s="17" t="str">
        <x:f>IF(OR(I380="Completed",I380="Not Applicable"),"No","Yes")</x:f>
        <x:v>No</x:v>
      </x:c>
      <x:c r="K380" s="17" t="str">
        <x:v>PR-3.1 task 2</x:v>
      </x:c>
      <x:c r="L380" s="21" t="str">
        <x:v>Production-readiness closure/evidence set records completion for the solo-controlled No-CUI pilot scope.</x:v>
      </x:c>
      <x:c r="M380" s="17" t="str">
        <x:v>Governed readiness evidence</x:v>
      </x:c>
      <x:c r="N380" s="21" t="str">
        <x:v>/Users/devups/Development/CodexProjects/Gccs/docs/production-readiness-launch-closure-evidence.md; /Users/devups/Development/CodexProjects/Gccs/docs/production-readiness-completed-story-dod-review.md</x:v>
      </x:c>
      <x:c r="O380" s="19" t="n">
        <x:v>46269.666666666664</x:v>
      </x:c>
      <x:c r="P380" s="21" t="str">
        <x:v>4 acceptance criteria; 0 TC references; implementation=yes; smoke=yes; automated=yes; Production readiness verification workflow</x:v>
      </x:c>
      <x:c r="Q380" s="21" t="str"/>
      <x:c r="R380" s="21" t="str">
        <x:v>Retain evidence and rerun the applicable gate if launch scope, infrastructure, or regulated-data posture changes.</x:v>
      </x:c>
      <x:c r="S380" s="18" t="str"/>
      <x:c r="T380" s="20"/>
      <x:c r="U380" s="21" t="str">
        <x:v>Evidence does not authorize broader production separation of duties, real CUI, FedRAMP status, or government approval.</x:v>
      </x:c>
      <x:c r="V380" s="1"/>
    </x:row>
    <x:row r="381" ht="46" customHeight="1">
      <x:c r="A381" s="17" t="n">
        <x:v>377</x:v>
      </x:c>
      <x:c r="B381" s="17" t="str">
        <x:v>Production Readiness</x:v>
      </x:c>
      <x:c r="C381" s="17" t="str">
        <x:v>PR-3.1</x:v>
      </x:c>
      <x:c r="D381" s="21" t="str">
        <x:v>Deploy And Smoke Test Staging</x:v>
      </x:c>
      <x:c r="E381" s="17" t="n">
        <x:v>4</x:v>
      </x:c>
      <x:c r="F381" s="21" t="str">
        <x:v>Verify health reports API, database, cache, storage, background job signals, and dataPosture = No-CUI / compliance management only.</x:v>
      </x:c>
      <x:c r="G381" s="17" t="str">
        <x:v>Production readiness / governance</x:v>
      </x:c>
      <x:c r="H381" s="17" t="str">
        <x:v>Planned</x:v>
      </x:c>
      <x:c r="I381" s="18" t="str">
        <x:v>Completed</x:v>
      </x:c>
      <x:c r="J381" s="17" t="str">
        <x:f>IF(OR(I381="Completed",I381="Not Applicable"),"No","Yes")</x:f>
        <x:v>No</x:v>
      </x:c>
      <x:c r="K381" s="17" t="str">
        <x:v>PR-3.1 task 3</x:v>
      </x:c>
      <x:c r="L381" s="21" t="str">
        <x:v>Production-readiness closure/evidence set records completion for the solo-controlled No-CUI pilot scope.</x:v>
      </x:c>
      <x:c r="M381" s="17" t="str">
        <x:v>Governed readiness evidence</x:v>
      </x:c>
      <x:c r="N381" s="21" t="str">
        <x:v>/Users/devups/Development/CodexProjects/Gccs/docs/production-readiness-launch-closure-evidence.md; /Users/devups/Development/CodexProjects/Gccs/docs/production-readiness-completed-story-dod-review.md</x:v>
      </x:c>
      <x:c r="O381" s="19" t="n">
        <x:v>46269.666666666664</x:v>
      </x:c>
      <x:c r="P381" s="21" t="str">
        <x:v>4 acceptance criteria; 0 TC references; implementation=yes; smoke=yes; automated=yes; Production readiness verification workflow</x:v>
      </x:c>
      <x:c r="Q381" s="21" t="str"/>
      <x:c r="R381" s="21" t="str">
        <x:v>Retain evidence and rerun the applicable gate if launch scope, infrastructure, or regulated-data posture changes.</x:v>
      </x:c>
      <x:c r="S381" s="18" t="str"/>
      <x:c r="T381" s="20"/>
      <x:c r="U381" s="21" t="str">
        <x:v>Evidence does not authorize broader production separation of duties, real CUI, FedRAMP status, or government approval.</x:v>
      </x:c>
      <x:c r="V381" s="1"/>
    </x:row>
    <x:row r="382" ht="46" customHeight="1">
      <x:c r="A382" s="17" t="n">
        <x:v>378</x:v>
      </x:c>
      <x:c r="B382" s="17" t="str">
        <x:v>Production Readiness</x:v>
      </x:c>
      <x:c r="C382" s="17" t="str">
        <x:v>PR-3.1</x:v>
      </x:c>
      <x:c r="D382" s="21" t="str">
        <x:v>Deploy And Smoke Test Staging</x:v>
      </x:c>
      <x:c r="E382" s="17" t="n">
        <x:v>5</x:v>
      </x:c>
      <x:c r="F382" s="21" t="str">
        <x:v>Attach deployment and smoke evidence to the launch package.</x:v>
      </x:c>
      <x:c r="G382" s="17" t="str">
        <x:v>Production readiness / governance</x:v>
      </x:c>
      <x:c r="H382" s="17" t="str">
        <x:v>Planned</x:v>
      </x:c>
      <x:c r="I382" s="18" t="str">
        <x:v>Completed</x:v>
      </x:c>
      <x:c r="J382" s="17" t="str">
        <x:f>IF(OR(I382="Completed",I382="Not Applicable"),"No","Yes")</x:f>
        <x:v>No</x:v>
      </x:c>
      <x:c r="K382" s="17" t="str">
        <x:v>PR-3.1 task 4</x:v>
      </x:c>
      <x:c r="L382" s="21" t="str">
        <x:v>Production-readiness closure/evidence set records completion for the solo-controlled No-CUI pilot scope.</x:v>
      </x:c>
      <x:c r="M382" s="17" t="str">
        <x:v>Governed readiness evidence</x:v>
      </x:c>
      <x:c r="N382" s="21" t="str">
        <x:v>/Users/devups/Development/CodexProjects/Gccs/docs/production-readiness-launch-closure-evidence.md; /Users/devups/Development/CodexProjects/Gccs/docs/production-readiness-completed-story-dod-review.md</x:v>
      </x:c>
      <x:c r="O382" s="19" t="n">
        <x:v>46269.666666666664</x:v>
      </x:c>
      <x:c r="P382" s="21" t="str">
        <x:v>4 acceptance criteria; 0 TC references; implementation=yes; smoke=yes; automated=yes; Production readiness verification workflow</x:v>
      </x:c>
      <x:c r="Q382" s="21" t="str"/>
      <x:c r="R382" s="21" t="str">
        <x:v>Retain evidence and rerun the applicable gate if launch scope, infrastructure, or regulated-data posture changes.</x:v>
      </x:c>
      <x:c r="S382" s="18" t="str"/>
      <x:c r="T382" s="20"/>
      <x:c r="U382" s="21" t="str">
        <x:v>Evidence does not authorize broader production separation of duties, real CUI, FedRAMP status, or government approval.</x:v>
      </x:c>
      <x:c r="V382" s="1"/>
    </x:row>
    <x:row r="383" ht="46" customHeight="1">
      <x:c r="A383" s="17" t="n">
        <x:v>379</x:v>
      </x:c>
      <x:c r="B383" s="17" t="str">
        <x:v>Production Readiness</x:v>
      </x:c>
      <x:c r="C383" s="17" t="str">
        <x:v>PR-3.2</x:v>
      </x:c>
      <x:c r="D383" s="21" t="str">
        <x:v>Execute End-To-End MVP Workflow In Staging</x:v>
      </x:c>
      <x:c r="E383" s="17" t="n">
        <x:v>1</x:v>
      </x:c>
      <x:c r="F383" s="21" t="str">
        <x:v>Create or verify a synthetic tenant.</x:v>
      </x:c>
      <x:c r="G383" s="17" t="str">
        <x:v>Production readiness / governance</x:v>
      </x:c>
      <x:c r="H383" s="17" t="str">
        <x:v>Planned</x:v>
      </x:c>
      <x:c r="I383" s="18" t="str">
        <x:v>Completed</x:v>
      </x:c>
      <x:c r="J383" s="17" t="str">
        <x:f>IF(OR(I383="Completed",I383="Not Applicable"),"No","Yes")</x:f>
        <x:v>No</x:v>
      </x:c>
      <x:c r="K383" s="17" t="str">
        <x:v>PR-3.1</x:v>
      </x:c>
      <x:c r="L383" s="21" t="str">
        <x:v>Production-readiness closure/evidence set records completion for the solo-controlled No-CUI pilot scope.</x:v>
      </x:c>
      <x:c r="M383" s="17" t="str">
        <x:v>Governed readiness evidence</x:v>
      </x:c>
      <x:c r="N383" s="21" t="str">
        <x:v>/Users/devups/Development/CodexProjects/Gccs/docs/production-readiness-launch-closure-evidence.md; /Users/devups/Development/CodexProjects/Gccs/docs/production-readiness-completed-story-dod-review.md</x:v>
      </x:c>
      <x:c r="O383" s="19" t="n">
        <x:v>46269.666666666664</x:v>
      </x:c>
      <x:c r="P383" s="21" t="str">
        <x:v>5 acceptance criteria; 0 TC references; implementation=yes; smoke=yes; automated=yes; Production readiness verification workflow</x:v>
      </x:c>
      <x:c r="Q383" s="21" t="str"/>
      <x:c r="R383" s="21" t="str">
        <x:v>Retain evidence and rerun the applicable gate if launch scope, infrastructure, or regulated-data posture changes.</x:v>
      </x:c>
      <x:c r="S383" s="18" t="str"/>
      <x:c r="T383" s="20"/>
      <x:c r="U383" s="21" t="str">
        <x:v>Evidence does not authorize broader production separation of duties, real CUI, FedRAMP status, or government approval.</x:v>
      </x:c>
      <x:c r="V383" s="1"/>
    </x:row>
    <x:row r="384" ht="46" customHeight="1">
      <x:c r="A384" s="17" t="n">
        <x:v>380</x:v>
      </x:c>
      <x:c r="B384" s="17" t="str">
        <x:v>Production Readiness</x:v>
      </x:c>
      <x:c r="C384" s="17" t="str">
        <x:v>PR-3.2</x:v>
      </x:c>
      <x:c r="D384" s="21" t="str">
        <x:v>Execute End-To-End MVP Workflow In Staging</x:v>
      </x:c>
      <x:c r="E384" s="17" t="n">
        <x:v>2</x:v>
      </x:c>
      <x:c r="F384" s="21" t="str">
        <x:v>Execute tenant creation, user invite, role assignment, company profile, contract creation, allowed upload, blocked CUI upload, manual clause tagging, obligation generation, task creation, evidence upload, report generation, and audit log export.</x:v>
      </x:c>
      <x:c r="G384" s="17" t="str">
        <x:v>Production readiness / governance</x:v>
      </x:c>
      <x:c r="H384" s="17" t="str">
        <x:v>Planned</x:v>
      </x:c>
      <x:c r="I384" s="18" t="str">
        <x:v>Completed</x:v>
      </x:c>
      <x:c r="J384" s="17" t="str">
        <x:f>IF(OR(I384="Completed",I384="Not Applicable"),"No","Yes")</x:f>
        <x:v>No</x:v>
      </x:c>
      <x:c r="K384" s="17" t="str">
        <x:v>PR-3.2 task 1</x:v>
      </x:c>
      <x:c r="L384" s="21" t="str">
        <x:v>Production-readiness closure/evidence set records completion for the solo-controlled No-CUI pilot scope.</x:v>
      </x:c>
      <x:c r="M384" s="17" t="str">
        <x:v>Governed readiness evidence</x:v>
      </x:c>
      <x:c r="N384" s="21" t="str">
        <x:v>/Users/devups/Development/CodexProjects/Gccs/docs/production-readiness-launch-closure-evidence.md; /Users/devups/Development/CodexProjects/Gccs/docs/production-readiness-completed-story-dod-review.md</x:v>
      </x:c>
      <x:c r="O384" s="19" t="n">
        <x:v>46269.666666666664</x:v>
      </x:c>
      <x:c r="P384" s="21" t="str">
        <x:v>5 acceptance criteria; 0 TC references; implementation=yes; smoke=yes; automated=yes; Production readiness verification workflow</x:v>
      </x:c>
      <x:c r="Q384" s="21" t="str"/>
      <x:c r="R384" s="21" t="str">
        <x:v>Retain evidence and rerun the applicable gate if launch scope, infrastructure, or regulated-data posture changes.</x:v>
      </x:c>
      <x:c r="S384" s="18" t="str"/>
      <x:c r="T384" s="20"/>
      <x:c r="U384" s="21" t="str">
        <x:v>Evidence does not authorize broader production separation of duties, real CUI, FedRAMP status, or government approval.</x:v>
      </x:c>
      <x:c r="V384" s="1"/>
    </x:row>
    <x:row r="385" ht="46" customHeight="1">
      <x:c r="A385" s="17" t="n">
        <x:v>381</x:v>
      </x:c>
      <x:c r="B385" s="17" t="str">
        <x:v>Production Readiness</x:v>
      </x:c>
      <x:c r="C385" s="17" t="str">
        <x:v>PR-3.2</x:v>
      </x:c>
      <x:c r="D385" s="21" t="str">
        <x:v>Execute End-To-End MVP Workflow In Staging</x:v>
      </x:c>
      <x:c r="E385" s="17" t="n">
        <x:v>3</x:v>
      </x:c>
      <x:c r="F385" s="21" t="str">
        <x:v>Capture screenshots, logs, test results, or run records as evidence.</x:v>
      </x:c>
      <x:c r="G385" s="17" t="str">
        <x:v>Production readiness / governance</x:v>
      </x:c>
      <x:c r="H385" s="17" t="str">
        <x:v>Planned</x:v>
      </x:c>
      <x:c r="I385" s="18" t="str">
        <x:v>Completed</x:v>
      </x:c>
      <x:c r="J385" s="17" t="str">
        <x:f>IF(OR(I385="Completed",I385="Not Applicable"),"No","Yes")</x:f>
        <x:v>No</x:v>
      </x:c>
      <x:c r="K385" s="17" t="str">
        <x:v>PR-3.2 task 2</x:v>
      </x:c>
      <x:c r="L385" s="21" t="str">
        <x:v>Production-readiness closure/evidence set records completion for the solo-controlled No-CUI pilot scope.</x:v>
      </x:c>
      <x:c r="M385" s="17" t="str">
        <x:v>Governed readiness evidence</x:v>
      </x:c>
      <x:c r="N385" s="21" t="str">
        <x:v>/Users/devups/Development/CodexProjects/Gccs/docs/production-readiness-launch-closure-evidence.md; /Users/devups/Development/CodexProjects/Gccs/docs/production-readiness-completed-story-dod-review.md</x:v>
      </x:c>
      <x:c r="O385" s="19" t="n">
        <x:v>46269.666666666664</x:v>
      </x:c>
      <x:c r="P385" s="21" t="str">
        <x:v>5 acceptance criteria; 0 TC references; implementation=yes; smoke=yes; automated=yes; Production readiness verification workflow</x:v>
      </x:c>
      <x:c r="Q385" s="21" t="str"/>
      <x:c r="R385" s="21" t="str">
        <x:v>Retain evidence and rerun the applicable gate if launch scope, infrastructure, or regulated-data posture changes.</x:v>
      </x:c>
      <x:c r="S385" s="18" t="str"/>
      <x:c r="T385" s="20"/>
      <x:c r="U385" s="21" t="str">
        <x:v>Evidence does not authorize broader production separation of duties, real CUI, FedRAMP status, or government approval.</x:v>
      </x:c>
      <x:c r="V385" s="1"/>
    </x:row>
    <x:row r="386" ht="46" customHeight="1">
      <x:c r="A386" s="17" t="n">
        <x:v>382</x:v>
      </x:c>
      <x:c r="B386" s="17" t="str">
        <x:v>Production Readiness</x:v>
      </x:c>
      <x:c r="C386" s="17" t="str">
        <x:v>PR-3.2</x:v>
      </x:c>
      <x:c r="D386" s="21" t="str">
        <x:v>Execute End-To-End MVP Workflow In Staging</x:v>
      </x:c>
      <x:c r="E386" s="17" t="n">
        <x:v>4</x:v>
      </x:c>
      <x:c r="F386" s="21" t="str">
        <x:v>Record defects or workflow gaps with severity and owner.</x:v>
      </x:c>
      <x:c r="G386" s="17" t="str">
        <x:v>Production readiness / governance</x:v>
      </x:c>
      <x:c r="H386" s="17" t="str">
        <x:v>Planned</x:v>
      </x:c>
      <x:c r="I386" s="18" t="str">
        <x:v>Completed</x:v>
      </x:c>
      <x:c r="J386" s="17" t="str">
        <x:f>IF(OR(I386="Completed",I386="Not Applicable"),"No","Yes")</x:f>
        <x:v>No</x:v>
      </x:c>
      <x:c r="K386" s="17" t="str">
        <x:v>PR-3.2 task 3</x:v>
      </x:c>
      <x:c r="L386" s="21" t="str">
        <x:v>Production-readiness closure/evidence set records completion for the solo-controlled No-CUI pilot scope.</x:v>
      </x:c>
      <x:c r="M386" s="17" t="str">
        <x:v>Governed readiness evidence</x:v>
      </x:c>
      <x:c r="N386" s="21" t="str">
        <x:v>/Users/devups/Development/CodexProjects/Gccs/docs/production-readiness-launch-closure-evidence.md; /Users/devups/Development/CodexProjects/Gccs/docs/production-readiness-completed-story-dod-review.md</x:v>
      </x:c>
      <x:c r="O386" s="19" t="n">
        <x:v>46269.666666666664</x:v>
      </x:c>
      <x:c r="P386" s="21" t="str">
        <x:v>5 acceptance criteria; 0 TC references; implementation=yes; smoke=yes; automated=yes; Production readiness verification workflow</x:v>
      </x:c>
      <x:c r="Q386" s="21" t="str"/>
      <x:c r="R386" s="21" t="str">
        <x:v>Retain evidence and rerun the applicable gate if launch scope, infrastructure, or regulated-data posture changes.</x:v>
      </x:c>
      <x:c r="S386" s="18" t="str"/>
      <x:c r="T386" s="20"/>
      <x:c r="U386" s="21" t="str">
        <x:v>Evidence does not authorize broader production separation of duties, real CUI, FedRAMP status, or government approval.</x:v>
      </x:c>
      <x:c r="V386" s="1"/>
    </x:row>
    <x:row r="387" ht="46" customHeight="1">
      <x:c r="A387" s="17" t="n">
        <x:v>383</x:v>
      </x:c>
      <x:c r="B387" s="17" t="str">
        <x:v>Production Readiness</x:v>
      </x:c>
      <x:c r="C387" s="17" t="str">
        <x:v>PR-3.3</x:v>
      </x:c>
      <x:c r="D387" s="21" t="str">
        <x:v>Verify Tenant Isolation And RBAC In Staging</x:v>
      </x:c>
      <x:c r="E387" s="17" t="n">
        <x:v>1</x:v>
      </x:c>
      <x:c r="F387" s="21" t="str">
        <x:v>Run cross-tenant read, update, delete, export, report, evidence, contract, task, and audit-log access tests.</x:v>
      </x:c>
      <x:c r="G387" s="17" t="str">
        <x:v>Production readiness / governance</x:v>
      </x:c>
      <x:c r="H387" s="17" t="str">
        <x:v>Planned</x:v>
      </x:c>
      <x:c r="I387" s="18" t="str">
        <x:v>Completed</x:v>
      </x:c>
      <x:c r="J387" s="17" t="str">
        <x:f>IF(OR(I387="Completed",I387="Not Applicable"),"No","Yes")</x:f>
        <x:v>No</x:v>
      </x:c>
      <x:c r="K387" s="17" t="str">
        <x:v>PR-3.2</x:v>
      </x:c>
      <x:c r="L387" s="21" t="str">
        <x:v>Production-readiness closure/evidence set records completion for the solo-controlled No-CUI pilot scope.</x:v>
      </x:c>
      <x:c r="M387" s="17" t="str">
        <x:v>Governed readiness evidence</x:v>
      </x:c>
      <x:c r="N387" s="21" t="str">
        <x:v>/Users/devups/Development/CodexProjects/Gccs/docs/production-readiness-launch-closure-evidence.md; /Users/devups/Development/CodexProjects/Gccs/docs/production-readiness-completed-story-dod-review.md</x:v>
      </x:c>
      <x:c r="O387" s="19" t="n">
        <x:v>46269.666666666664</x:v>
      </x:c>
      <x:c r="P387" s="21" t="str">
        <x:v>4 acceptance criteria; 0 TC references; implementation=yes; smoke=yes; automated=yes; Production readiness verification workflow</x:v>
      </x:c>
      <x:c r="Q387" s="21" t="str"/>
      <x:c r="R387" s="21" t="str">
        <x:v>Retain evidence and rerun the applicable gate if launch scope, infrastructure, or regulated-data posture changes.</x:v>
      </x:c>
      <x:c r="S387" s="18" t="str"/>
      <x:c r="T387" s="20"/>
      <x:c r="U387" s="21" t="str">
        <x:v>Evidence does not authorize broader production separation of duties, real CUI, FedRAMP status, or government approval.</x:v>
      </x:c>
      <x:c r="V387" s="1"/>
    </x:row>
    <x:row r="388" ht="46" customHeight="1">
      <x:c r="A388" s="17" t="n">
        <x:v>384</x:v>
      </x:c>
      <x:c r="B388" s="17" t="str">
        <x:v>Production Readiness</x:v>
      </x:c>
      <x:c r="C388" s="17" t="str">
        <x:v>PR-3.3</x:v>
      </x:c>
      <x:c r="D388" s="21" t="str">
        <x:v>Verify Tenant Isolation And RBAC In Staging</x:v>
      </x:c>
      <x:c r="E388" s="17" t="n">
        <x:v>2</x:v>
      </x:c>
      <x:c r="F388" s="21" t="str">
        <x:v>Run owner, admin, compliance manager, contributor, auditor, and advisor role tests.</x:v>
      </x:c>
      <x:c r="G388" s="17" t="str">
        <x:v>Production readiness / governance</x:v>
      </x:c>
      <x:c r="H388" s="17" t="str">
        <x:v>Planned</x:v>
      </x:c>
      <x:c r="I388" s="18" t="str">
        <x:v>Completed</x:v>
      </x:c>
      <x:c r="J388" s="17" t="str">
        <x:f>IF(OR(I388="Completed",I388="Not Applicable"),"No","Yes")</x:f>
        <x:v>No</x:v>
      </x:c>
      <x:c r="K388" s="17" t="str">
        <x:v>PR-3.3 task 1</x:v>
      </x:c>
      <x:c r="L388" s="21" t="str">
        <x:v>Production-readiness closure/evidence set records completion for the solo-controlled No-CUI pilot scope.</x:v>
      </x:c>
      <x:c r="M388" s="17" t="str">
        <x:v>Governed readiness evidence</x:v>
      </x:c>
      <x:c r="N388" s="21" t="str">
        <x:v>/Users/devups/Development/CodexProjects/Gccs/docs/production-readiness-launch-closure-evidence.md; /Users/devups/Development/CodexProjects/Gccs/docs/production-readiness-completed-story-dod-review.md</x:v>
      </x:c>
      <x:c r="O388" s="19" t="n">
        <x:v>46269.666666666664</x:v>
      </x:c>
      <x:c r="P388" s="21" t="str">
        <x:v>4 acceptance criteria; 0 TC references; implementation=yes; smoke=yes; automated=yes; Production readiness verification workflow</x:v>
      </x:c>
      <x:c r="Q388" s="21" t="str"/>
      <x:c r="R388" s="21" t="str">
        <x:v>Retain evidence and rerun the applicable gate if launch scope, infrastructure, or regulated-data posture changes.</x:v>
      </x:c>
      <x:c r="S388" s="18" t="str"/>
      <x:c r="T388" s="20"/>
      <x:c r="U388" s="21" t="str">
        <x:v>Evidence does not authorize broader production separation of duties, real CUI, FedRAMP status, or government approval.</x:v>
      </x:c>
      <x:c r="V388" s="1"/>
    </x:row>
    <x:row r="389" ht="46" customHeight="1">
      <x:c r="A389" s="17" t="n">
        <x:v>385</x:v>
      </x:c>
      <x:c r="B389" s="17" t="str">
        <x:v>Production Readiness</x:v>
      </x:c>
      <x:c r="C389" s="17" t="str">
        <x:v>PR-3.3</x:v>
      </x:c>
      <x:c r="D389" s="21" t="str">
        <x:v>Verify Tenant Isolation And RBAC In Staging</x:v>
      </x:c>
      <x:c r="E389" s="17" t="n">
        <x:v>3</x:v>
      </x:c>
      <x:c r="F389" s="21" t="str">
        <x:v>Verify direct API calls are denied when UI actions are hidden.</x:v>
      </x:c>
      <x:c r="G389" s="17" t="str">
        <x:v>Production readiness / governance</x:v>
      </x:c>
      <x:c r="H389" s="17" t="str">
        <x:v>Planned</x:v>
      </x:c>
      <x:c r="I389" s="18" t="str">
        <x:v>Completed</x:v>
      </x:c>
      <x:c r="J389" s="17" t="str">
        <x:f>IF(OR(I389="Completed",I389="Not Applicable"),"No","Yes")</x:f>
        <x:v>No</x:v>
      </x:c>
      <x:c r="K389" s="17" t="str">
        <x:v>PR-3.3 task 2</x:v>
      </x:c>
      <x:c r="L389" s="21" t="str">
        <x:v>Production-readiness closure/evidence set records completion for the solo-controlled No-CUI pilot scope.</x:v>
      </x:c>
      <x:c r="M389" s="17" t="str">
        <x:v>Governed readiness evidence</x:v>
      </x:c>
      <x:c r="N389" s="21" t="str">
        <x:v>/Users/devups/Development/CodexProjects/Gccs/docs/production-readiness-launch-closure-evidence.md; /Users/devups/Development/CodexProjects/Gccs/docs/production-readiness-completed-story-dod-review.md</x:v>
      </x:c>
      <x:c r="O389" s="19" t="n">
        <x:v>46269.666666666664</x:v>
      </x:c>
      <x:c r="P389" s="21" t="str">
        <x:v>4 acceptance criteria; 0 TC references; implementation=yes; smoke=yes; automated=yes; Production readiness verification workflow</x:v>
      </x:c>
      <x:c r="Q389" s="21" t="str"/>
      <x:c r="R389" s="21" t="str">
        <x:v>Retain evidence and rerun the applicable gate if launch scope, infrastructure, or regulated-data posture changes.</x:v>
      </x:c>
      <x:c r="S389" s="18" t="str"/>
      <x:c r="T389" s="20"/>
      <x:c r="U389" s="21" t="str">
        <x:v>Evidence does not authorize broader production separation of duties, real CUI, FedRAMP status, or government approval.</x:v>
      </x:c>
      <x:c r="V389" s="1"/>
    </x:row>
    <x:row r="390" ht="46" customHeight="1">
      <x:c r="A390" s="17" t="n">
        <x:v>386</x:v>
      </x:c>
      <x:c r="B390" s="17" t="str">
        <x:v>Production Readiness</x:v>
      </x:c>
      <x:c r="C390" s="17" t="str">
        <x:v>PR-3.3</x:v>
      </x:c>
      <x:c r="D390" s="21" t="str">
        <x:v>Verify Tenant Isolation And RBAC In Staging</x:v>
      </x:c>
      <x:c r="E390" s="17" t="n">
        <x:v>4</x:v>
      </x:c>
      <x:c r="F390" s="21" t="str">
        <x:v>Capture failed authorization and audit evidence.</x:v>
      </x:c>
      <x:c r="G390" s="17" t="str">
        <x:v>Production readiness / governance</x:v>
      </x:c>
      <x:c r="H390" s="17" t="str">
        <x:v>Planned</x:v>
      </x:c>
      <x:c r="I390" s="18" t="str">
        <x:v>Completed</x:v>
      </x:c>
      <x:c r="J390" s="17" t="str">
        <x:f>IF(OR(I390="Completed",I390="Not Applicable"),"No","Yes")</x:f>
        <x:v>No</x:v>
      </x:c>
      <x:c r="K390" s="17" t="str">
        <x:v>PR-3.3 task 3</x:v>
      </x:c>
      <x:c r="L390" s="21" t="str">
        <x:v>Production-readiness closure/evidence set records completion for the solo-controlled No-CUI pilot scope.</x:v>
      </x:c>
      <x:c r="M390" s="17" t="str">
        <x:v>Governed readiness evidence</x:v>
      </x:c>
      <x:c r="N390" s="21" t="str">
        <x:v>/Users/devups/Development/CodexProjects/Gccs/docs/production-readiness-launch-closure-evidence.md; /Users/devups/Development/CodexProjects/Gccs/docs/production-readiness-completed-story-dod-review.md</x:v>
      </x:c>
      <x:c r="O390" s="19" t="n">
        <x:v>46269.666666666664</x:v>
      </x:c>
      <x:c r="P390" s="21" t="str">
        <x:v>4 acceptance criteria; 0 TC references; implementation=yes; smoke=yes; automated=yes; Production readiness verification workflow</x:v>
      </x:c>
      <x:c r="Q390" s="21" t="str"/>
      <x:c r="R390" s="21" t="str">
        <x:v>Retain evidence and rerun the applicable gate if launch scope, infrastructure, or regulated-data posture changes.</x:v>
      </x:c>
      <x:c r="S390" s="18" t="str"/>
      <x:c r="T390" s="20"/>
      <x:c r="U390" s="21" t="str">
        <x:v>Evidence does not authorize broader production separation of duties, real CUI, FedRAMP status, or government approval.</x:v>
      </x:c>
      <x:c r="V390" s="1"/>
    </x:row>
    <x:row r="391" ht="46" customHeight="1">
      <x:c r="A391" s="17" t="n">
        <x:v>387</x:v>
      </x:c>
      <x:c r="B391" s="17" t="str">
        <x:v>Production Readiness</x:v>
      </x:c>
      <x:c r="C391" s="17" t="str">
        <x:v>PR-3.4</x:v>
      </x:c>
      <x:c r="D391" s="21" t="str">
        <x:v>Verify Upload Guardrails And Report Controls In Staging</x:v>
      </x:c>
      <x:c r="E391" s="17" t="n">
        <x:v>1</x:v>
      </x:c>
      <x:c r="F391" s="21" t="str">
        <x:v>Test upload acknowledgement, warning display, real CUI blocking, prohibited content blocking, oversized file blocking, disallowed file type blocking, allowed upload audit logging, and blocked upload audit logging.</x:v>
      </x:c>
      <x:c r="G391" s="17" t="str">
        <x:v>Production readiness / governance</x:v>
      </x:c>
      <x:c r="H391" s="17" t="str">
        <x:v>Planned</x:v>
      </x:c>
      <x:c r="I391" s="18" t="str">
        <x:v>Completed</x:v>
      </x:c>
      <x:c r="J391" s="17" t="str">
        <x:f>IF(OR(I391="Completed",I391="Not Applicable"),"No","Yes")</x:f>
        <x:v>No</x:v>
      </x:c>
      <x:c r="K391" s="17" t="str">
        <x:v>PR-3.3</x:v>
      </x:c>
      <x:c r="L391" s="21" t="str">
        <x:v>Production-readiness closure/evidence set records completion for the solo-controlled No-CUI pilot scope.</x:v>
      </x:c>
      <x:c r="M391" s="17" t="str">
        <x:v>Governed readiness evidence</x:v>
      </x:c>
      <x:c r="N391" s="21" t="str">
        <x:v>/Users/devups/Development/CodexProjects/Gccs/docs/production-readiness-launch-closure-evidence.md; /Users/devups/Development/CodexProjects/Gccs/docs/production-readiness-completed-story-dod-review.md</x:v>
      </x:c>
      <x:c r="O391" s="19" t="n">
        <x:v>46269.666666666664</x:v>
      </x:c>
      <x:c r="P391" s="21" t="str">
        <x:v>4 acceptance criteria; 0 TC references; implementation=yes; smoke=yes; automated=yes; Production readiness verification workflow</x:v>
      </x:c>
      <x:c r="Q391" s="21" t="str"/>
      <x:c r="R391" s="21" t="str">
        <x:v>Retain evidence and rerun the applicable gate if launch scope, infrastructure, or regulated-data posture changes.</x:v>
      </x:c>
      <x:c r="S391" s="18" t="str"/>
      <x:c r="T391" s="20"/>
      <x:c r="U391" s="21" t="str">
        <x:v>Evidence does not authorize broader production separation of duties, real CUI, FedRAMP status, or government approval.</x:v>
      </x:c>
      <x:c r="V391" s="1"/>
    </x:row>
    <x:row r="392" ht="46" customHeight="1">
      <x:c r="A392" s="17" t="n">
        <x:v>388</x:v>
      </x:c>
      <x:c r="B392" s="17" t="str">
        <x:v>Production Readiness</x:v>
      </x:c>
      <x:c r="C392" s="17" t="str">
        <x:v>PR-3.4</x:v>
      </x:c>
      <x:c r="D392" s="21" t="str">
        <x:v>Verify Upload Guardrails And Report Controls In Staging</x:v>
      </x:c>
      <x:c r="E392" s="17" t="n">
        <x:v>2</x:v>
      </x:c>
      <x:c r="F392" s="21" t="str">
        <x:v>Test report tenant scope, RBAC, source links, last-reviewed dates, draft-only CMMC language, and absence of pass/fail or certification claims.</x:v>
      </x:c>
      <x:c r="G392" s="17" t="str">
        <x:v>Production readiness / governance</x:v>
      </x:c>
      <x:c r="H392" s="17" t="str">
        <x:v>Planned</x:v>
      </x:c>
      <x:c r="I392" s="18" t="str">
        <x:v>Completed</x:v>
      </x:c>
      <x:c r="J392" s="17" t="str">
        <x:f>IF(OR(I392="Completed",I392="Not Applicable"),"No","Yes")</x:f>
        <x:v>No</x:v>
      </x:c>
      <x:c r="K392" s="17" t="str">
        <x:v>PR-3.4 task 1</x:v>
      </x:c>
      <x:c r="L392" s="21" t="str">
        <x:v>Production-readiness closure/evidence set records completion for the solo-controlled No-CUI pilot scope.</x:v>
      </x:c>
      <x:c r="M392" s="17" t="str">
        <x:v>Governed readiness evidence</x:v>
      </x:c>
      <x:c r="N392" s="21" t="str">
        <x:v>/Users/devups/Development/CodexProjects/Gccs/docs/production-readiness-launch-closure-evidence.md; /Users/devups/Development/CodexProjects/Gccs/docs/production-readiness-completed-story-dod-review.md</x:v>
      </x:c>
      <x:c r="O392" s="19" t="n">
        <x:v>46269.666666666664</x:v>
      </x:c>
      <x:c r="P392" s="21" t="str">
        <x:v>4 acceptance criteria; 0 TC references; implementation=yes; smoke=yes; automated=yes; Production readiness verification workflow</x:v>
      </x:c>
      <x:c r="Q392" s="21" t="str"/>
      <x:c r="R392" s="21" t="str">
        <x:v>Retain evidence and rerun the applicable gate if launch scope, infrastructure, or regulated-data posture changes.</x:v>
      </x:c>
      <x:c r="S392" s="18" t="str"/>
      <x:c r="T392" s="20"/>
      <x:c r="U392" s="21" t="str">
        <x:v>Evidence does not authorize broader production separation of duties, real CUI, FedRAMP status, or government approval.</x:v>
      </x:c>
      <x:c r="V392" s="1"/>
    </x:row>
    <x:row r="393" ht="46" customHeight="1">
      <x:c r="A393" s="17" t="n">
        <x:v>389</x:v>
      </x:c>
      <x:c r="B393" s="17" t="str">
        <x:v>Production Readiness</x:v>
      </x:c>
      <x:c r="C393" s="17" t="str">
        <x:v>PR-3.4</x:v>
      </x:c>
      <x:c r="D393" s="21" t="str">
        <x:v>Verify Upload Guardrails And Report Controls In Staging</x:v>
      </x:c>
      <x:c r="E393" s="17" t="n">
        <x:v>3</x:v>
      </x:c>
      <x:c r="F393" s="21" t="str">
        <x:v>Record defects as launch blockers when they affect data posture, customer claims, tenant isolation, RBAC, or audit logging.</x:v>
      </x:c>
      <x:c r="G393" s="17" t="str">
        <x:v>Production readiness / governance</x:v>
      </x:c>
      <x:c r="H393" s="17" t="str">
        <x:v>Planned</x:v>
      </x:c>
      <x:c r="I393" s="18" t="str">
        <x:v>Completed</x:v>
      </x:c>
      <x:c r="J393" s="17" t="str">
        <x:f>IF(OR(I393="Completed",I393="Not Applicable"),"No","Yes")</x:f>
        <x:v>No</x:v>
      </x:c>
      <x:c r="K393" s="17" t="str">
        <x:v>PR-3.4 task 2</x:v>
      </x:c>
      <x:c r="L393" s="21" t="str">
        <x:v>Production-readiness closure/evidence set records completion for the solo-controlled No-CUI pilot scope.</x:v>
      </x:c>
      <x:c r="M393" s="17" t="str">
        <x:v>Governed readiness evidence</x:v>
      </x:c>
      <x:c r="N393" s="21" t="str">
        <x:v>/Users/devups/Development/CodexProjects/Gccs/docs/production-readiness-launch-closure-evidence.md; /Users/devups/Development/CodexProjects/Gccs/docs/production-readiness-completed-story-dod-review.md</x:v>
      </x:c>
      <x:c r="O393" s="19" t="n">
        <x:v>46269.666666666664</x:v>
      </x:c>
      <x:c r="P393" s="21" t="str">
        <x:v>4 acceptance criteria; 0 TC references; implementation=yes; smoke=yes; automated=yes; Production readiness verification workflow</x:v>
      </x:c>
      <x:c r="Q393" s="21" t="str"/>
      <x:c r="R393" s="21" t="str">
        <x:v>Retain evidence and rerun the applicable gate if launch scope, infrastructure, or regulated-data posture changes.</x:v>
      </x:c>
      <x:c r="S393" s="18" t="str"/>
      <x:c r="T393" s="20"/>
      <x:c r="U393" s="21" t="str">
        <x:v>Evidence does not authorize broader production separation of duties, real CUI, FedRAMP status, or government approval.</x:v>
      </x:c>
      <x:c r="V393" s="1"/>
    </x:row>
    <x:row r="394" ht="46" customHeight="1">
      <x:c r="A394" s="17" t="n">
        <x:v>390</x:v>
      </x:c>
      <x:c r="B394" s="17" t="str">
        <x:v>Production Readiness</x:v>
      </x:c>
      <x:c r="C394" s="17" t="str">
        <x:v>PR-4.1</x:v>
      </x:c>
      <x:c r="D394" s="21" t="str">
        <x:v>Attach Backup And Restore Evidence</x:v>
      </x:c>
      <x:c r="E394" s="17" t="n">
        <x:v>1</x:v>
      </x:c>
      <x:c r="F394" s="21" t="str">
        <x:v>Complete staging backup verification.</x:v>
      </x:c>
      <x:c r="G394" s="17" t="str">
        <x:v>Production readiness / governance</x:v>
      </x:c>
      <x:c r="H394" s="17" t="str">
        <x:v>Planned</x:v>
      </x:c>
      <x:c r="I394" s="18" t="str">
        <x:v>Completed</x:v>
      </x:c>
      <x:c r="J394" s="17" t="str">
        <x:f>IF(OR(I394="Completed",I394="Not Applicable"),"No","Yes")</x:f>
        <x:v>No</x:v>
      </x:c>
      <x:c r="K394" s="17" t="str">
        <x:v>PR-3.4</x:v>
      </x:c>
      <x:c r="L394" s="21" t="str">
        <x:v>Production-readiness closure/evidence set records completion for the solo-controlled No-CUI pilot scope.</x:v>
      </x:c>
      <x:c r="M394" s="17" t="str">
        <x:v>Governed readiness evidence</x:v>
      </x:c>
      <x:c r="N394" s="21" t="str">
        <x:v>/Users/devups/Development/CodexProjects/Gccs/docs/production-readiness-launch-closure-evidence.md; /Users/devups/Development/CodexProjects/Gccs/docs/production-readiness-completed-story-dod-review.md</x:v>
      </x:c>
      <x:c r="O394" s="19" t="n">
        <x:v>46269.666666666664</x:v>
      </x:c>
      <x:c r="P394" s="21" t="str">
        <x:v>4 acceptance criteria; 0 TC references; implementation=yes; smoke=yes; automated=yes; Production readiness verification workflow</x:v>
      </x:c>
      <x:c r="Q394" s="21" t="str"/>
      <x:c r="R394" s="21" t="str">
        <x:v>Retain evidence and rerun the applicable gate if launch scope, infrastructure, or regulated-data posture changes.</x:v>
      </x:c>
      <x:c r="S394" s="18" t="str"/>
      <x:c r="T394" s="20"/>
      <x:c r="U394" s="21" t="str">
        <x:v>Evidence does not authorize broader production separation of duties, real CUI, FedRAMP status, or government approval.</x:v>
      </x:c>
      <x:c r="V394" s="1"/>
    </x:row>
    <x:row r="395" ht="46" customHeight="1">
      <x:c r="A395" s="17" t="n">
        <x:v>391</x:v>
      </x:c>
      <x:c r="B395" s="17" t="str">
        <x:v>Production Readiness</x:v>
      </x:c>
      <x:c r="C395" s="17" t="str">
        <x:v>PR-4.1</x:v>
      </x:c>
      <x:c r="D395" s="21" t="str">
        <x:v>Attach Backup And Restore Evidence</x:v>
      </x:c>
      <x:c r="E395" s="17" t="n">
        <x:v>2</x:v>
      </x:c>
      <x:c r="F395" s="21" t="str">
        <x:v>Complete staging restore verification.</x:v>
      </x:c>
      <x:c r="G395" s="17" t="str">
        <x:v>Production readiness / governance</x:v>
      </x:c>
      <x:c r="H395" s="17" t="str">
        <x:v>Planned</x:v>
      </x:c>
      <x:c r="I395" s="18" t="str">
        <x:v>Completed</x:v>
      </x:c>
      <x:c r="J395" s="17" t="str">
        <x:f>IF(OR(I395="Completed",I395="Not Applicable"),"No","Yes")</x:f>
        <x:v>No</x:v>
      </x:c>
      <x:c r="K395" s="17" t="str">
        <x:v>PR-4.1 task 1</x:v>
      </x:c>
      <x:c r="L395" s="21" t="str">
        <x:v>Production-readiness closure/evidence set records completion for the solo-controlled No-CUI pilot scope.</x:v>
      </x:c>
      <x:c r="M395" s="17" t="str">
        <x:v>Governed readiness evidence</x:v>
      </x:c>
      <x:c r="N395" s="21" t="str">
        <x:v>/Users/devups/Development/CodexProjects/Gccs/docs/production-readiness-launch-closure-evidence.md; /Users/devups/Development/CodexProjects/Gccs/docs/production-readiness-completed-story-dod-review.md</x:v>
      </x:c>
      <x:c r="O395" s="19" t="n">
        <x:v>46269.666666666664</x:v>
      </x:c>
      <x:c r="P395" s="21" t="str">
        <x:v>4 acceptance criteria; 0 TC references; implementation=yes; smoke=yes; automated=yes; Production readiness verification workflow</x:v>
      </x:c>
      <x:c r="Q395" s="21" t="str"/>
      <x:c r="R395" s="21" t="str">
        <x:v>Retain evidence and rerun the applicable gate if launch scope, infrastructure, or regulated-data posture changes.</x:v>
      </x:c>
      <x:c r="S395" s="18" t="str"/>
      <x:c r="T395" s="20"/>
      <x:c r="U395" s="21" t="str">
        <x:v>Evidence does not authorize broader production separation of duties, real CUI, FedRAMP status, or government approval.</x:v>
      </x:c>
      <x:c r="V395" s="1"/>
    </x:row>
    <x:row r="396" ht="46" customHeight="1">
      <x:c r="A396" s="17" t="n">
        <x:v>392</x:v>
      </x:c>
      <x:c r="B396" s="17" t="str">
        <x:v>Production Readiness</x:v>
      </x:c>
      <x:c r="C396" s="17" t="str">
        <x:v>PR-4.1</x:v>
      </x:c>
      <x:c r="D396" s="21" t="str">
        <x:v>Attach Backup And Restore Evidence</x:v>
      </x:c>
      <x:c r="E396" s="17" t="n">
        <x:v>3</x:v>
      </x:c>
      <x:c r="F396" s="21" t="str">
        <x:v>Record restore date, environment, data set, command or pipeline reference, result, and reviewer.</x:v>
      </x:c>
      <x:c r="G396" s="17" t="str">
        <x:v>Production readiness / governance</x:v>
      </x:c>
      <x:c r="H396" s="17" t="str">
        <x:v>Planned</x:v>
      </x:c>
      <x:c r="I396" s="18" t="str">
        <x:v>Completed</x:v>
      </x:c>
      <x:c r="J396" s="17" t="str">
        <x:f>IF(OR(I396="Completed",I396="Not Applicable"),"No","Yes")</x:f>
        <x:v>No</x:v>
      </x:c>
      <x:c r="K396" s="17" t="str">
        <x:v>PR-4.1 task 2</x:v>
      </x:c>
      <x:c r="L396" s="21" t="str">
        <x:v>Production-readiness closure/evidence set records completion for the solo-controlled No-CUI pilot scope.</x:v>
      </x:c>
      <x:c r="M396" s="17" t="str">
        <x:v>Governed readiness evidence</x:v>
      </x:c>
      <x:c r="N396" s="21" t="str">
        <x:v>/Users/devups/Development/CodexProjects/Gccs/docs/production-readiness-launch-closure-evidence.md; /Users/devups/Development/CodexProjects/Gccs/docs/production-readiness-completed-story-dod-review.md</x:v>
      </x:c>
      <x:c r="O396" s="19" t="n">
        <x:v>46269.666666666664</x:v>
      </x:c>
      <x:c r="P396" s="21" t="str">
        <x:v>4 acceptance criteria; 0 TC references; implementation=yes; smoke=yes; automated=yes; Production readiness verification workflow</x:v>
      </x:c>
      <x:c r="Q396" s="21" t="str"/>
      <x:c r="R396" s="21" t="str">
        <x:v>Retain evidence and rerun the applicable gate if launch scope, infrastructure, or regulated-data posture changes.</x:v>
      </x:c>
      <x:c r="S396" s="18" t="str"/>
      <x:c r="T396" s="20"/>
      <x:c r="U396" s="21" t="str">
        <x:v>Evidence does not authorize broader production separation of duties, real CUI, FedRAMP status, or government approval.</x:v>
      </x:c>
      <x:c r="V396" s="1"/>
    </x:row>
    <x:row r="397" ht="46" customHeight="1">
      <x:c r="A397" s="17" t="n">
        <x:v>393</x:v>
      </x:c>
      <x:c r="B397" s="17" t="str">
        <x:v>Production Readiness</x:v>
      </x:c>
      <x:c r="C397" s="17" t="str">
        <x:v>PR-4.1</x:v>
      </x:c>
      <x:c r="D397" s="21" t="str">
        <x:v>Attach Backup And Restore Evidence</x:v>
      </x:c>
      <x:c r="E397" s="17" t="n">
        <x:v>4</x:v>
      </x:c>
      <x:c r="F397" s="21" t="str">
        <x:v>Attach restore evidence to the launch package.</x:v>
      </x:c>
      <x:c r="G397" s="17" t="str">
        <x:v>Production readiness / governance</x:v>
      </x:c>
      <x:c r="H397" s="17" t="str">
        <x:v>Planned</x:v>
      </x:c>
      <x:c r="I397" s="18" t="str">
        <x:v>Completed</x:v>
      </x:c>
      <x:c r="J397" s="17" t="str">
        <x:f>IF(OR(I397="Completed",I397="Not Applicable"),"No","Yes")</x:f>
        <x:v>No</x:v>
      </x:c>
      <x:c r="K397" s="17" t="str">
        <x:v>PR-4.1 task 3</x:v>
      </x:c>
      <x:c r="L397" s="21" t="str">
        <x:v>Production-readiness closure/evidence set records completion for the solo-controlled No-CUI pilot scope.</x:v>
      </x:c>
      <x:c r="M397" s="17" t="str">
        <x:v>Governed readiness evidence</x:v>
      </x:c>
      <x:c r="N397" s="21" t="str">
        <x:v>/Users/devups/Development/CodexProjects/Gccs/docs/production-readiness-launch-closure-evidence.md; /Users/devups/Development/CodexProjects/Gccs/docs/production-readiness-completed-story-dod-review.md</x:v>
      </x:c>
      <x:c r="O397" s="19" t="n">
        <x:v>46269.666666666664</x:v>
      </x:c>
      <x:c r="P397" s="21" t="str">
        <x:v>4 acceptance criteria; 0 TC references; implementation=yes; smoke=yes; automated=yes; Production readiness verification workflow</x:v>
      </x:c>
      <x:c r="Q397" s="21" t="str"/>
      <x:c r="R397" s="21" t="str">
        <x:v>Retain evidence and rerun the applicable gate if launch scope, infrastructure, or regulated-data posture changes.</x:v>
      </x:c>
      <x:c r="S397" s="18" t="str"/>
      <x:c r="T397" s="20"/>
      <x:c r="U397" s="21" t="str">
        <x:v>Evidence does not authorize broader production separation of duties, real CUI, FedRAMP status, or government approval.</x:v>
      </x:c>
      <x:c r="V397" s="1"/>
    </x:row>
    <x:row r="398" ht="46" customHeight="1">
      <x:c r="A398" s="17" t="n">
        <x:v>394</x:v>
      </x:c>
      <x:c r="B398" s="17" t="str">
        <x:v>Production Readiness</x:v>
      </x:c>
      <x:c r="C398" s="17" t="str">
        <x:v>PR-4.2</x:v>
      </x:c>
      <x:c r="D398" s="21" t="str">
        <x:v>Attach Deployment, Migration, And Rollback Evidence</x:v>
      </x:c>
      <x:c r="E398" s="17" t="n">
        <x:v>1</x:v>
      </x:c>
      <x:c r="F398" s="21" t="str">
        <x:v>Attach staging workflow evidence and smoke results.</x:v>
      </x:c>
      <x:c r="G398" s="17" t="str">
        <x:v>Production readiness / governance</x:v>
      </x:c>
      <x:c r="H398" s="17" t="str">
        <x:v>Planned</x:v>
      </x:c>
      <x:c r="I398" s="18" t="str">
        <x:v>Completed</x:v>
      </x:c>
      <x:c r="J398" s="17" t="str">
        <x:f>IF(OR(I398="Completed",I398="Not Applicable"),"No","Yes")</x:f>
        <x:v>No</x:v>
      </x:c>
      <x:c r="K398" s="17" t="str">
        <x:v>PR-4.1</x:v>
      </x:c>
      <x:c r="L398" s="21" t="str">
        <x:v>Production-readiness closure/evidence set records completion for the solo-controlled No-CUI pilot scope.</x:v>
      </x:c>
      <x:c r="M398" s="17" t="str">
        <x:v>Governed readiness evidence</x:v>
      </x:c>
      <x:c r="N398" s="21" t="str">
        <x:v>/Users/devups/Development/CodexProjects/Gccs/docs/production-readiness-launch-closure-evidence.md; /Users/devups/Development/CodexProjects/Gccs/docs/production-readiness-completed-story-dod-review.md</x:v>
      </x:c>
      <x:c r="O398" s="19" t="n">
        <x:v>46269.666666666664</x:v>
      </x:c>
      <x:c r="P398" s="21" t="str">
        <x:v>4 acceptance criteria; 0 TC references; implementation=yes; smoke=yes; automated=yes; Production readiness verification workflow</x:v>
      </x:c>
      <x:c r="Q398" s="21" t="str"/>
      <x:c r="R398" s="21" t="str">
        <x:v>Retain evidence and rerun the applicable gate if launch scope, infrastructure, or regulated-data posture changes.</x:v>
      </x:c>
      <x:c r="S398" s="18" t="str"/>
      <x:c r="T398" s="20"/>
      <x:c r="U398" s="21" t="str">
        <x:v>Evidence does not authorize broader production separation of duties, real CUI, FedRAMP status, or government approval.</x:v>
      </x:c>
      <x:c r="V398" s="1"/>
    </x:row>
    <x:row r="399" ht="46" customHeight="1">
      <x:c r="A399" s="17" t="n">
        <x:v>395</x:v>
      </x:c>
      <x:c r="B399" s="17" t="str">
        <x:v>Production Readiness</x:v>
      </x:c>
      <x:c r="C399" s="17" t="str">
        <x:v>PR-4.2</x:v>
      </x:c>
      <x:c r="D399" s="21" t="str">
        <x:v>Attach Deployment, Migration, And Rollback Evidence</x:v>
      </x:c>
      <x:c r="E399" s="17" t="n">
        <x:v>2</x:v>
      </x:c>
      <x:c r="F399" s="21" t="str">
        <x:v>Attach migration script validation evidence.</x:v>
      </x:c>
      <x:c r="G399" s="17" t="str">
        <x:v>Production readiness / governance</x:v>
      </x:c>
      <x:c r="H399" s="17" t="str">
        <x:v>Planned</x:v>
      </x:c>
      <x:c r="I399" s="18" t="str">
        <x:v>Completed</x:v>
      </x:c>
      <x:c r="J399" s="17" t="str">
        <x:f>IF(OR(I399="Completed",I399="Not Applicable"),"No","Yes")</x:f>
        <x:v>No</x:v>
      </x:c>
      <x:c r="K399" s="17" t="str">
        <x:v>PR-4.2 task 1</x:v>
      </x:c>
      <x:c r="L399" s="21" t="str">
        <x:v>Production-readiness closure/evidence set records completion for the solo-controlled No-CUI pilot scope.</x:v>
      </x:c>
      <x:c r="M399" s="17" t="str">
        <x:v>Governed readiness evidence</x:v>
      </x:c>
      <x:c r="N399" s="21" t="str">
        <x:v>/Users/devups/Development/CodexProjects/Gccs/docs/production-readiness-launch-closure-evidence.md; /Users/devups/Development/CodexProjects/Gccs/docs/production-readiness-completed-story-dod-review.md</x:v>
      </x:c>
      <x:c r="O399" s="19" t="n">
        <x:v>46269.666666666664</x:v>
      </x:c>
      <x:c r="P399" s="21" t="str">
        <x:v>4 acceptance criteria; 0 TC references; implementation=yes; smoke=yes; automated=yes; Production readiness verification workflow</x:v>
      </x:c>
      <x:c r="Q399" s="21" t="str"/>
      <x:c r="R399" s="21" t="str">
        <x:v>Retain evidence and rerun the applicable gate if launch scope, infrastructure, or regulated-data posture changes.</x:v>
      </x:c>
      <x:c r="S399" s="18" t="str"/>
      <x:c r="T399" s="20"/>
      <x:c r="U399" s="21" t="str">
        <x:v>Evidence does not authorize broader production separation of duties, real CUI, FedRAMP status, or government approval.</x:v>
      </x:c>
      <x:c r="V399" s="1"/>
    </x:row>
    <x:row r="400" ht="46" customHeight="1">
      <x:c r="A400" s="17" t="n">
        <x:v>396</x:v>
      </x:c>
      <x:c r="B400" s="17" t="str">
        <x:v>Production Readiness</x:v>
      </x:c>
      <x:c r="C400" s="17" t="str">
        <x:v>PR-4.2</x:v>
      </x:c>
      <x:c r="D400" s="21" t="str">
        <x:v>Attach Deployment, Migration, And Rollback Evidence</x:v>
      </x:c>
      <x:c r="E400" s="17" t="n">
        <x:v>3</x:v>
      </x:c>
      <x:c r="F400" s="21" t="str">
        <x:v>Attach rollback simulation notes.</x:v>
      </x:c>
      <x:c r="G400" s="17" t="str">
        <x:v>Production readiness / governance</x:v>
      </x:c>
      <x:c r="H400" s="17" t="str">
        <x:v>Planned</x:v>
      </x:c>
      <x:c r="I400" s="18" t="str">
        <x:v>Completed</x:v>
      </x:c>
      <x:c r="J400" s="17" t="str">
        <x:f>IF(OR(I400="Completed",I400="Not Applicable"),"No","Yes")</x:f>
        <x:v>No</x:v>
      </x:c>
      <x:c r="K400" s="17" t="str">
        <x:v>PR-4.2 task 2</x:v>
      </x:c>
      <x:c r="L400" s="21" t="str">
        <x:v>Production-readiness closure/evidence set records completion for the solo-controlled No-CUI pilot scope.</x:v>
      </x:c>
      <x:c r="M400" s="17" t="str">
        <x:v>Governed readiness evidence</x:v>
      </x:c>
      <x:c r="N400" s="21" t="str">
        <x:v>/Users/devups/Development/CodexProjects/Gccs/docs/production-readiness-launch-closure-evidence.md; /Users/devups/Development/CodexProjects/Gccs/docs/production-readiness-completed-story-dod-review.md</x:v>
      </x:c>
      <x:c r="O400" s="19" t="n">
        <x:v>46269.666666666664</x:v>
      </x:c>
      <x:c r="P400" s="21" t="str">
        <x:v>4 acceptance criteria; 0 TC references; implementation=yes; smoke=yes; automated=yes; Production readiness verification workflow</x:v>
      </x:c>
      <x:c r="Q400" s="21" t="str"/>
      <x:c r="R400" s="21" t="str">
        <x:v>Retain evidence and rerun the applicable gate if launch scope, infrastructure, or regulated-data posture changes.</x:v>
      </x:c>
      <x:c r="S400" s="18" t="str"/>
      <x:c r="T400" s="20"/>
      <x:c r="U400" s="21" t="str">
        <x:v>Evidence does not authorize broader production separation of duties, real CUI, FedRAMP status, or government approval.</x:v>
      </x:c>
      <x:c r="V400" s="1"/>
    </x:row>
    <x:row r="401" ht="46" customHeight="1">
      <x:c r="A401" s="17" t="n">
        <x:v>397</x:v>
      </x:c>
      <x:c r="B401" s="17" t="str">
        <x:v>Production Readiness</x:v>
      </x:c>
      <x:c r="C401" s="17" t="str">
        <x:v>PR-4.2</x:v>
      </x:c>
      <x:c r="D401" s="21" t="str">
        <x:v>Attach Deployment, Migration, And Rollback Evidence</x:v>
      </x:c>
      <x:c r="E401" s="17" t="n">
        <x:v>4</x:v>
      </x:c>
      <x:c r="F401" s="21" t="str">
        <x:v>Attach migration rollback notes or documented migration irreversibility decision.</x:v>
      </x:c>
      <x:c r="G401" s="17" t="str">
        <x:v>Production readiness / governance</x:v>
      </x:c>
      <x:c r="H401" s="17" t="str">
        <x:v>Planned</x:v>
      </x:c>
      <x:c r="I401" s="18" t="str">
        <x:v>Completed</x:v>
      </x:c>
      <x:c r="J401" s="17" t="str">
        <x:f>IF(OR(I401="Completed",I401="Not Applicable"),"No","Yes")</x:f>
        <x:v>No</x:v>
      </x:c>
      <x:c r="K401" s="17" t="str">
        <x:v>PR-4.2 task 3</x:v>
      </x:c>
      <x:c r="L401" s="21" t="str">
        <x:v>Production-readiness closure/evidence set records completion for the solo-controlled No-CUI pilot scope.</x:v>
      </x:c>
      <x:c r="M401" s="17" t="str">
        <x:v>Governed readiness evidence</x:v>
      </x:c>
      <x:c r="N401" s="21" t="str">
        <x:v>/Users/devups/Development/CodexProjects/Gccs/docs/production-readiness-launch-closure-evidence.md; /Users/devups/Development/CodexProjects/Gccs/docs/production-readiness-completed-story-dod-review.md</x:v>
      </x:c>
      <x:c r="O401" s="19" t="n">
        <x:v>46269.666666666664</x:v>
      </x:c>
      <x:c r="P401" s="21" t="str">
        <x:v>4 acceptance criteria; 0 TC references; implementation=yes; smoke=yes; automated=yes; Production readiness verification workflow</x:v>
      </x:c>
      <x:c r="Q401" s="21" t="str"/>
      <x:c r="R401" s="21" t="str">
        <x:v>Retain evidence and rerun the applicable gate if launch scope, infrastructure, or regulated-data posture changes.</x:v>
      </x:c>
      <x:c r="S401" s="18" t="str"/>
      <x:c r="T401" s="20"/>
      <x:c r="U401" s="21" t="str">
        <x:v>Evidence does not authorize broader production separation of duties, real CUI, FedRAMP status, or government approval.</x:v>
      </x:c>
      <x:c r="V401" s="1"/>
    </x:row>
    <x:row r="402" ht="46" customHeight="1">
      <x:c r="A402" s="17" t="n">
        <x:v>398</x:v>
      </x:c>
      <x:c r="B402" s="17" t="str">
        <x:v>Production Readiness</x:v>
      </x:c>
      <x:c r="C402" s="17" t="str">
        <x:v>PR-4.2</x:v>
      </x:c>
      <x:c r="D402" s="21" t="str">
        <x:v>Attach Deployment, Migration, And Rollback Evidence</x:v>
      </x:c>
      <x:c r="E402" s="17" t="n">
        <x:v>5</x:v>
      </x:c>
      <x:c r="F402" s="21" t="str">
        <x:v>Record any operational limitations in the known-risk acceptance log.</x:v>
      </x:c>
      <x:c r="G402" s="17" t="str">
        <x:v>Production readiness / governance</x:v>
      </x:c>
      <x:c r="H402" s="17" t="str">
        <x:v>Planned</x:v>
      </x:c>
      <x:c r="I402" s="18" t="str">
        <x:v>Completed</x:v>
      </x:c>
      <x:c r="J402" s="17" t="str">
        <x:f>IF(OR(I402="Completed",I402="Not Applicable"),"No","Yes")</x:f>
        <x:v>No</x:v>
      </x:c>
      <x:c r="K402" s="17" t="str">
        <x:v>PR-4.2 task 4</x:v>
      </x:c>
      <x:c r="L402" s="21" t="str">
        <x:v>Production-readiness closure/evidence set records completion for the solo-controlled No-CUI pilot scope.</x:v>
      </x:c>
      <x:c r="M402" s="17" t="str">
        <x:v>Governed readiness evidence</x:v>
      </x:c>
      <x:c r="N402" s="21" t="str">
        <x:v>/Users/devups/Development/CodexProjects/Gccs/docs/production-readiness-launch-closure-evidence.md; /Users/devups/Development/CodexProjects/Gccs/docs/production-readiness-completed-story-dod-review.md</x:v>
      </x:c>
      <x:c r="O402" s="19" t="n">
        <x:v>46269.666666666664</x:v>
      </x:c>
      <x:c r="P402" s="21" t="str">
        <x:v>4 acceptance criteria; 0 TC references; implementation=yes; smoke=yes; automated=yes; Production readiness verification workflow</x:v>
      </x:c>
      <x:c r="Q402" s="21" t="str"/>
      <x:c r="R402" s="21" t="str">
        <x:v>Retain evidence and rerun the applicable gate if launch scope, infrastructure, or regulated-data posture changes.</x:v>
      </x:c>
      <x:c r="S402" s="18" t="str"/>
      <x:c r="T402" s="20"/>
      <x:c r="U402" s="21" t="str">
        <x:v>Evidence does not authorize broader production separation of duties, real CUI, FedRAMP status, or government approval.</x:v>
      </x:c>
      <x:c r="V402" s="1"/>
    </x:row>
    <x:row r="403" ht="46" customHeight="1">
      <x:c r="A403" s="17" t="n">
        <x:v>399</x:v>
      </x:c>
      <x:c r="B403" s="17" t="str">
        <x:v>Production Readiness</x:v>
      </x:c>
      <x:c r="C403" s="17" t="str">
        <x:v>PR-4.3</x:v>
      </x:c>
      <x:c r="D403" s="21" t="str">
        <x:v>Decide Malware Scanning Launch Path</x:v>
      </x:c>
      <x:c r="E403" s="17" t="n">
        <x:v>1</x:v>
      </x:c>
      <x:c r="F403" s="21" t="str">
        <x:v>Confirm whether production malware scanning is enabled for uploads.</x:v>
      </x:c>
      <x:c r="G403" s="17" t="str">
        <x:v>Production readiness / governance</x:v>
      </x:c>
      <x:c r="H403" s="17" t="str">
        <x:v>Planned</x:v>
      </x:c>
      <x:c r="I403" s="18" t="str">
        <x:v>Completed</x:v>
      </x:c>
      <x:c r="J403" s="17" t="str">
        <x:f>IF(OR(I403="Completed",I403="Not Applicable"),"No","Yes")</x:f>
        <x:v>No</x:v>
      </x:c>
      <x:c r="K403" s="17" t="str">
        <x:v>PR-4.2</x:v>
      </x:c>
      <x:c r="L403" s="21" t="str">
        <x:v>Production-readiness closure/evidence set records completion for the solo-controlled No-CUI pilot scope.</x:v>
      </x:c>
      <x:c r="M403" s="17" t="str">
        <x:v>Governed readiness evidence</x:v>
      </x:c>
      <x:c r="N403" s="21" t="str">
        <x:v>/Users/devups/Development/CodexProjects/Gccs/docs/production-readiness-launch-closure-evidence.md; /Users/devups/Development/CodexProjects/Gccs/docs/production-readiness-completed-story-dod-review.md</x:v>
      </x:c>
      <x:c r="O403" s="19" t="n">
        <x:v>46269.666666666664</x:v>
      </x:c>
      <x:c r="P403" s="21" t="str">
        <x:v>4 acceptance criteria; 0 TC references; implementation=yes; smoke=yes; automated=yes; Production readiness verification workflow</x:v>
      </x:c>
      <x:c r="Q403" s="21" t="str"/>
      <x:c r="R403" s="21" t="str">
        <x:v>Retain evidence and rerun the applicable gate if launch scope, infrastructure, or regulated-data posture changes.</x:v>
      </x:c>
      <x:c r="S403" s="18" t="str"/>
      <x:c r="T403" s="20"/>
      <x:c r="U403" s="21" t="str">
        <x:v>Evidence does not authorize broader production separation of duties, real CUI, FedRAMP status, or government approval.</x:v>
      </x:c>
      <x:c r="V403" s="1"/>
    </x:row>
    <x:row r="404" ht="46" customHeight="1">
      <x:c r="A404" s="17" t="n">
        <x:v>400</x:v>
      </x:c>
      <x:c r="B404" s="17" t="str">
        <x:v>Production Readiness</x:v>
      </x:c>
      <x:c r="C404" s="17" t="str">
        <x:v>PR-4.3</x:v>
      </x:c>
      <x:c r="D404" s="21" t="str">
        <x:v>Decide Malware Scanning Launch Path</x:v>
      </x:c>
      <x:c r="E404" s="17" t="n">
        <x:v>2</x:v>
      </x:c>
      <x:c r="F404" s="21" t="str">
        <x:v>If enabled, attach scanner configuration and test evidence.</x:v>
      </x:c>
      <x:c r="G404" s="17" t="str">
        <x:v>Production readiness / governance</x:v>
      </x:c>
      <x:c r="H404" s="17" t="str">
        <x:v>Planned</x:v>
      </x:c>
      <x:c r="I404" s="18" t="str">
        <x:v>Completed</x:v>
      </x:c>
      <x:c r="J404" s="17" t="str">
        <x:f>IF(OR(I404="Completed",I404="Not Applicable"),"No","Yes")</x:f>
        <x:v>No</x:v>
      </x:c>
      <x:c r="K404" s="17" t="str">
        <x:v>PR-4.3 task 1</x:v>
      </x:c>
      <x:c r="L404" s="21" t="str">
        <x:v>Production-readiness closure/evidence set records completion for the solo-controlled No-CUI pilot scope.</x:v>
      </x:c>
      <x:c r="M404" s="17" t="str">
        <x:v>Governed readiness evidence</x:v>
      </x:c>
      <x:c r="N404" s="21" t="str">
        <x:v>/Users/devups/Development/CodexProjects/Gccs/docs/production-readiness-launch-closure-evidence.md; /Users/devups/Development/CodexProjects/Gccs/docs/production-readiness-completed-story-dod-review.md</x:v>
      </x:c>
      <x:c r="O404" s="19" t="n">
        <x:v>46269.666666666664</x:v>
      </x:c>
      <x:c r="P404" s="21" t="str">
        <x:v>4 acceptance criteria; 0 TC references; implementation=yes; smoke=yes; automated=yes; Production readiness verification workflow</x:v>
      </x:c>
      <x:c r="Q404" s="21" t="str"/>
      <x:c r="R404" s="21" t="str">
        <x:v>Retain evidence and rerun the applicable gate if launch scope, infrastructure, or regulated-data posture changes.</x:v>
      </x:c>
      <x:c r="S404" s="18" t="str"/>
      <x:c r="T404" s="20"/>
      <x:c r="U404" s="21" t="str">
        <x:v>Evidence does not authorize broader production separation of duties, real CUI, FedRAMP status, or government approval.</x:v>
      </x:c>
      <x:c r="V404" s="1"/>
    </x:row>
    <x:row r="405" ht="46" customHeight="1">
      <x:c r="A405" s="17" t="n">
        <x:v>401</x:v>
      </x:c>
      <x:c r="B405" s="17" t="str">
        <x:v>Production Readiness</x:v>
      </x:c>
      <x:c r="C405" s="17" t="str">
        <x:v>PR-4.3</x:v>
      </x:c>
      <x:c r="D405" s="21" t="str">
        <x:v>Decide Malware Scanning Launch Path</x:v>
      </x:c>
      <x:c r="E405" s="17" t="n">
        <x:v>3</x:v>
      </x:c>
      <x:c r="F405" s="21" t="str">
        <x:v>If not enabled, document launch exception, compensating controls, affected workflows, owner, expiration date, and approvers.</x:v>
      </x:c>
      <x:c r="G405" s="17" t="str">
        <x:v>Production readiness / governance</x:v>
      </x:c>
      <x:c r="H405" s="17" t="str">
        <x:v>Planned</x:v>
      </x:c>
      <x:c r="I405" s="18" t="str">
        <x:v>Completed</x:v>
      </x:c>
      <x:c r="J405" s="17" t="str">
        <x:f>IF(OR(I405="Completed",I405="Not Applicable"),"No","Yes")</x:f>
        <x:v>No</x:v>
      </x:c>
      <x:c r="K405" s="17" t="str">
        <x:v>PR-4.3 task 2</x:v>
      </x:c>
      <x:c r="L405" s="21" t="str">
        <x:v>Production-readiness closure/evidence set records completion for the solo-controlled No-CUI pilot scope.</x:v>
      </x:c>
      <x:c r="M405" s="17" t="str">
        <x:v>Governed readiness evidence</x:v>
      </x:c>
      <x:c r="N405" s="21" t="str">
        <x:v>/Users/devups/Development/CodexProjects/Gccs/docs/production-readiness-launch-closure-evidence.md; /Users/devups/Development/CodexProjects/Gccs/docs/production-readiness-completed-story-dod-review.md</x:v>
      </x:c>
      <x:c r="O405" s="19" t="n">
        <x:v>46269.666666666664</x:v>
      </x:c>
      <x:c r="P405" s="21" t="str">
        <x:v>4 acceptance criteria; 0 TC references; implementation=yes; smoke=yes; automated=yes; Production readiness verification workflow</x:v>
      </x:c>
      <x:c r="Q405" s="21" t="str"/>
      <x:c r="R405" s="21" t="str">
        <x:v>Retain evidence and rerun the applicable gate if launch scope, infrastructure, or regulated-data posture changes.</x:v>
      </x:c>
      <x:c r="S405" s="18" t="str"/>
      <x:c r="T405" s="20"/>
      <x:c r="U405" s="21" t="str">
        <x:v>Evidence does not authorize broader production separation of duties, real CUI, FedRAMP status, or government approval.</x:v>
      </x:c>
      <x:c r="V405" s="1"/>
    </x:row>
    <x:row r="406" ht="46" customHeight="1">
      <x:c r="A406" s="17" t="n">
        <x:v>402</x:v>
      </x:c>
      <x:c r="B406" s="17" t="str">
        <x:v>Production Readiness</x:v>
      </x:c>
      <x:c r="C406" s="17" t="str">
        <x:v>PR-4.3</x:v>
      </x:c>
      <x:c r="D406" s="21" t="str">
        <x:v>Decide Malware Scanning Launch Path</x:v>
      </x:c>
      <x:c r="E406" s="17" t="n">
        <x:v>4</x:v>
      </x:c>
      <x:c r="F406" s="21" t="str">
        <x:v>Add exception to the known-risk acceptance log.</x:v>
      </x:c>
      <x:c r="G406" s="17" t="str">
        <x:v>Production readiness / governance</x:v>
      </x:c>
      <x:c r="H406" s="17" t="str">
        <x:v>Planned</x:v>
      </x:c>
      <x:c r="I406" s="18" t="str">
        <x:v>Completed</x:v>
      </x:c>
      <x:c r="J406" s="17" t="str">
        <x:f>IF(OR(I406="Completed",I406="Not Applicable"),"No","Yes")</x:f>
        <x:v>No</x:v>
      </x:c>
      <x:c r="K406" s="17" t="str">
        <x:v>PR-4.3 task 3</x:v>
      </x:c>
      <x:c r="L406" s="21" t="str">
        <x:v>Production-readiness closure/evidence set records completion for the solo-controlled No-CUI pilot scope.</x:v>
      </x:c>
      <x:c r="M406" s="17" t="str">
        <x:v>Governed readiness evidence</x:v>
      </x:c>
      <x:c r="N406" s="21" t="str">
        <x:v>/Users/devups/Development/CodexProjects/Gccs/docs/production-readiness-launch-closure-evidence.md; /Users/devups/Development/CodexProjects/Gccs/docs/production-readiness-completed-story-dod-review.md</x:v>
      </x:c>
      <x:c r="O406" s="19" t="n">
        <x:v>46269.666666666664</x:v>
      </x:c>
      <x:c r="P406" s="21" t="str">
        <x:v>4 acceptance criteria; 0 TC references; implementation=yes; smoke=yes; automated=yes; Production readiness verification workflow</x:v>
      </x:c>
      <x:c r="Q406" s="21" t="str"/>
      <x:c r="R406" s="21" t="str">
        <x:v>Retain evidence and rerun the applicable gate if launch scope, infrastructure, or regulated-data posture changes.</x:v>
      </x:c>
      <x:c r="S406" s="18" t="str"/>
      <x:c r="T406" s="20"/>
      <x:c r="U406" s="21" t="str">
        <x:v>Evidence does not authorize broader production separation of duties, real CUI, FedRAMP status, or government approval.</x:v>
      </x:c>
      <x:c r="V406" s="1"/>
    </x:row>
    <x:row r="407" ht="46" customHeight="1">
      <x:c r="A407" s="17" t="n">
        <x:v>403</x:v>
      </x:c>
      <x:c r="B407" s="17" t="str">
        <x:v>Production Readiness</x:v>
      </x:c>
      <x:c r="C407" s="17" t="str">
        <x:v>PR-5.1</x:v>
      </x:c>
      <x:c r="D407" s="21" t="str">
        <x:v>Review High-Risk Obligation Content</x:v>
      </x:c>
      <x:c r="E407" s="17" t="n">
        <x:v>1</x:v>
      </x:c>
      <x:c r="F407" s="21" t="str">
        <x:v>Identify high-risk obligation records.</x:v>
      </x:c>
      <x:c r="G407" s="17" t="str">
        <x:v>Production readiness / governance</x:v>
      </x:c>
      <x:c r="H407" s="17" t="str">
        <x:v>Planned</x:v>
      </x:c>
      <x:c r="I407" s="18" t="str">
        <x:v>Completed</x:v>
      </x:c>
      <x:c r="J407" s="17" t="str">
        <x:f>IF(OR(I407="Completed",I407="Not Applicable"),"No","Yes")</x:f>
        <x:v>No</x:v>
      </x:c>
      <x:c r="K407" s="17" t="str">
        <x:v>PR-4.3</x:v>
      </x:c>
      <x:c r="L407" s="21" t="str">
        <x:v>Production-readiness closure/evidence set records completion for the solo-controlled No-CUI pilot scope.</x:v>
      </x:c>
      <x:c r="M407" s="17" t="str">
        <x:v>Governed readiness evidence</x:v>
      </x:c>
      <x:c r="N407" s="21" t="str">
        <x:v>/Users/devups/Development/CodexProjects/Gccs/docs/production-readiness-launch-closure-evidence.md; /Users/devups/Development/CodexProjects/Gccs/docs/production-readiness-completed-story-dod-review.md</x:v>
      </x:c>
      <x:c r="O407" s="19" t="n">
        <x:v>46269.666666666664</x:v>
      </x:c>
      <x:c r="P407" s="21" t="str">
        <x:v>4 acceptance criteria; 0 TC references; implementation=yes; smoke=yes; automated=yes; Production readiness verification workflow</x:v>
      </x:c>
      <x:c r="Q407" s="21" t="str"/>
      <x:c r="R407" s="21" t="str">
        <x:v>Retain evidence and rerun the applicable gate if launch scope, infrastructure, or regulated-data posture changes.</x:v>
      </x:c>
      <x:c r="S407" s="18" t="str"/>
      <x:c r="T407" s="20"/>
      <x:c r="U407" s="21" t="str">
        <x:v>Evidence does not authorize broader production separation of duties, real CUI, FedRAMP status, or government approval.</x:v>
      </x:c>
      <x:c r="V407" s="1"/>
    </x:row>
    <x:row r="408" ht="46" customHeight="1">
      <x:c r="A408" s="17" t="n">
        <x:v>404</x:v>
      </x:c>
      <x:c r="B408" s="17" t="str">
        <x:v>Production Readiness</x:v>
      </x:c>
      <x:c r="C408" s="17" t="str">
        <x:v>PR-5.1</x:v>
      </x:c>
      <x:c r="D408" s="21" t="str">
        <x:v>Review High-Risk Obligation Content</x:v>
      </x:c>
      <x:c r="E408" s="17" t="n">
        <x:v>2</x:v>
      </x:c>
      <x:c r="F408" s="21" t="str">
        <x:v>Verify source URL, trigger condition, required actions, evidence examples, confidence, review owner, review state, and last-reviewed date.</x:v>
      </x:c>
      <x:c r="G408" s="17" t="str">
        <x:v>Production readiness / governance</x:v>
      </x:c>
      <x:c r="H408" s="17" t="str">
        <x:v>Planned</x:v>
      </x:c>
      <x:c r="I408" s="18" t="str">
        <x:v>Completed</x:v>
      </x:c>
      <x:c r="J408" s="17" t="str">
        <x:f>IF(OR(I408="Completed",I408="Not Applicable"),"No","Yes")</x:f>
        <x:v>No</x:v>
      </x:c>
      <x:c r="K408" s="17" t="str">
        <x:v>PR-5.1 task 1</x:v>
      </x:c>
      <x:c r="L408" s="21" t="str">
        <x:v>Production-readiness closure/evidence set records completion for the solo-controlled No-CUI pilot scope.</x:v>
      </x:c>
      <x:c r="M408" s="17" t="str">
        <x:v>Governed readiness evidence</x:v>
      </x:c>
      <x:c r="N408" s="21" t="str">
        <x:v>/Users/devups/Development/CodexProjects/Gccs/docs/production-readiness-launch-closure-evidence.md; /Users/devups/Development/CodexProjects/Gccs/docs/production-readiness-completed-story-dod-review.md</x:v>
      </x:c>
      <x:c r="O408" s="19" t="n">
        <x:v>46269.666666666664</x:v>
      </x:c>
      <x:c r="P408" s="21" t="str">
        <x:v>4 acceptance criteria; 0 TC references; implementation=yes; smoke=yes; automated=yes; Production readiness verification workflow</x:v>
      </x:c>
      <x:c r="Q408" s="21" t="str"/>
      <x:c r="R408" s="21" t="str">
        <x:v>Retain evidence and rerun the applicable gate if launch scope, infrastructure, or regulated-data posture changes.</x:v>
      </x:c>
      <x:c r="S408" s="18" t="str"/>
      <x:c r="T408" s="20"/>
      <x:c r="U408" s="21" t="str">
        <x:v>Evidence does not authorize broader production separation of duties, real CUI, FedRAMP status, or government approval.</x:v>
      </x:c>
      <x:c r="V408" s="1"/>
    </x:row>
    <x:row r="409" ht="46" customHeight="1">
      <x:c r="A409" s="17" t="n">
        <x:v>405</x:v>
      </x:c>
      <x:c r="B409" s="17" t="str">
        <x:v>Production Readiness</x:v>
      </x:c>
      <x:c r="C409" s="17" t="str">
        <x:v>PR-5.1</x:v>
      </x:c>
      <x:c r="D409" s="21" t="str">
        <x:v>Review High-Risk Obligation Content</x:v>
      </x:c>
      <x:c r="E409" s="17" t="n">
        <x:v>3</x:v>
      </x:c>
      <x:c r="F409" s="21" t="str">
        <x:v>Approve records that meet publication rules.</x:v>
      </x:c>
      <x:c r="G409" s="17" t="str">
        <x:v>Production readiness / governance</x:v>
      </x:c>
      <x:c r="H409" s="17" t="str">
        <x:v>Planned</x:v>
      </x:c>
      <x:c r="I409" s="18" t="str">
        <x:v>Completed</x:v>
      </x:c>
      <x:c r="J409" s="17" t="str">
        <x:f>IF(OR(I409="Completed",I409="Not Applicable"),"No","Yes")</x:f>
        <x:v>No</x:v>
      </x:c>
      <x:c r="K409" s="17" t="str">
        <x:v>PR-5.1 task 2</x:v>
      </x:c>
      <x:c r="L409" s="21" t="str">
        <x:v>Production-readiness closure/evidence set records completion for the solo-controlled No-CUI pilot scope.</x:v>
      </x:c>
      <x:c r="M409" s="17" t="str">
        <x:v>Governed readiness evidence</x:v>
      </x:c>
      <x:c r="N409" s="21" t="str">
        <x:v>/Users/devups/Development/CodexProjects/Gccs/docs/production-readiness-launch-closure-evidence.md; /Users/devups/Development/CodexProjects/Gccs/docs/production-readiness-completed-story-dod-review.md</x:v>
      </x:c>
      <x:c r="O409" s="19" t="n">
        <x:v>46269.666666666664</x:v>
      </x:c>
      <x:c r="P409" s="21" t="str">
        <x:v>4 acceptance criteria; 0 TC references; implementation=yes; smoke=yes; automated=yes; Production readiness verification workflow</x:v>
      </x:c>
      <x:c r="Q409" s="21" t="str"/>
      <x:c r="R409" s="21" t="str">
        <x:v>Retain evidence and rerun the applicable gate if launch scope, infrastructure, or regulated-data posture changes.</x:v>
      </x:c>
      <x:c r="S409" s="18" t="str"/>
      <x:c r="T409" s="20"/>
      <x:c r="U409" s="21" t="str">
        <x:v>Evidence does not authorize broader production separation of duties, real CUI, FedRAMP status, or government approval.</x:v>
      </x:c>
      <x:c r="V409" s="1"/>
    </x:row>
    <x:row r="410" ht="46" customHeight="1">
      <x:c r="A410" s="17" t="n">
        <x:v>406</x:v>
      </x:c>
      <x:c r="B410" s="17" t="str">
        <x:v>Production Readiness</x:v>
      </x:c>
      <x:c r="C410" s="17" t="str">
        <x:v>PR-5.1</x:v>
      </x:c>
      <x:c r="D410" s="21" t="str">
        <x:v>Review High-Risk Obligation Content</x:v>
      </x:c>
      <x:c r="E410" s="17" t="n">
        <x:v>4</x:v>
      </x:c>
      <x:c r="F410" s="21" t="str">
        <x:v>Hide or retire records that are incomplete, stale, ambiguous, or awaiting expert review.</x:v>
      </x:c>
      <x:c r="G410" s="17" t="str">
        <x:v>Production readiness / governance</x:v>
      </x:c>
      <x:c r="H410" s="17" t="str">
        <x:v>Planned</x:v>
      </x:c>
      <x:c r="I410" s="18" t="str">
        <x:v>Completed</x:v>
      </x:c>
      <x:c r="J410" s="17" t="str">
        <x:f>IF(OR(I410="Completed",I410="Not Applicable"),"No","Yes")</x:f>
        <x:v>No</x:v>
      </x:c>
      <x:c r="K410" s="17" t="str">
        <x:v>PR-5.1 task 3</x:v>
      </x:c>
      <x:c r="L410" s="21" t="str">
        <x:v>Production-readiness closure/evidence set records completion for the solo-controlled No-CUI pilot scope.</x:v>
      </x:c>
      <x:c r="M410" s="17" t="str">
        <x:v>Governed readiness evidence</x:v>
      </x:c>
      <x:c r="N410" s="21" t="str">
        <x:v>/Users/devups/Development/CodexProjects/Gccs/docs/production-readiness-launch-closure-evidence.md; /Users/devups/Development/CodexProjects/Gccs/docs/production-readiness-completed-story-dod-review.md</x:v>
      </x:c>
      <x:c r="O410" s="19" t="n">
        <x:v>46269.666666666664</x:v>
      </x:c>
      <x:c r="P410" s="21" t="str">
        <x:v>4 acceptance criteria; 0 TC references; implementation=yes; smoke=yes; automated=yes; Production readiness verification workflow</x:v>
      </x:c>
      <x:c r="Q410" s="21" t="str"/>
      <x:c r="R410" s="21" t="str">
        <x:v>Retain evidence and rerun the applicable gate if launch scope, infrastructure, or regulated-data posture changes.</x:v>
      </x:c>
      <x:c r="S410" s="18" t="str"/>
      <x:c r="T410" s="20"/>
      <x:c r="U410" s="21" t="str">
        <x:v>Evidence does not authorize broader production separation of duties, real CUI, FedRAMP status, or government approval.</x:v>
      </x:c>
      <x:c r="V410" s="1"/>
    </x:row>
    <x:row r="411" ht="46" customHeight="1">
      <x:c r="A411" s="17" t="n">
        <x:v>407</x:v>
      </x:c>
      <x:c r="B411" s="17" t="str">
        <x:v>Production Readiness</x:v>
      </x:c>
      <x:c r="C411" s="17" t="str">
        <x:v>PR-5.2</x:v>
      </x:c>
      <x:c r="D411" s="21" t="str">
        <x:v>Review Customer-Facing Claims</x:v>
      </x:c>
      <x:c r="E411" s="17" t="n">
        <x:v>1</x:v>
      </x:c>
      <x:c r="F411" s="21" t="str">
        <x:v>Review product copy, onboarding, upload warnings, reports, release notes, support materials, and pilot onboarding materials.</x:v>
      </x:c>
      <x:c r="G411" s="17" t="str">
        <x:v>Production readiness / governance</x:v>
      </x:c>
      <x:c r="H411" s="17" t="str">
        <x:v>Planned</x:v>
      </x:c>
      <x:c r="I411" s="18" t="str">
        <x:v>Completed</x:v>
      </x:c>
      <x:c r="J411" s="17" t="str">
        <x:f>IF(OR(I411="Completed",I411="Not Applicable"),"No","Yes")</x:f>
        <x:v>No</x:v>
      </x:c>
      <x:c r="K411" s="17" t="str">
        <x:v>PR-5.1</x:v>
      </x:c>
      <x:c r="L411" s="21" t="str">
        <x:v>Production-readiness closure/evidence set records completion for the solo-controlled No-CUI pilot scope.</x:v>
      </x:c>
      <x:c r="M411" s="17" t="str">
        <x:v>Governed readiness evidence</x:v>
      </x:c>
      <x:c r="N411" s="21" t="str">
        <x:v>/Users/devups/Development/CodexProjects/Gccs/docs/production-readiness-launch-closure-evidence.md; /Users/devups/Development/CodexProjects/Gccs/docs/production-readiness-completed-story-dod-review.md</x:v>
      </x:c>
      <x:c r="O411" s="19" t="n">
        <x:v>46269.666666666664</x:v>
      </x:c>
      <x:c r="P411" s="21" t="str">
        <x:v>4 acceptance criteria; 0 TC references; implementation=yes; smoke=yes; automated=yes; Production readiness verification workflow</x:v>
      </x:c>
      <x:c r="Q411" s="21" t="str"/>
      <x:c r="R411" s="21" t="str">
        <x:v>Retain evidence and rerun the applicable gate if launch scope, infrastructure, or regulated-data posture changes.</x:v>
      </x:c>
      <x:c r="S411" s="18" t="str"/>
      <x:c r="T411" s="20"/>
      <x:c r="U411" s="21" t="str">
        <x:v>Evidence does not authorize broader production separation of duties, real CUI, FedRAMP status, or government approval.</x:v>
      </x:c>
      <x:c r="V411" s="1"/>
    </x:row>
    <x:row r="412" ht="46" customHeight="1">
      <x:c r="A412" s="17" t="n">
        <x:v>408</x:v>
      </x:c>
      <x:c r="B412" s="17" t="str">
        <x:v>Production Readiness</x:v>
      </x:c>
      <x:c r="C412" s="17" t="str">
        <x:v>PR-5.2</x:v>
      </x:c>
      <x:c r="D412" s="21" t="str">
        <x:v>Review Customer-Facing Claims</x:v>
      </x:c>
      <x:c r="E412" s="17" t="n">
        <x:v>2</x:v>
      </x:c>
      <x:c r="F412" s="21" t="str">
        <x:v>Remove or revise overclaimed language.</x:v>
      </x:c>
      <x:c r="G412" s="17" t="str">
        <x:v>Production readiness / governance</x:v>
      </x:c>
      <x:c r="H412" s="17" t="str">
        <x:v>Planned</x:v>
      </x:c>
      <x:c r="I412" s="18" t="str">
        <x:v>Completed</x:v>
      </x:c>
      <x:c r="J412" s="17" t="str">
        <x:f>IF(OR(I412="Completed",I412="Not Applicable"),"No","Yes")</x:f>
        <x:v>No</x:v>
      </x:c>
      <x:c r="K412" s="17" t="str">
        <x:v>PR-5.2 task 1</x:v>
      </x:c>
      <x:c r="L412" s="21" t="str">
        <x:v>Production-readiness closure/evidence set records completion for the solo-controlled No-CUI pilot scope.</x:v>
      </x:c>
      <x:c r="M412" s="17" t="str">
        <x:v>Governed readiness evidence</x:v>
      </x:c>
      <x:c r="N412" s="21" t="str">
        <x:v>/Users/devups/Development/CodexProjects/Gccs/docs/production-readiness-launch-closure-evidence.md; /Users/devups/Development/CodexProjects/Gccs/docs/production-readiness-completed-story-dod-review.md</x:v>
      </x:c>
      <x:c r="O412" s="19" t="n">
        <x:v>46269.666666666664</x:v>
      </x:c>
      <x:c r="P412" s="21" t="str">
        <x:v>4 acceptance criteria; 0 TC references; implementation=yes; smoke=yes; automated=yes; Production readiness verification workflow</x:v>
      </x:c>
      <x:c r="Q412" s="21" t="str"/>
      <x:c r="R412" s="21" t="str">
        <x:v>Retain evidence and rerun the applicable gate if launch scope, infrastructure, or regulated-data posture changes.</x:v>
      </x:c>
      <x:c r="S412" s="18" t="str"/>
      <x:c r="T412" s="20"/>
      <x:c r="U412" s="21" t="str">
        <x:v>Evidence does not authorize broader production separation of duties, real CUI, FedRAMP status, or government approval.</x:v>
      </x:c>
      <x:c r="V412" s="1"/>
    </x:row>
    <x:row r="413" ht="46" customHeight="1">
      <x:c r="A413" s="17" t="n">
        <x:v>409</x:v>
      </x:c>
      <x:c r="B413" s="17" t="str">
        <x:v>Production Readiness</x:v>
      </x:c>
      <x:c r="C413" s="17" t="str">
        <x:v>PR-5.2</x:v>
      </x:c>
      <x:c r="D413" s="21" t="str">
        <x:v>Review Customer-Facing Claims</x:v>
      </x:c>
      <x:c r="E413" s="17" t="n">
        <x:v>3</x:v>
      </x:c>
      <x:c r="F413" s="21" t="str">
        <x:v>Confirm CMMC guidance is draft-only unless expert-reviewed.</x:v>
      </x:c>
      <x:c r="G413" s="17" t="str">
        <x:v>Production readiness / governance</x:v>
      </x:c>
      <x:c r="H413" s="17" t="str">
        <x:v>Planned</x:v>
      </x:c>
      <x:c r="I413" s="18" t="str">
        <x:v>Completed</x:v>
      </x:c>
      <x:c r="J413" s="17" t="str">
        <x:f>IF(OR(I413="Completed",I413="Not Applicable"),"No","Yes")</x:f>
        <x:v>No</x:v>
      </x:c>
      <x:c r="K413" s="17" t="str">
        <x:v>PR-5.2 task 2</x:v>
      </x:c>
      <x:c r="L413" s="21" t="str">
        <x:v>Production-readiness closure/evidence set records completion for the solo-controlled No-CUI pilot scope.</x:v>
      </x:c>
      <x:c r="M413" s="17" t="str">
        <x:v>Governed readiness evidence</x:v>
      </x:c>
      <x:c r="N413" s="21" t="str">
        <x:v>/Users/devups/Development/CodexProjects/Gccs/docs/production-readiness-launch-closure-evidence.md; /Users/devups/Development/CodexProjects/Gccs/docs/production-readiness-completed-story-dod-review.md</x:v>
      </x:c>
      <x:c r="O413" s="19" t="n">
        <x:v>46269.666666666664</x:v>
      </x:c>
      <x:c r="P413" s="21" t="str">
        <x:v>4 acceptance criteria; 0 TC references; implementation=yes; smoke=yes; automated=yes; Production readiness verification workflow</x:v>
      </x:c>
      <x:c r="Q413" s="21" t="str"/>
      <x:c r="R413" s="21" t="str">
        <x:v>Retain evidence and rerun the applicable gate if launch scope, infrastructure, or regulated-data posture changes.</x:v>
      </x:c>
      <x:c r="S413" s="18" t="str"/>
      <x:c r="T413" s="20"/>
      <x:c r="U413" s="21" t="str">
        <x:v>Evidence does not authorize broader production separation of duties, real CUI, FedRAMP status, or government approval.</x:v>
      </x:c>
      <x:c r="V413" s="1"/>
    </x:row>
    <x:row r="414" ht="46" customHeight="1">
      <x:c r="A414" s="17" t="n">
        <x:v>410</x:v>
      </x:c>
      <x:c r="B414" s="17" t="str">
        <x:v>Production Readiness</x:v>
      </x:c>
      <x:c r="C414" s="17" t="str">
        <x:v>PR-5.2</x:v>
      </x:c>
      <x:c r="D414" s="21" t="str">
        <x:v>Review Customer-Facing Claims</x:v>
      </x:c>
      <x:c r="E414" s="17" t="n">
        <x:v>4</x:v>
      </x:c>
      <x:c r="F414" s="21" t="str">
        <x:v>Record review result and any accepted claim risk.</x:v>
      </x:c>
      <x:c r="G414" s="17" t="str">
        <x:v>Production readiness / governance</x:v>
      </x:c>
      <x:c r="H414" s="17" t="str">
        <x:v>Planned</x:v>
      </x:c>
      <x:c r="I414" s="18" t="str">
        <x:v>Completed</x:v>
      </x:c>
      <x:c r="J414" s="17" t="str">
        <x:f>IF(OR(I414="Completed",I414="Not Applicable"),"No","Yes")</x:f>
        <x:v>No</x:v>
      </x:c>
      <x:c r="K414" s="17" t="str">
        <x:v>PR-5.2 task 3</x:v>
      </x:c>
      <x:c r="L414" s="21" t="str">
        <x:v>Production-readiness closure/evidence set records completion for the solo-controlled No-CUI pilot scope.</x:v>
      </x:c>
      <x:c r="M414" s="17" t="str">
        <x:v>Governed readiness evidence</x:v>
      </x:c>
      <x:c r="N414" s="21" t="str">
        <x:v>/Users/devups/Development/CodexProjects/Gccs/docs/production-readiness-launch-closure-evidence.md; /Users/devups/Development/CodexProjects/Gccs/docs/production-readiness-completed-story-dod-review.md</x:v>
      </x:c>
      <x:c r="O414" s="19" t="n">
        <x:v>46269.666666666664</x:v>
      </x:c>
      <x:c r="P414" s="21" t="str">
        <x:v>4 acceptance criteria; 0 TC references; implementation=yes; smoke=yes; automated=yes; Production readiness verification workflow</x:v>
      </x:c>
      <x:c r="Q414" s="21" t="str"/>
      <x:c r="R414" s="21" t="str">
        <x:v>Retain evidence and rerun the applicable gate if launch scope, infrastructure, or regulated-data posture changes.</x:v>
      </x:c>
      <x:c r="S414" s="18" t="str"/>
      <x:c r="T414" s="20"/>
      <x:c r="U414" s="21" t="str">
        <x:v>Evidence does not authorize broader production separation of duties, real CUI, FedRAMP status, or government approval.</x:v>
      </x:c>
      <x:c r="V414" s="1"/>
    </x:row>
    <x:row r="415" ht="46" customHeight="1">
      <x:c r="A415" s="17" t="n">
        <x:v>411</x:v>
      </x:c>
      <x:c r="B415" s="17" t="str">
        <x:v>Production Readiness</x:v>
      </x:c>
      <x:c r="C415" s="17" t="str">
        <x:v>PR-5.3</x:v>
      </x:c>
      <x:c r="D415" s="21" t="str">
        <x:v>Finalize Support Runbooks</x:v>
      </x:c>
      <x:c r="E415" s="17" t="n">
        <x:v>1</x:v>
      </x:c>
      <x:c r="F415" s="21" t="str">
        <x:v>Finalize runbooks for prohibited upload, suspected CUI, tenant exposure, access issue, evidence failure, report failure, content correction, security incident, backup restore, and rollback.</x:v>
      </x:c>
      <x:c r="G415" s="17" t="str">
        <x:v>Production readiness / governance</x:v>
      </x:c>
      <x:c r="H415" s="17" t="str">
        <x:v>Planned</x:v>
      </x:c>
      <x:c r="I415" s="18" t="str">
        <x:v>Completed</x:v>
      </x:c>
      <x:c r="J415" s="17" t="str">
        <x:f>IF(OR(I415="Completed",I415="Not Applicable"),"No","Yes")</x:f>
        <x:v>No</x:v>
      </x:c>
      <x:c r="K415" s="17" t="str">
        <x:v>PR-5.2</x:v>
      </x:c>
      <x:c r="L415" s="21" t="str">
        <x:v>Production-readiness closure/evidence set records completion for the solo-controlled No-CUI pilot scope.</x:v>
      </x:c>
      <x:c r="M415" s="17" t="str">
        <x:v>Governed readiness evidence</x:v>
      </x:c>
      <x:c r="N415" s="21" t="str">
        <x:v>/Users/devups/Development/CodexProjects/Gccs/docs/production-readiness-launch-closure-evidence.md; /Users/devups/Development/CodexProjects/Gccs/docs/production-readiness-completed-story-dod-review.md</x:v>
      </x:c>
      <x:c r="O415" s="19" t="n">
        <x:v>46269.666666666664</x:v>
      </x:c>
      <x:c r="P415" s="21" t="str">
        <x:v>4 acceptance criteria; 0 TC references; implementation=yes; smoke=yes; automated=yes; Production readiness verification workflow</x:v>
      </x:c>
      <x:c r="Q415" s="21" t="str"/>
      <x:c r="R415" s="21" t="str">
        <x:v>Retain evidence and rerun the applicable gate if launch scope, infrastructure, or regulated-data posture changes.</x:v>
      </x:c>
      <x:c r="S415" s="18" t="str"/>
      <x:c r="T415" s="20"/>
      <x:c r="U415" s="21" t="str">
        <x:v>Evidence does not authorize broader production separation of duties, real CUI, FedRAMP status, or government approval.</x:v>
      </x:c>
      <x:c r="V415" s="1"/>
    </x:row>
    <x:row r="416" ht="46" customHeight="1">
      <x:c r="A416" s="17" t="n">
        <x:v>412</x:v>
      </x:c>
      <x:c r="B416" s="17" t="str">
        <x:v>Production Readiness</x:v>
      </x:c>
      <x:c r="C416" s="17" t="str">
        <x:v>PR-5.3</x:v>
      </x:c>
      <x:c r="D416" s="21" t="str">
        <x:v>Finalize Support Runbooks</x:v>
      </x:c>
      <x:c r="E416" s="17" t="n">
        <x:v>2</x:v>
      </x:c>
      <x:c r="F416" s="21" t="str">
        <x:v>Define escalation owners and response expectations.</x:v>
      </x:c>
      <x:c r="G416" s="17" t="str">
        <x:v>Production readiness / governance</x:v>
      </x:c>
      <x:c r="H416" s="17" t="str">
        <x:v>Planned</x:v>
      </x:c>
      <x:c r="I416" s="18" t="str">
        <x:v>Completed</x:v>
      </x:c>
      <x:c r="J416" s="17" t="str">
        <x:f>IF(OR(I416="Completed",I416="Not Applicable"),"No","Yes")</x:f>
        <x:v>No</x:v>
      </x:c>
      <x:c r="K416" s="17" t="str">
        <x:v>PR-5.3 task 1</x:v>
      </x:c>
      <x:c r="L416" s="21" t="str">
        <x:v>Production-readiness closure/evidence set records completion for the solo-controlled No-CUI pilot scope.</x:v>
      </x:c>
      <x:c r="M416" s="17" t="str">
        <x:v>Governed readiness evidence</x:v>
      </x:c>
      <x:c r="N416" s="21" t="str">
        <x:v>/Users/devups/Development/CodexProjects/Gccs/docs/production-readiness-launch-closure-evidence.md; /Users/devups/Development/CodexProjects/Gccs/docs/production-readiness-completed-story-dod-review.md</x:v>
      </x:c>
      <x:c r="O416" s="19" t="n">
        <x:v>46269.666666666664</x:v>
      </x:c>
      <x:c r="P416" s="21" t="str">
        <x:v>4 acceptance criteria; 0 TC references; implementation=yes; smoke=yes; automated=yes; Production readiness verification workflow</x:v>
      </x:c>
      <x:c r="Q416" s="21" t="str"/>
      <x:c r="R416" s="21" t="str">
        <x:v>Retain evidence and rerun the applicable gate if launch scope, infrastructure, or regulated-data posture changes.</x:v>
      </x:c>
      <x:c r="S416" s="18" t="str"/>
      <x:c r="T416" s="20"/>
      <x:c r="U416" s="21" t="str">
        <x:v>Evidence does not authorize broader production separation of duties, real CUI, FedRAMP status, or government approval.</x:v>
      </x:c>
      <x:c r="V416" s="1"/>
    </x:row>
    <x:row r="417" ht="46" customHeight="1">
      <x:c r="A417" s="17" t="n">
        <x:v>413</x:v>
      </x:c>
      <x:c r="B417" s="17" t="str">
        <x:v>Production Readiness</x:v>
      </x:c>
      <x:c r="C417" s="17" t="str">
        <x:v>PR-5.3</x:v>
      </x:c>
      <x:c r="D417" s="21" t="str">
        <x:v>Finalize Support Runbooks</x:v>
      </x:c>
      <x:c r="E417" s="17" t="n">
        <x:v>3</x:v>
      </x:c>
      <x:c r="F417" s="21" t="str">
        <x:v>Align runbooks with No-CUI posture and known-risk log.</x:v>
      </x:c>
      <x:c r="G417" s="17" t="str">
        <x:v>Production readiness / governance</x:v>
      </x:c>
      <x:c r="H417" s="17" t="str">
        <x:v>Planned</x:v>
      </x:c>
      <x:c r="I417" s="18" t="str">
        <x:v>Completed</x:v>
      </x:c>
      <x:c r="J417" s="17" t="str">
        <x:f>IF(OR(I417="Completed",I417="Not Applicable"),"No","Yes")</x:f>
        <x:v>No</x:v>
      </x:c>
      <x:c r="K417" s="17" t="str">
        <x:v>PR-5.3 task 2</x:v>
      </x:c>
      <x:c r="L417" s="21" t="str">
        <x:v>Production-readiness closure/evidence set records completion for the solo-controlled No-CUI pilot scope.</x:v>
      </x:c>
      <x:c r="M417" s="17" t="str">
        <x:v>Governed readiness evidence</x:v>
      </x:c>
      <x:c r="N417" s="21" t="str">
        <x:v>/Users/devups/Development/CodexProjects/Gccs/docs/production-readiness-launch-closure-evidence.md; /Users/devups/Development/CodexProjects/Gccs/docs/production-readiness-completed-story-dod-review.md</x:v>
      </x:c>
      <x:c r="O417" s="19" t="n">
        <x:v>46269.666666666664</x:v>
      </x:c>
      <x:c r="P417" s="21" t="str">
        <x:v>4 acceptance criteria; 0 TC references; implementation=yes; smoke=yes; automated=yes; Production readiness verification workflow</x:v>
      </x:c>
      <x:c r="Q417" s="21" t="str"/>
      <x:c r="R417" s="21" t="str">
        <x:v>Retain evidence and rerun the applicable gate if launch scope, infrastructure, or regulated-data posture changes.</x:v>
      </x:c>
      <x:c r="S417" s="18" t="str"/>
      <x:c r="T417" s="20"/>
      <x:c r="U417" s="21" t="str">
        <x:v>Evidence does not authorize broader production separation of duties, real CUI, FedRAMP status, or government approval.</x:v>
      </x:c>
      <x:c r="V417" s="1"/>
    </x:row>
    <x:row r="418" ht="46" customHeight="1">
      <x:c r="A418" s="17" t="n">
        <x:v>414</x:v>
      </x:c>
      <x:c r="B418" s="17" t="str">
        <x:v>Production Readiness</x:v>
      </x:c>
      <x:c r="C418" s="17" t="str">
        <x:v>PR-5.3</x:v>
      </x:c>
      <x:c r="D418" s="21" t="str">
        <x:v>Finalize Support Runbooks</x:v>
      </x:c>
      <x:c r="E418" s="17" t="n">
        <x:v>4</x:v>
      </x:c>
      <x:c r="F418" s="21" t="str">
        <x:v>Add support routing details to release notes or launch package.</x:v>
      </x:c>
      <x:c r="G418" s="17" t="str">
        <x:v>Production readiness / governance</x:v>
      </x:c>
      <x:c r="H418" s="17" t="str">
        <x:v>Planned</x:v>
      </x:c>
      <x:c r="I418" s="18" t="str">
        <x:v>Completed</x:v>
      </x:c>
      <x:c r="J418" s="17" t="str">
        <x:f>IF(OR(I418="Completed",I418="Not Applicable"),"No","Yes")</x:f>
        <x:v>No</x:v>
      </x:c>
      <x:c r="K418" s="17" t="str">
        <x:v>PR-5.3 task 3</x:v>
      </x:c>
      <x:c r="L418" s="21" t="str">
        <x:v>Production-readiness closure/evidence set records completion for the solo-controlled No-CUI pilot scope.</x:v>
      </x:c>
      <x:c r="M418" s="17" t="str">
        <x:v>Governed readiness evidence</x:v>
      </x:c>
      <x:c r="N418" s="21" t="str">
        <x:v>/Users/devups/Development/CodexProjects/Gccs/docs/production-readiness-launch-closure-evidence.md; /Users/devups/Development/CodexProjects/Gccs/docs/production-readiness-completed-story-dod-review.md</x:v>
      </x:c>
      <x:c r="O418" s="19" t="n">
        <x:v>46269.666666666664</x:v>
      </x:c>
      <x:c r="P418" s="21" t="str">
        <x:v>4 acceptance criteria; 0 TC references; implementation=yes; smoke=yes; automated=yes; Production readiness verification workflow</x:v>
      </x:c>
      <x:c r="Q418" s="21" t="str"/>
      <x:c r="R418" s="21" t="str">
        <x:v>Retain evidence and rerun the applicable gate if launch scope, infrastructure, or regulated-data posture changes.</x:v>
      </x:c>
      <x:c r="S418" s="18" t="str"/>
      <x:c r="T418" s="20"/>
      <x:c r="U418" s="21" t="str">
        <x:v>Evidence does not authorize broader production separation of duties, real CUI, FedRAMP status, or government approval.</x:v>
      </x:c>
      <x:c r="V418" s="1"/>
    </x:row>
    <x:row r="419" ht="46" customHeight="1">
      <x:c r="A419" s="17" t="n">
        <x:v>415</x:v>
      </x:c>
      <x:c r="B419" s="17" t="str">
        <x:v>Production Readiness</x:v>
      </x:c>
      <x:c r="C419" s="17" t="str">
        <x:v>PR-5.4</x:v>
      </x:c>
      <x:c r="D419" s="21" t="str">
        <x:v>Prepare Pilot Onboarding, Release Notes, And Known-Risk Log</x:v>
      </x:c>
      <x:c r="E419" s="17" t="n">
        <x:v>1</x:v>
      </x:c>
      <x:c r="F419" s="21" t="str">
        <x:v>Finalize pilot onboarding materials with No-CUI limits, prohibited data examples, support paths, known limitations, and synthetic demo explanation.</x:v>
      </x:c>
      <x:c r="G419" s="17" t="str">
        <x:v>Production readiness / governance</x:v>
      </x:c>
      <x:c r="H419" s="17" t="str">
        <x:v>Planned</x:v>
      </x:c>
      <x:c r="I419" s="18" t="str">
        <x:v>Completed</x:v>
      </x:c>
      <x:c r="J419" s="17" t="str">
        <x:f>IF(OR(I419="Completed",I419="Not Applicable"),"No","Yes")</x:f>
        <x:v>No</x:v>
      </x:c>
      <x:c r="K419" s="17" t="str">
        <x:v>PR-5.3</x:v>
      </x:c>
      <x:c r="L419" s="21" t="str">
        <x:v>Production-readiness closure/evidence set records completion for the solo-controlled No-CUI pilot scope.</x:v>
      </x:c>
      <x:c r="M419" s="17" t="str">
        <x:v>Governed readiness evidence</x:v>
      </x:c>
      <x:c r="N419" s="21" t="str">
        <x:v>/Users/devups/Development/CodexProjects/Gccs/docs/production-readiness-launch-closure-evidence.md; /Users/devups/Development/CodexProjects/Gccs/docs/production-readiness-completed-story-dod-review.md</x:v>
      </x:c>
      <x:c r="O419" s="19" t="n">
        <x:v>46269.666666666664</x:v>
      </x:c>
      <x:c r="P419" s="21" t="str">
        <x:v>4 acceptance criteria; 0 TC references; implementation=yes; smoke=yes; automated=yes; Production readiness verification workflow</x:v>
      </x:c>
      <x:c r="Q419" s="21" t="str"/>
      <x:c r="R419" s="21" t="str">
        <x:v>Retain evidence and rerun the applicable gate if launch scope, infrastructure, or regulated-data posture changes.</x:v>
      </x:c>
      <x:c r="S419" s="18" t="str"/>
      <x:c r="T419" s="20"/>
      <x:c r="U419" s="21" t="str">
        <x:v>Evidence does not authorize broader production separation of duties, real CUI, FedRAMP status, or government approval.</x:v>
      </x:c>
      <x:c r="V419" s="1"/>
    </x:row>
    <x:row r="420" ht="46" customHeight="1">
      <x:c r="A420" s="17" t="n">
        <x:v>416</x:v>
      </x:c>
      <x:c r="B420" s="17" t="str">
        <x:v>Production Readiness</x:v>
      </x:c>
      <x:c r="C420" s="17" t="str">
        <x:v>PR-5.4</x:v>
      </x:c>
      <x:c r="D420" s="21" t="str">
        <x:v>Prepare Pilot Onboarding, Release Notes, And Known-Risk Log</x:v>
      </x:c>
      <x:c r="E420" s="17" t="n">
        <x:v>2</x:v>
      </x:c>
      <x:c r="F420" s="21" t="str">
        <x:v>Prepare release notes with launch posture, scope, exclusions, known risks, support paths, staging smoke results, rollback plan, and content scope.</x:v>
      </x:c>
      <x:c r="G420" s="17" t="str">
        <x:v>Production readiness / governance</x:v>
      </x:c>
      <x:c r="H420" s="17" t="str">
        <x:v>Planned</x:v>
      </x:c>
      <x:c r="I420" s="18" t="str">
        <x:v>Completed</x:v>
      </x:c>
      <x:c r="J420" s="17" t="str">
        <x:f>IF(OR(I420="Completed",I420="Not Applicable"),"No","Yes")</x:f>
        <x:v>No</x:v>
      </x:c>
      <x:c r="K420" s="17" t="str">
        <x:v>PR-5.4 task 1</x:v>
      </x:c>
      <x:c r="L420" s="21" t="str">
        <x:v>Production-readiness closure/evidence set records completion for the solo-controlled No-CUI pilot scope.</x:v>
      </x:c>
      <x:c r="M420" s="17" t="str">
        <x:v>Governed readiness evidence</x:v>
      </x:c>
      <x:c r="N420" s="21" t="str">
        <x:v>/Users/devups/Development/CodexProjects/Gccs/docs/production-readiness-launch-closure-evidence.md; /Users/devups/Development/CodexProjects/Gccs/docs/production-readiness-completed-story-dod-review.md</x:v>
      </x:c>
      <x:c r="O420" s="19" t="n">
        <x:v>46269.666666666664</x:v>
      </x:c>
      <x:c r="P420" s="21" t="str">
        <x:v>4 acceptance criteria; 0 TC references; implementation=yes; smoke=yes; automated=yes; Production readiness verification workflow</x:v>
      </x:c>
      <x:c r="Q420" s="21" t="str"/>
      <x:c r="R420" s="21" t="str">
        <x:v>Retain evidence and rerun the applicable gate if launch scope, infrastructure, or regulated-data posture changes.</x:v>
      </x:c>
      <x:c r="S420" s="18" t="str"/>
      <x:c r="T420" s="20"/>
      <x:c r="U420" s="21" t="str">
        <x:v>Evidence does not authorize broader production separation of duties, real CUI, FedRAMP status, or government approval.</x:v>
      </x:c>
      <x:c r="V420" s="1"/>
    </x:row>
    <x:row r="421" ht="46" customHeight="1">
      <x:c r="A421" s="17" t="n">
        <x:v>417</x:v>
      </x:c>
      <x:c r="B421" s="17" t="str">
        <x:v>Production Readiness</x:v>
      </x:c>
      <x:c r="C421" s="17" t="str">
        <x:v>PR-5.4</x:v>
      </x:c>
      <x:c r="D421" s="21" t="str">
        <x:v>Prepare Pilot Onboarding, Release Notes, And Known-Risk Log</x:v>
      </x:c>
      <x:c r="E421" s="17" t="n">
        <x:v>3</x:v>
      </x:c>
      <x:c r="F421" s="21" t="str">
        <x:v>Build the known-risk acceptance log.</x:v>
      </x:c>
      <x:c r="G421" s="17" t="str">
        <x:v>Production readiness / governance</x:v>
      </x:c>
      <x:c r="H421" s="17" t="str">
        <x:v>Planned</x:v>
      </x:c>
      <x:c r="I421" s="18" t="str">
        <x:v>Completed</x:v>
      </x:c>
      <x:c r="J421" s="17" t="str">
        <x:f>IF(OR(I421="Completed",I421="Not Applicable"),"No","Yes")</x:f>
        <x:v>No</x:v>
      </x:c>
      <x:c r="K421" s="17" t="str">
        <x:v>PR-5.4 task 2</x:v>
      </x:c>
      <x:c r="L421" s="21" t="str">
        <x:v>Production-readiness closure/evidence set records completion for the solo-controlled No-CUI pilot scope.</x:v>
      </x:c>
      <x:c r="M421" s="17" t="str">
        <x:v>Governed readiness evidence</x:v>
      </x:c>
      <x:c r="N421" s="21" t="str">
        <x:v>/Users/devups/Development/CodexProjects/Gccs/docs/production-readiness-launch-closure-evidence.md; /Users/devups/Development/CodexProjects/Gccs/docs/production-readiness-completed-story-dod-review.md</x:v>
      </x:c>
      <x:c r="O421" s="19" t="n">
        <x:v>46269.666666666664</x:v>
      </x:c>
      <x:c r="P421" s="21" t="str">
        <x:v>4 acceptance criteria; 0 TC references; implementation=yes; smoke=yes; automated=yes; Production readiness verification workflow</x:v>
      </x:c>
      <x:c r="Q421" s="21" t="str"/>
      <x:c r="R421" s="21" t="str">
        <x:v>Retain evidence and rerun the applicable gate if launch scope, infrastructure, or regulated-data posture changes.</x:v>
      </x:c>
      <x:c r="S421" s="18" t="str"/>
      <x:c r="T421" s="20"/>
      <x:c r="U421" s="21" t="str">
        <x:v>Evidence does not authorize broader production separation of duties, real CUI, FedRAMP status, or government approval.</x:v>
      </x:c>
      <x:c r="V421" s="1"/>
    </x:row>
    <x:row r="422" ht="46" customHeight="1">
      <x:c r="A422" s="17" t="n">
        <x:v>418</x:v>
      </x:c>
      <x:c r="B422" s="17" t="str">
        <x:v>Production Readiness</x:v>
      </x:c>
      <x:c r="C422" s="17" t="str">
        <x:v>PR-5.4</x:v>
      </x:c>
      <x:c r="D422" s="21" t="str">
        <x:v>Prepare Pilot Onboarding, Release Notes, And Known-Risk Log</x:v>
      </x:c>
      <x:c r="E422" s="17" t="n">
        <x:v>4</x:v>
      </x:c>
      <x:c r="F422" s="21" t="str">
        <x:v>Route materials for required owner review.</x:v>
      </x:c>
      <x:c r="G422" s="17" t="str">
        <x:v>Production readiness / governance</x:v>
      </x:c>
      <x:c r="H422" s="17" t="str">
        <x:v>Planned</x:v>
      </x:c>
      <x:c r="I422" s="18" t="str">
        <x:v>Completed</x:v>
      </x:c>
      <x:c r="J422" s="17" t="str">
        <x:f>IF(OR(I422="Completed",I422="Not Applicable"),"No","Yes")</x:f>
        <x:v>No</x:v>
      </x:c>
      <x:c r="K422" s="17" t="str">
        <x:v>PR-5.4 task 3</x:v>
      </x:c>
      <x:c r="L422" s="21" t="str">
        <x:v>Production-readiness closure/evidence set records completion for the solo-controlled No-CUI pilot scope.</x:v>
      </x:c>
      <x:c r="M422" s="17" t="str">
        <x:v>Governed readiness evidence</x:v>
      </x:c>
      <x:c r="N422" s="21" t="str">
        <x:v>/Users/devups/Development/CodexProjects/Gccs/docs/production-readiness-launch-closure-evidence.md; /Users/devups/Development/CodexProjects/Gccs/docs/production-readiness-completed-story-dod-review.md</x:v>
      </x:c>
      <x:c r="O422" s="19" t="n">
        <x:v>46269.666666666664</x:v>
      </x:c>
      <x:c r="P422" s="21" t="str">
        <x:v>4 acceptance criteria; 0 TC references; implementation=yes; smoke=yes; automated=yes; Production readiness verification workflow</x:v>
      </x:c>
      <x:c r="Q422" s="21" t="str"/>
      <x:c r="R422" s="21" t="str">
        <x:v>Retain evidence and rerun the applicable gate if launch scope, infrastructure, or regulated-data posture changes.</x:v>
      </x:c>
      <x:c r="S422" s="18" t="str"/>
      <x:c r="T422" s="20"/>
      <x:c r="U422" s="21" t="str">
        <x:v>Evidence does not authorize broader production separation of duties, real CUI, FedRAMP status, or government approval.</x:v>
      </x:c>
      <x:c r="V422" s="1"/>
    </x:row>
    <x:row r="423" ht="46" customHeight="1">
      <x:c r="A423" s="17" t="n">
        <x:v>419</x:v>
      </x:c>
      <x:c r="B423" s="17" t="str">
        <x:v>Production Readiness</x:v>
      </x:c>
      <x:c r="C423" s="17" t="str">
        <x:v>PR-6.1</x:v>
      </x:c>
      <x:c r="D423" s="21" t="str">
        <x:v>Collect Required Launch Approvals</x:v>
      </x:c>
      <x:c r="E423" s="17" t="n">
        <x:v>1</x:v>
      </x:c>
      <x:c r="F423" s="21" t="str">
        <x:v>Obtain product owner approval.</x:v>
      </x:c>
      <x:c r="G423" s="17" t="str">
        <x:v>Production readiness / governance</x:v>
      </x:c>
      <x:c r="H423" s="17" t="str">
        <x:v>Planned</x:v>
      </x:c>
      <x:c r="I423" s="18" t="str">
        <x:v>Completed</x:v>
      </x:c>
      <x:c r="J423" s="17" t="str">
        <x:f>IF(OR(I423="Completed",I423="Not Applicable"),"No","Yes")</x:f>
        <x:v>No</x:v>
      </x:c>
      <x:c r="K423" s="17" t="str">
        <x:v>PR-5.4</x:v>
      </x:c>
      <x:c r="L423" s="21" t="str">
        <x:v>Production-readiness closure/evidence set records completion for the solo-controlled No-CUI pilot scope.</x:v>
      </x:c>
      <x:c r="M423" s="17" t="str">
        <x:v>Governed readiness evidence</x:v>
      </x:c>
      <x:c r="N423" s="21" t="str">
        <x:v>/Users/devups/Development/CodexProjects/Gccs/docs/production-readiness-launch-closure-evidence.md; /Users/devups/Development/CodexProjects/Gccs/docs/production-readiness-completed-story-dod-review.md</x:v>
      </x:c>
      <x:c r="O423" s="19" t="n">
        <x:v>46269.666666666664</x:v>
      </x:c>
      <x:c r="P423" s="21" t="str">
        <x:v>4 acceptance criteria; 0 TC references; implementation=yes; smoke=yes; automated=yes; Production readiness verification workflow</x:v>
      </x:c>
      <x:c r="Q423" s="21" t="str"/>
      <x:c r="R423" s="21" t="str">
        <x:v>Retain evidence and rerun the applicable gate if launch scope, infrastructure, or regulated-data posture changes.</x:v>
      </x:c>
      <x:c r="S423" s="18" t="str"/>
      <x:c r="T423" s="20"/>
      <x:c r="U423" s="21" t="str">
        <x:v>Evidence does not authorize broader production separation of duties, real CUI, FedRAMP status, or government approval.</x:v>
      </x:c>
      <x:c r="V423" s="1"/>
    </x:row>
    <x:row r="424" ht="46" customHeight="1">
      <x:c r="A424" s="17" t="n">
        <x:v>420</x:v>
      </x:c>
      <x:c r="B424" s="17" t="str">
        <x:v>Production Readiness</x:v>
      </x:c>
      <x:c r="C424" s="17" t="str">
        <x:v>PR-6.1</x:v>
      </x:c>
      <x:c r="D424" s="21" t="str">
        <x:v>Collect Required Launch Approvals</x:v>
      </x:c>
      <x:c r="E424" s="17" t="n">
        <x:v>2</x:v>
      </x:c>
      <x:c r="F424" s="21" t="str">
        <x:v>Obtain engineering lead approval.</x:v>
      </x:c>
      <x:c r="G424" s="17" t="str">
        <x:v>Production readiness / governance</x:v>
      </x:c>
      <x:c r="H424" s="17" t="str">
        <x:v>Planned</x:v>
      </x:c>
      <x:c r="I424" s="18" t="str">
        <x:v>Completed</x:v>
      </x:c>
      <x:c r="J424" s="17" t="str">
        <x:f>IF(OR(I424="Completed",I424="Not Applicable"),"No","Yes")</x:f>
        <x:v>No</x:v>
      </x:c>
      <x:c r="K424" s="17" t="str">
        <x:v>PR-6.1 task 1</x:v>
      </x:c>
      <x:c r="L424" s="21" t="str">
        <x:v>Production-readiness closure/evidence set records completion for the solo-controlled No-CUI pilot scope.</x:v>
      </x:c>
      <x:c r="M424" s="17" t="str">
        <x:v>Governed readiness evidence</x:v>
      </x:c>
      <x:c r="N424" s="21" t="str">
        <x:v>/Users/devups/Development/CodexProjects/Gccs/docs/production-readiness-launch-closure-evidence.md; /Users/devups/Development/CodexProjects/Gccs/docs/production-readiness-completed-story-dod-review.md</x:v>
      </x:c>
      <x:c r="O424" s="19" t="n">
        <x:v>46269.666666666664</x:v>
      </x:c>
      <x:c r="P424" s="21" t="str">
        <x:v>4 acceptance criteria; 0 TC references; implementation=yes; smoke=yes; automated=yes; Production readiness verification workflow</x:v>
      </x:c>
      <x:c r="Q424" s="21" t="str"/>
      <x:c r="R424" s="21" t="str">
        <x:v>Retain evidence and rerun the applicable gate if launch scope, infrastructure, or regulated-data posture changes.</x:v>
      </x:c>
      <x:c r="S424" s="18" t="str"/>
      <x:c r="T424" s="20"/>
      <x:c r="U424" s="21" t="str">
        <x:v>Evidence does not authorize broader production separation of duties, real CUI, FedRAMP status, or government approval.</x:v>
      </x:c>
      <x:c r="V424" s="1"/>
    </x:row>
    <x:row r="425" ht="46" customHeight="1">
      <x:c r="A425" s="17" t="n">
        <x:v>421</x:v>
      </x:c>
      <x:c r="B425" s="17" t="str">
        <x:v>Production Readiness</x:v>
      </x:c>
      <x:c r="C425" s="17" t="str">
        <x:v>PR-6.1</x:v>
      </x:c>
      <x:c r="D425" s="21" t="str">
        <x:v>Collect Required Launch Approvals</x:v>
      </x:c>
      <x:c r="E425" s="17" t="n">
        <x:v>3</x:v>
      </x:c>
      <x:c r="F425" s="21" t="str">
        <x:v>Obtain security owner approval.</x:v>
      </x:c>
      <x:c r="G425" s="17" t="str">
        <x:v>Production readiness / governance</x:v>
      </x:c>
      <x:c r="H425" s="17" t="str">
        <x:v>Planned</x:v>
      </x:c>
      <x:c r="I425" s="18" t="str">
        <x:v>Completed</x:v>
      </x:c>
      <x:c r="J425" s="17" t="str">
        <x:f>IF(OR(I425="Completed",I425="Not Applicable"),"No","Yes")</x:f>
        <x:v>No</x:v>
      </x:c>
      <x:c r="K425" s="17" t="str">
        <x:v>PR-6.1 task 2</x:v>
      </x:c>
      <x:c r="L425" s="21" t="str">
        <x:v>Production-readiness closure/evidence set records completion for the solo-controlled No-CUI pilot scope.</x:v>
      </x:c>
      <x:c r="M425" s="17" t="str">
        <x:v>Governed readiness evidence</x:v>
      </x:c>
      <x:c r="N425" s="21" t="str">
        <x:v>/Users/devups/Development/CodexProjects/Gccs/docs/production-readiness-launch-closure-evidence.md; /Users/devups/Development/CodexProjects/Gccs/docs/production-readiness-completed-story-dod-review.md</x:v>
      </x:c>
      <x:c r="O425" s="19" t="n">
        <x:v>46269.666666666664</x:v>
      </x:c>
      <x:c r="P425" s="21" t="str">
        <x:v>4 acceptance criteria; 0 TC references; implementation=yes; smoke=yes; automated=yes; Production readiness verification workflow</x:v>
      </x:c>
      <x:c r="Q425" s="21" t="str"/>
      <x:c r="R425" s="21" t="str">
        <x:v>Retain evidence and rerun the applicable gate if launch scope, infrastructure, or regulated-data posture changes.</x:v>
      </x:c>
      <x:c r="S425" s="18" t="str"/>
      <x:c r="T425" s="20"/>
      <x:c r="U425" s="21" t="str">
        <x:v>Evidence does not authorize broader production separation of duties, real CUI, FedRAMP status, or government approval.</x:v>
      </x:c>
      <x:c r="V425" s="1"/>
    </x:row>
    <x:row r="426" ht="46" customHeight="1">
      <x:c r="A426" s="17" t="n">
        <x:v>422</x:v>
      </x:c>
      <x:c r="B426" s="17" t="str">
        <x:v>Production Readiness</x:v>
      </x:c>
      <x:c r="C426" s="17" t="str">
        <x:v>PR-6.1</x:v>
      </x:c>
      <x:c r="D426" s="21" t="str">
        <x:v>Collect Required Launch Approvals</x:v>
      </x:c>
      <x:c r="E426" s="17" t="n">
        <x:v>4</x:v>
      </x:c>
      <x:c r="F426" s="21" t="str">
        <x:v>Obtain compliance content owner approval.</x:v>
      </x:c>
      <x:c r="G426" s="17" t="str">
        <x:v>Production readiness / governance</x:v>
      </x:c>
      <x:c r="H426" s="17" t="str">
        <x:v>Planned</x:v>
      </x:c>
      <x:c r="I426" s="18" t="str">
        <x:v>Completed</x:v>
      </x:c>
      <x:c r="J426" s="17" t="str">
        <x:f>IF(OR(I426="Completed",I426="Not Applicable"),"No","Yes")</x:f>
        <x:v>No</x:v>
      </x:c>
      <x:c r="K426" s="17" t="str">
        <x:v>PR-6.1 task 3</x:v>
      </x:c>
      <x:c r="L426" s="21" t="str">
        <x:v>Production-readiness closure/evidence set records completion for the solo-controlled No-CUI pilot scope.</x:v>
      </x:c>
      <x:c r="M426" s="17" t="str">
        <x:v>Governed readiness evidence</x:v>
      </x:c>
      <x:c r="N426" s="21" t="str">
        <x:v>/Users/devups/Development/CodexProjects/Gccs/docs/production-readiness-launch-closure-evidence.md; /Users/devups/Development/CodexProjects/Gccs/docs/production-readiness-completed-story-dod-review.md</x:v>
      </x:c>
      <x:c r="O426" s="19" t="n">
        <x:v>46269.666666666664</x:v>
      </x:c>
      <x:c r="P426" s="21" t="str">
        <x:v>4 acceptance criteria; 0 TC references; implementation=yes; smoke=yes; automated=yes; Production readiness verification workflow</x:v>
      </x:c>
      <x:c r="Q426" s="21" t="str"/>
      <x:c r="R426" s="21" t="str">
        <x:v>Retain evidence and rerun the applicable gate if launch scope, infrastructure, or regulated-data posture changes.</x:v>
      </x:c>
      <x:c r="S426" s="18" t="str"/>
      <x:c r="T426" s="20"/>
      <x:c r="U426" s="21" t="str">
        <x:v>Evidence does not authorize broader production separation of duties, real CUI, FedRAMP status, or government approval.</x:v>
      </x:c>
      <x:c r="V426" s="1"/>
    </x:row>
    <x:row r="427" ht="46" customHeight="1">
      <x:c r="A427" s="17" t="n">
        <x:v>423</x:v>
      </x:c>
      <x:c r="B427" s="17" t="str">
        <x:v>Production Readiness</x:v>
      </x:c>
      <x:c r="C427" s="17" t="str">
        <x:v>PR-6.1</x:v>
      </x:c>
      <x:c r="D427" s="21" t="str">
        <x:v>Collect Required Launch Approvals</x:v>
      </x:c>
      <x:c r="E427" s="17" t="n">
        <x:v>5</x:v>
      </x:c>
      <x:c r="F427" s="21" t="str">
        <x:v>Obtain customer success/support owner approval.</x:v>
      </x:c>
      <x:c r="G427" s="17" t="str">
        <x:v>Production readiness / governance</x:v>
      </x:c>
      <x:c r="H427" s="17" t="str">
        <x:v>Planned</x:v>
      </x:c>
      <x:c r="I427" s="18" t="str">
        <x:v>Completed</x:v>
      </x:c>
      <x:c r="J427" s="17" t="str">
        <x:f>IF(OR(I427="Completed",I427="Not Applicable"),"No","Yes")</x:f>
        <x:v>No</x:v>
      </x:c>
      <x:c r="K427" s="17" t="str">
        <x:v>PR-6.1 task 4</x:v>
      </x:c>
      <x:c r="L427" s="21" t="str">
        <x:v>Production-readiness closure/evidence set records completion for the solo-controlled No-CUI pilot scope.</x:v>
      </x:c>
      <x:c r="M427" s="17" t="str">
        <x:v>Governed readiness evidence</x:v>
      </x:c>
      <x:c r="N427" s="21" t="str">
        <x:v>/Users/devups/Development/CodexProjects/Gccs/docs/production-readiness-launch-closure-evidence.md; /Users/devups/Development/CodexProjects/Gccs/docs/production-readiness-completed-story-dod-review.md</x:v>
      </x:c>
      <x:c r="O427" s="19" t="n">
        <x:v>46269.666666666664</x:v>
      </x:c>
      <x:c r="P427" s="21" t="str">
        <x:v>4 acceptance criteria; 0 TC references; implementation=yes; smoke=yes; automated=yes; Production readiness verification workflow</x:v>
      </x:c>
      <x:c r="Q427" s="21" t="str"/>
      <x:c r="R427" s="21" t="str">
        <x:v>Retain evidence and rerun the applicable gate if launch scope, infrastructure, or regulated-data posture changes.</x:v>
      </x:c>
      <x:c r="S427" s="18" t="str"/>
      <x:c r="T427" s="20"/>
      <x:c r="U427" s="21" t="str">
        <x:v>Evidence does not authorize broader production separation of duties, real CUI, FedRAMP status, or government approval.</x:v>
      </x:c>
      <x:c r="V427" s="1"/>
    </x:row>
    <x:row r="428" ht="46" customHeight="1">
      <x:c r="A428" s="17" t="n">
        <x:v>424</x:v>
      </x:c>
      <x:c r="B428" s="17" t="str">
        <x:v>Production Readiness</x:v>
      </x:c>
      <x:c r="C428" s="17" t="str">
        <x:v>PR-6.1</x:v>
      </x:c>
      <x:c r="D428" s="21" t="str">
        <x:v>Collect Required Launch Approvals</x:v>
      </x:c>
      <x:c r="E428" s="17" t="n">
        <x:v>6</x:v>
      </x:c>
      <x:c r="F428" s="21" t="str">
        <x:v>Obtain legal or contracting advisor approval for customer-facing compliance claims.</x:v>
      </x:c>
      <x:c r="G428" s="17" t="str">
        <x:v>Production readiness / governance</x:v>
      </x:c>
      <x:c r="H428" s="17" t="str">
        <x:v>Planned</x:v>
      </x:c>
      <x:c r="I428" s="18" t="str">
        <x:v>Completed</x:v>
      </x:c>
      <x:c r="J428" s="17" t="str">
        <x:f>IF(OR(I428="Completed",I428="Not Applicable"),"No","Yes")</x:f>
        <x:v>No</x:v>
      </x:c>
      <x:c r="K428" s="17" t="str">
        <x:v>PR-6.1 task 5</x:v>
      </x:c>
      <x:c r="L428" s="21" t="str">
        <x:v>Production-readiness closure/evidence set records completion for the solo-controlled No-CUI pilot scope.</x:v>
      </x:c>
      <x:c r="M428" s="17" t="str">
        <x:v>Governed readiness evidence</x:v>
      </x:c>
      <x:c r="N428" s="21" t="str">
        <x:v>/Users/devups/Development/CodexProjects/Gccs/docs/production-readiness-launch-closure-evidence.md; /Users/devups/Development/CodexProjects/Gccs/docs/production-readiness-completed-story-dod-review.md</x:v>
      </x:c>
      <x:c r="O428" s="19" t="n">
        <x:v>46269.666666666664</x:v>
      </x:c>
      <x:c r="P428" s="21" t="str">
        <x:v>4 acceptance criteria; 0 TC references; implementation=yes; smoke=yes; automated=yes; Production readiness verification workflow</x:v>
      </x:c>
      <x:c r="Q428" s="21" t="str"/>
      <x:c r="R428" s="21" t="str">
        <x:v>Retain evidence and rerun the applicable gate if launch scope, infrastructure, or regulated-data posture changes.</x:v>
      </x:c>
      <x:c r="S428" s="18" t="str"/>
      <x:c r="T428" s="20"/>
      <x:c r="U428" s="21" t="str">
        <x:v>Evidence does not authorize broader production separation of duties, real CUI, FedRAMP status, or government approval.</x:v>
      </x:c>
      <x:c r="V428" s="1"/>
    </x:row>
    <x:row r="429" ht="46" customHeight="1">
      <x:c r="A429" s="17" t="n">
        <x:v>425</x:v>
      </x:c>
      <x:c r="B429" s="17" t="str">
        <x:v>Production Readiness</x:v>
      </x:c>
      <x:c r="C429" s="17" t="str">
        <x:v>PR-6.1</x:v>
      </x:c>
      <x:c r="D429" s="21" t="str">
        <x:v>Collect Required Launch Approvals</x:v>
      </x:c>
      <x:c r="E429" s="17" t="n">
        <x:v>7</x:v>
      </x:c>
      <x:c r="F429" s="21" t="str">
        <x:v>Record approval date, approver, scope, limitations, and unresolved exceptions.</x:v>
      </x:c>
      <x:c r="G429" s="17" t="str">
        <x:v>Production readiness / governance</x:v>
      </x:c>
      <x:c r="H429" s="17" t="str">
        <x:v>Planned</x:v>
      </x:c>
      <x:c r="I429" s="18" t="str">
        <x:v>Completed</x:v>
      </x:c>
      <x:c r="J429" s="17" t="str">
        <x:f>IF(OR(I429="Completed",I429="Not Applicable"),"No","Yes")</x:f>
        <x:v>No</x:v>
      </x:c>
      <x:c r="K429" s="17" t="str">
        <x:v>PR-6.1 task 6</x:v>
      </x:c>
      <x:c r="L429" s="21" t="str">
        <x:v>Production-readiness closure/evidence set records completion for the solo-controlled No-CUI pilot scope.</x:v>
      </x:c>
      <x:c r="M429" s="17" t="str">
        <x:v>Governed readiness evidence</x:v>
      </x:c>
      <x:c r="N429" s="21" t="str">
        <x:v>/Users/devups/Development/CodexProjects/Gccs/docs/production-readiness-launch-closure-evidence.md; /Users/devups/Development/CodexProjects/Gccs/docs/production-readiness-completed-story-dod-review.md</x:v>
      </x:c>
      <x:c r="O429" s="19" t="n">
        <x:v>46269.666666666664</x:v>
      </x:c>
      <x:c r="P429" s="21" t="str">
        <x:v>4 acceptance criteria; 0 TC references; implementation=yes; smoke=yes; automated=yes; Production readiness verification workflow</x:v>
      </x:c>
      <x:c r="Q429" s="21" t="str"/>
      <x:c r="R429" s="21" t="str">
        <x:v>Retain evidence and rerun the applicable gate if launch scope, infrastructure, or regulated-data posture changes.</x:v>
      </x:c>
      <x:c r="S429" s="18" t="str"/>
      <x:c r="T429" s="20"/>
      <x:c r="U429" s="21" t="str">
        <x:v>Evidence does not authorize broader production separation of duties, real CUI, FedRAMP status, or government approval.</x:v>
      </x:c>
      <x:c r="V429" s="1"/>
    </x:row>
    <x:row r="430" ht="46" customHeight="1">
      <x:c r="A430" s="17" t="n">
        <x:v>426</x:v>
      </x:c>
      <x:c r="B430" s="17" t="str">
        <x:v>Production Readiness</x:v>
      </x:c>
      <x:c r="C430" s="17" t="str">
        <x:v>PR-6.2</x:v>
      </x:c>
      <x:c r="D430" s="21" t="str">
        <x:v>Tag Launch Candidate With Evidence Links</x:v>
      </x:c>
      <x:c r="E430" s="17" t="n">
        <x:v>1</x:v>
      </x:c>
      <x:c r="F430" s="21" t="str">
        <x:v>Verify launch package completeness.</x:v>
      </x:c>
      <x:c r="G430" s="17" t="str">
        <x:v>Production readiness / governance</x:v>
      </x:c>
      <x:c r="H430" s="17" t="str">
        <x:v>Planned</x:v>
      </x:c>
      <x:c r="I430" s="18" t="str">
        <x:v>Completed</x:v>
      </x:c>
      <x:c r="J430" s="17" t="str">
        <x:f>IF(OR(I430="Completed",I430="Not Applicable"),"No","Yes")</x:f>
        <x:v>No</x:v>
      </x:c>
      <x:c r="K430" s="17" t="str">
        <x:v>PR-6.1</x:v>
      </x:c>
      <x:c r="L430" s="21" t="str">
        <x:v>Production-readiness closure/evidence set records completion for the solo-controlled No-CUI pilot scope.</x:v>
      </x:c>
      <x:c r="M430" s="17" t="str">
        <x:v>Governed readiness evidence</x:v>
      </x:c>
      <x:c r="N430" s="21" t="str">
        <x:v>/Users/devups/Development/CodexProjects/Gccs/docs/production-readiness-launch-closure-evidence.md; /Users/devups/Development/CodexProjects/Gccs/docs/production-readiness-completed-story-dod-review.md</x:v>
      </x:c>
      <x:c r="O430" s="19" t="n">
        <x:v>46269.666666666664</x:v>
      </x:c>
      <x:c r="P430" s="21" t="str">
        <x:v>4 acceptance criteria; 0 TC references; implementation=yes; smoke=yes; automated=yes; Production readiness verification workflow</x:v>
      </x:c>
      <x:c r="Q430" s="21" t="str"/>
      <x:c r="R430" s="21" t="str">
        <x:v>Retain evidence and rerun the applicable gate if launch scope, infrastructure, or regulated-data posture changes.</x:v>
      </x:c>
      <x:c r="S430" s="18" t="str"/>
      <x:c r="T430" s="20"/>
      <x:c r="U430" s="21" t="str">
        <x:v>Evidence does not authorize broader production separation of duties, real CUI, FedRAMP status, or government approval.</x:v>
      </x:c>
      <x:c r="V430" s="1"/>
    </x:row>
    <x:row r="431" ht="46" customHeight="1">
      <x:c r="A431" s="17" t="n">
        <x:v>427</x:v>
      </x:c>
      <x:c r="B431" s="17" t="str">
        <x:v>Production Readiness</x:v>
      </x:c>
      <x:c r="C431" s="17" t="str">
        <x:v>PR-6.2</x:v>
      </x:c>
      <x:c r="D431" s="21" t="str">
        <x:v>Tag Launch Candidate With Evidence Links</x:v>
      </x:c>
      <x:c r="E431" s="17" t="n">
        <x:v>2</x:v>
      </x:c>
      <x:c r="F431" s="21" t="str">
        <x:v>Verify release notes, known limitations, support paths, staging evidence, rollback plan, and content scope are linked or attached.</x:v>
      </x:c>
      <x:c r="G431" s="17" t="str">
        <x:v>Production readiness / governance</x:v>
      </x:c>
      <x:c r="H431" s="17" t="str">
        <x:v>Planned</x:v>
      </x:c>
      <x:c r="I431" s="18" t="str">
        <x:v>Completed</x:v>
      </x:c>
      <x:c r="J431" s="17" t="str">
        <x:f>IF(OR(I431="Completed",I431="Not Applicable"),"No","Yes")</x:f>
        <x:v>No</x:v>
      </x:c>
      <x:c r="K431" s="17" t="str">
        <x:v>PR-6.2 task 1</x:v>
      </x:c>
      <x:c r="L431" s="21" t="str">
        <x:v>Production-readiness closure/evidence set records completion for the solo-controlled No-CUI pilot scope.</x:v>
      </x:c>
      <x:c r="M431" s="17" t="str">
        <x:v>Governed readiness evidence</x:v>
      </x:c>
      <x:c r="N431" s="21" t="str">
        <x:v>/Users/devups/Development/CodexProjects/Gccs/docs/production-readiness-launch-closure-evidence.md; /Users/devups/Development/CodexProjects/Gccs/docs/production-readiness-completed-story-dod-review.md</x:v>
      </x:c>
      <x:c r="O431" s="19" t="n">
        <x:v>46269.666666666664</x:v>
      </x:c>
      <x:c r="P431" s="21" t="str">
        <x:v>4 acceptance criteria; 0 TC references; implementation=yes; smoke=yes; automated=yes; Production readiness verification workflow</x:v>
      </x:c>
      <x:c r="Q431" s="21" t="str"/>
      <x:c r="R431" s="21" t="str">
        <x:v>Retain evidence and rerun the applicable gate if launch scope, infrastructure, or regulated-data posture changes.</x:v>
      </x:c>
      <x:c r="S431" s="18" t="str"/>
      <x:c r="T431" s="20"/>
      <x:c r="U431" s="21" t="str">
        <x:v>Evidence does not authorize broader production separation of duties, real CUI, FedRAMP status, or government approval.</x:v>
      </x:c>
      <x:c r="V431" s="1"/>
    </x:row>
    <x:row r="432" ht="46" customHeight="1">
      <x:c r="A432" s="17" t="n">
        <x:v>428</x:v>
      </x:c>
      <x:c r="B432" s="17" t="str">
        <x:v>Production Readiness</x:v>
      </x:c>
      <x:c r="C432" s="17" t="str">
        <x:v>PR-6.2</x:v>
      </x:c>
      <x:c r="D432" s="21" t="str">
        <x:v>Tag Launch Candidate With Evidence Links</x:v>
      </x:c>
      <x:c r="E432" s="17" t="n">
        <x:v>3</x:v>
      </x:c>
      <x:c r="F432" s="21" t="str">
        <x:v>Create the launch candidate tag through the approved release process.</x:v>
      </x:c>
      <x:c r="G432" s="17" t="str">
        <x:v>Production readiness / governance</x:v>
      </x:c>
      <x:c r="H432" s="17" t="str">
        <x:v>Planned</x:v>
      </x:c>
      <x:c r="I432" s="18" t="str">
        <x:v>Completed</x:v>
      </x:c>
      <x:c r="J432" s="17" t="str">
        <x:f>IF(OR(I432="Completed",I432="Not Applicable"),"No","Yes")</x:f>
        <x:v>No</x:v>
      </x:c>
      <x:c r="K432" s="17" t="str">
        <x:v>PR-6.2 task 2</x:v>
      </x:c>
      <x:c r="L432" s="21" t="str">
        <x:v>Production-readiness closure/evidence set records completion for the solo-controlled No-CUI pilot scope.</x:v>
      </x:c>
      <x:c r="M432" s="17" t="str">
        <x:v>Governed readiness evidence</x:v>
      </x:c>
      <x:c r="N432" s="21" t="str">
        <x:v>/Users/devups/Development/CodexProjects/Gccs/docs/production-readiness-launch-closure-evidence.md; /Users/devups/Development/CodexProjects/Gccs/docs/production-readiness-completed-story-dod-review.md</x:v>
      </x:c>
      <x:c r="O432" s="19" t="n">
        <x:v>46269.666666666664</x:v>
      </x:c>
      <x:c r="P432" s="21" t="str">
        <x:v>4 acceptance criteria; 0 TC references; implementation=yes; smoke=yes; automated=yes; Production readiness verification workflow</x:v>
      </x:c>
      <x:c r="Q432" s="21" t="str"/>
      <x:c r="R432" s="21" t="str">
        <x:v>Retain evidence and rerun the applicable gate if launch scope, infrastructure, or regulated-data posture changes.</x:v>
      </x:c>
      <x:c r="S432" s="18" t="str"/>
      <x:c r="T432" s="20"/>
      <x:c r="U432" s="21" t="str">
        <x:v>Evidence does not authorize broader production separation of duties, real CUI, FedRAMP status, or government approval.</x:v>
      </x:c>
      <x:c r="V432" s="1"/>
    </x:row>
    <x:row r="433" ht="46" customHeight="1">
      <x:c r="A433" s="17" t="n">
        <x:v>429</x:v>
      </x:c>
      <x:c r="B433" s="17" t="str">
        <x:v>Production Readiness</x:v>
      </x:c>
      <x:c r="C433" s="17" t="str">
        <x:v>PR-6.2</x:v>
      </x:c>
      <x:c r="D433" s="21" t="str">
        <x:v>Tag Launch Candidate With Evidence Links</x:v>
      </x:c>
      <x:c r="E433" s="17" t="n">
        <x:v>4</x:v>
      </x:c>
      <x:c r="F433" s="21" t="str">
        <x:v>Record tag, commit, build artifact, deployment artifact, and evidence package location.</x:v>
      </x:c>
      <x:c r="G433" s="17" t="str">
        <x:v>Production readiness / governance</x:v>
      </x:c>
      <x:c r="H433" s="17" t="str">
        <x:v>Planned</x:v>
      </x:c>
      <x:c r="I433" s="18" t="str">
        <x:v>Completed</x:v>
      </x:c>
      <x:c r="J433" s="17" t="str">
        <x:f>IF(OR(I433="Completed",I433="Not Applicable"),"No","Yes")</x:f>
        <x:v>No</x:v>
      </x:c>
      <x:c r="K433" s="17" t="str">
        <x:v>PR-6.2 task 3</x:v>
      </x:c>
      <x:c r="L433" s="21" t="str">
        <x:v>Production-readiness closure/evidence set records completion for the solo-controlled No-CUI pilot scope.</x:v>
      </x:c>
      <x:c r="M433" s="17" t="str">
        <x:v>Governed readiness evidence</x:v>
      </x:c>
      <x:c r="N433" s="21" t="str">
        <x:v>/Users/devups/Development/CodexProjects/Gccs/docs/production-readiness-launch-closure-evidence.md; /Users/devups/Development/CodexProjects/Gccs/docs/production-readiness-completed-story-dod-review.md</x:v>
      </x:c>
      <x:c r="O433" s="19" t="n">
        <x:v>46269.666666666664</x:v>
      </x:c>
      <x:c r="P433" s="21" t="str">
        <x:v>4 acceptance criteria; 0 TC references; implementation=yes; smoke=yes; automated=yes; Production readiness verification workflow</x:v>
      </x:c>
      <x:c r="Q433" s="21" t="str"/>
      <x:c r="R433" s="21" t="str">
        <x:v>Retain evidence and rerun the applicable gate if launch scope, infrastructure, or regulated-data posture changes.</x:v>
      </x:c>
      <x:c r="S433" s="18" t="str"/>
      <x:c r="T433" s="20"/>
      <x:c r="U433" s="21" t="str">
        <x:v>Evidence does not authorize broader production separation of duties, real CUI, FedRAMP status, or government approval.</x:v>
      </x:c>
      <x:c r="V433" s="1"/>
    </x:row>
    <x:row r="434" ht="46" customHeight="1">
      <x:c r="A434" s="17" t="n">
        <x:v>430</x:v>
      </x:c>
      <x:c r="B434" s="17" t="str">
        <x:v>Production Readiness</x:v>
      </x:c>
      <x:c r="C434" s="17" t="str">
        <x:v>PR-7.1</x:v>
      </x:c>
      <x:c r="D434" s="21" t="str">
        <x:v>Deploy Production Through Approved CI/CD</x:v>
      </x:c>
      <x:c r="E434" s="17" t="n">
        <x:v>1</x:v>
      </x:c>
      <x:c r="F434" s="21" t="str">
        <x:v>Deploy the approved launch candidate to production through CI/CD.</x:v>
      </x:c>
      <x:c r="G434" s="17" t="str">
        <x:v>Production readiness / governance</x:v>
      </x:c>
      <x:c r="H434" s="17" t="str">
        <x:v>Planned</x:v>
      </x:c>
      <x:c r="I434" s="18" t="str">
        <x:v>Completed</x:v>
      </x:c>
      <x:c r="J434" s="17" t="str">
        <x:f>IF(OR(I434="Completed",I434="Not Applicable"),"No","Yes")</x:f>
        <x:v>No</x:v>
      </x:c>
      <x:c r="K434" s="17" t="str">
        <x:v>PR-6.2</x:v>
      </x:c>
      <x:c r="L434" s="21" t="str">
        <x:v>Production-readiness closure/evidence set records completion for the solo-controlled No-CUI pilot scope.</x:v>
      </x:c>
      <x:c r="M434" s="17" t="str">
        <x:v>Governed readiness evidence</x:v>
      </x:c>
      <x:c r="N434" s="21" t="str">
        <x:v>/Users/devups/Development/CodexProjects/Gccs/docs/production-readiness-launch-closure-evidence.md; /Users/devups/Development/CodexProjects/Gccs/docs/production-readiness-completed-story-dod-review.md</x:v>
      </x:c>
      <x:c r="O434" s="19" t="n">
        <x:v>46269.666666666664</x:v>
      </x:c>
      <x:c r="P434" s="21" t="str">
        <x:v>4 acceptance criteria; 0 TC references; implementation=yes; smoke=yes; automated=yes; Production readiness verification workflow</x:v>
      </x:c>
      <x:c r="Q434" s="21" t="str"/>
      <x:c r="R434" s="21" t="str">
        <x:v>Retain evidence and rerun the applicable gate if launch scope, infrastructure, or regulated-data posture changes.</x:v>
      </x:c>
      <x:c r="S434" s="18" t="str"/>
      <x:c r="T434" s="20"/>
      <x:c r="U434" s="21" t="str">
        <x:v>Evidence does not authorize broader production separation of duties, real CUI, FedRAMP status, or government approval.</x:v>
      </x:c>
      <x:c r="V434" s="1"/>
    </x:row>
    <x:row r="435" ht="46" customHeight="1">
      <x:c r="A435" s="17" t="n">
        <x:v>431</x:v>
      </x:c>
      <x:c r="B435" s="17" t="str">
        <x:v>Production Readiness</x:v>
      </x:c>
      <x:c r="C435" s="17" t="str">
        <x:v>PR-7.1</x:v>
      </x:c>
      <x:c r="D435" s="21" t="str">
        <x:v>Deploy Production Through Approved CI/CD</x:v>
      </x:c>
      <x:c r="E435" s="17" t="n">
        <x:v>2</x:v>
      </x:c>
      <x:c r="F435" s="21" t="str">
        <x:v>Verify environment configuration, secrets source, migrations, storage, cache, background jobs, health checks, logs, and alerts.</x:v>
      </x:c>
      <x:c r="G435" s="17" t="str">
        <x:v>Production readiness / governance</x:v>
      </x:c>
      <x:c r="H435" s="17" t="str">
        <x:v>Planned</x:v>
      </x:c>
      <x:c r="I435" s="18" t="str">
        <x:v>Completed</x:v>
      </x:c>
      <x:c r="J435" s="17" t="str">
        <x:f>IF(OR(I435="Completed",I435="Not Applicable"),"No","Yes")</x:f>
        <x:v>No</x:v>
      </x:c>
      <x:c r="K435" s="17" t="str">
        <x:v>PR-7.1 task 1</x:v>
      </x:c>
      <x:c r="L435" s="21" t="str">
        <x:v>Production-readiness closure/evidence set records completion for the solo-controlled No-CUI pilot scope.</x:v>
      </x:c>
      <x:c r="M435" s="17" t="str">
        <x:v>Governed readiness evidence</x:v>
      </x:c>
      <x:c r="N435" s="21" t="str">
        <x:v>/Users/devups/Development/CodexProjects/Gccs/docs/production-readiness-launch-closure-evidence.md; /Users/devups/Development/CodexProjects/Gccs/docs/production-readiness-completed-story-dod-review.md</x:v>
      </x:c>
      <x:c r="O435" s="19" t="n">
        <x:v>46269.666666666664</x:v>
      </x:c>
      <x:c r="P435" s="21" t="str">
        <x:v>4 acceptance criteria; 0 TC references; implementation=yes; smoke=yes; automated=yes; Production readiness verification workflow</x:v>
      </x:c>
      <x:c r="Q435" s="21" t="str"/>
      <x:c r="R435" s="21" t="str">
        <x:v>Retain evidence and rerun the applicable gate if launch scope, infrastructure, or regulated-data posture changes.</x:v>
      </x:c>
      <x:c r="S435" s="18" t="str"/>
      <x:c r="T435" s="20"/>
      <x:c r="U435" s="21" t="str">
        <x:v>Evidence does not authorize broader production separation of duties, real CUI, FedRAMP status, or government approval.</x:v>
      </x:c>
      <x:c r="V435" s="1"/>
    </x:row>
    <x:row r="436" ht="46" customHeight="1">
      <x:c r="A436" s="17" t="n">
        <x:v>432</x:v>
      </x:c>
      <x:c r="B436" s="17" t="str">
        <x:v>Production Readiness</x:v>
      </x:c>
      <x:c r="C436" s="17" t="str">
        <x:v>PR-7.1</x:v>
      </x:c>
      <x:c r="D436" s="21" t="str">
        <x:v>Deploy Production Through Approved CI/CD</x:v>
      </x:c>
      <x:c r="E436" s="17" t="n">
        <x:v>3</x:v>
      </x:c>
      <x:c r="F436" s="21" t="str">
        <x:v>Confirm production data posture remains No-CUI / compliance management only.</x:v>
      </x:c>
      <x:c r="G436" s="17" t="str">
        <x:v>Production readiness / governance</x:v>
      </x:c>
      <x:c r="H436" s="17" t="str">
        <x:v>Planned</x:v>
      </x:c>
      <x:c r="I436" s="18" t="str">
        <x:v>Completed</x:v>
      </x:c>
      <x:c r="J436" s="17" t="str">
        <x:f>IF(OR(I436="Completed",I436="Not Applicable"),"No","Yes")</x:f>
        <x:v>No</x:v>
      </x:c>
      <x:c r="K436" s="17" t="str">
        <x:v>PR-7.1 task 2</x:v>
      </x:c>
      <x:c r="L436" s="21" t="str">
        <x:v>Production-readiness closure/evidence set records completion for the solo-controlled No-CUI pilot scope.</x:v>
      </x:c>
      <x:c r="M436" s="17" t="str">
        <x:v>Governed readiness evidence</x:v>
      </x:c>
      <x:c r="N436" s="21" t="str">
        <x:v>/Users/devups/Development/CodexProjects/Gccs/docs/production-readiness-launch-closure-evidence.md; /Users/devups/Development/CodexProjects/Gccs/docs/production-readiness-completed-story-dod-review.md</x:v>
      </x:c>
      <x:c r="O436" s="19" t="n">
        <x:v>46269.666666666664</x:v>
      </x:c>
      <x:c r="P436" s="21" t="str">
        <x:v>4 acceptance criteria; 0 TC references; implementation=yes; smoke=yes; automated=yes; Production readiness verification workflow</x:v>
      </x:c>
      <x:c r="Q436" s="21" t="str"/>
      <x:c r="R436" s="21" t="str">
        <x:v>Retain evidence and rerun the applicable gate if launch scope, infrastructure, or regulated-data posture changes.</x:v>
      </x:c>
      <x:c r="S436" s="18" t="str"/>
      <x:c r="T436" s="20"/>
      <x:c r="U436" s="21" t="str">
        <x:v>Evidence does not authorize broader production separation of duties, real CUI, FedRAMP status, or government approval.</x:v>
      </x:c>
      <x:c r="V436" s="1"/>
    </x:row>
    <x:row r="437" ht="46" customHeight="1">
      <x:c r="A437" s="17" t="n">
        <x:v>433</x:v>
      </x:c>
      <x:c r="B437" s="17" t="str">
        <x:v>Production Readiness</x:v>
      </x:c>
      <x:c r="C437" s="17" t="str">
        <x:v>PR-7.1</x:v>
      </x:c>
      <x:c r="D437" s="21" t="str">
        <x:v>Deploy Production Through Approved CI/CD</x:v>
      </x:c>
      <x:c r="E437" s="17" t="n">
        <x:v>4</x:v>
      </x:c>
      <x:c r="F437" s="21" t="str">
        <x:v>Record deployment time, artifact, operator, environment, and result.</x:v>
      </x:c>
      <x:c r="G437" s="17" t="str">
        <x:v>Production readiness / governance</x:v>
      </x:c>
      <x:c r="H437" s="17" t="str">
        <x:v>Planned</x:v>
      </x:c>
      <x:c r="I437" s="18" t="str">
        <x:v>Completed</x:v>
      </x:c>
      <x:c r="J437" s="17" t="str">
        <x:f>IF(OR(I437="Completed",I437="Not Applicable"),"No","Yes")</x:f>
        <x:v>No</x:v>
      </x:c>
      <x:c r="K437" s="17" t="str">
        <x:v>PR-7.1 task 3</x:v>
      </x:c>
      <x:c r="L437" s="21" t="str">
        <x:v>Production-readiness closure/evidence set records completion for the solo-controlled No-CUI pilot scope.</x:v>
      </x:c>
      <x:c r="M437" s="17" t="str">
        <x:v>Governed readiness evidence</x:v>
      </x:c>
      <x:c r="N437" s="21" t="str">
        <x:v>/Users/devups/Development/CodexProjects/Gccs/docs/production-readiness-launch-closure-evidence.md; /Users/devups/Development/CodexProjects/Gccs/docs/production-readiness-completed-story-dod-review.md</x:v>
      </x:c>
      <x:c r="O437" s="19" t="n">
        <x:v>46269.666666666664</x:v>
      </x:c>
      <x:c r="P437" s="21" t="str">
        <x:v>4 acceptance criteria; 0 TC references; implementation=yes; smoke=yes; automated=yes; Production readiness verification workflow</x:v>
      </x:c>
      <x:c r="Q437" s="21" t="str"/>
      <x:c r="R437" s="21" t="str">
        <x:v>Retain evidence and rerun the applicable gate if launch scope, infrastructure, or regulated-data posture changes.</x:v>
      </x:c>
      <x:c r="S437" s="18" t="str"/>
      <x:c r="T437" s="20"/>
      <x:c r="U437" s="21" t="str">
        <x:v>Evidence does not authorize broader production separation of duties, real CUI, FedRAMP status, or government approval.</x:v>
      </x:c>
      <x:c r="V437" s="1"/>
    </x:row>
    <x:row r="438" ht="46" customHeight="1">
      <x:c r="A438" s="17" t="n">
        <x:v>434</x:v>
      </x:c>
      <x:c r="B438" s="17" t="str">
        <x:v>Production Readiness</x:v>
      </x:c>
      <x:c r="C438" s="17" t="str">
        <x:v>PR-7.2</x:v>
      </x:c>
      <x:c r="D438" s="21" t="str">
        <x:v>Run Production Smoke Tests</x:v>
      </x:c>
      <x:c r="E438" s="17" t="n">
        <x:v>1</x:v>
      </x:c>
      <x:c r="F438" s="21" t="str">
        <x:v>Verify login, tenant access, RBAC denial, upload warning and blocking behavior, evidence upload, report generation, audit logging, logs, alerts, and health checks.</x:v>
      </x:c>
      <x:c r="G438" s="17" t="str">
        <x:v>Production readiness / governance</x:v>
      </x:c>
      <x:c r="H438" s="17" t="str">
        <x:v>Planned</x:v>
      </x:c>
      <x:c r="I438" s="18" t="str">
        <x:v>Completed</x:v>
      </x:c>
      <x:c r="J438" s="17" t="str">
        <x:f>IF(OR(I438="Completed",I438="Not Applicable"),"No","Yes")</x:f>
        <x:v>No</x:v>
      </x:c>
      <x:c r="K438" s="17" t="str">
        <x:v>PR-7.1</x:v>
      </x:c>
      <x:c r="L438" s="21" t="str">
        <x:v>Production-readiness closure/evidence set records completion for the solo-controlled No-CUI pilot scope.</x:v>
      </x:c>
      <x:c r="M438" s="17" t="str">
        <x:v>Governed readiness evidence</x:v>
      </x:c>
      <x:c r="N438" s="21" t="str">
        <x:v>/Users/devups/Development/CodexProjects/Gccs/docs/production-readiness-launch-closure-evidence.md; /Users/devups/Development/CodexProjects/Gccs/docs/production-readiness-completed-story-dod-review.md</x:v>
      </x:c>
      <x:c r="O438" s="19" t="n">
        <x:v>46269.666666666664</x:v>
      </x:c>
      <x:c r="P438" s="21" t="str">
        <x:v>4 acceptance criteria; 0 TC references; implementation=yes; smoke=yes; automated=yes; Production readiness verification workflow</x:v>
      </x:c>
      <x:c r="Q438" s="21" t="str"/>
      <x:c r="R438" s="21" t="str">
        <x:v>Retain evidence and rerun the applicable gate if launch scope, infrastructure, or regulated-data posture changes.</x:v>
      </x:c>
      <x:c r="S438" s="18" t="str"/>
      <x:c r="T438" s="20"/>
      <x:c r="U438" s="21" t="str">
        <x:v>Evidence does not authorize broader production separation of duties, real CUI, FedRAMP status, or government approval.</x:v>
      </x:c>
      <x:c r="V438" s="1"/>
    </x:row>
    <x:row r="439" ht="46" customHeight="1">
      <x:c r="A439" s="17" t="n">
        <x:v>435</x:v>
      </x:c>
      <x:c r="B439" s="17" t="str">
        <x:v>Production Readiness</x:v>
      </x:c>
      <x:c r="C439" s="17" t="str">
        <x:v>PR-7.2</x:v>
      </x:c>
      <x:c r="D439" s="21" t="str">
        <x:v>Run Production Smoke Tests</x:v>
      </x:c>
      <x:c r="E439" s="17" t="n">
        <x:v>2</x:v>
      </x:c>
      <x:c r="F439" s="21" t="str">
        <x:v>Confirm smoke tests use synthetic or non-sensitive data only.</x:v>
      </x:c>
      <x:c r="G439" s="17" t="str">
        <x:v>Production readiness / governance</x:v>
      </x:c>
      <x:c r="H439" s="17" t="str">
        <x:v>Planned</x:v>
      </x:c>
      <x:c r="I439" s="18" t="str">
        <x:v>Completed</x:v>
      </x:c>
      <x:c r="J439" s="17" t="str">
        <x:f>IF(OR(I439="Completed",I439="Not Applicable"),"No","Yes")</x:f>
        <x:v>No</x:v>
      </x:c>
      <x:c r="K439" s="17" t="str">
        <x:v>PR-7.2 task 1</x:v>
      </x:c>
      <x:c r="L439" s="21" t="str">
        <x:v>Production-readiness closure/evidence set records completion for the solo-controlled No-CUI pilot scope.</x:v>
      </x:c>
      <x:c r="M439" s="17" t="str">
        <x:v>Governed readiness evidence</x:v>
      </x:c>
      <x:c r="N439" s="21" t="str">
        <x:v>/Users/devups/Development/CodexProjects/Gccs/docs/production-readiness-launch-closure-evidence.md; /Users/devups/Development/CodexProjects/Gccs/docs/production-readiness-completed-story-dod-review.md</x:v>
      </x:c>
      <x:c r="O439" s="19" t="n">
        <x:v>46269.666666666664</x:v>
      </x:c>
      <x:c r="P439" s="21" t="str">
        <x:v>4 acceptance criteria; 0 TC references; implementation=yes; smoke=yes; automated=yes; Production readiness verification workflow</x:v>
      </x:c>
      <x:c r="Q439" s="21" t="str"/>
      <x:c r="R439" s="21" t="str">
        <x:v>Retain evidence and rerun the applicable gate if launch scope, infrastructure, or regulated-data posture changes.</x:v>
      </x:c>
      <x:c r="S439" s="18" t="str"/>
      <x:c r="T439" s="20"/>
      <x:c r="U439" s="21" t="str">
        <x:v>Evidence does not authorize broader production separation of duties, real CUI, FedRAMP status, or government approval.</x:v>
      </x:c>
      <x:c r="V439" s="1"/>
    </x:row>
    <x:row r="440" ht="46" customHeight="1">
      <x:c r="A440" s="17" t="n">
        <x:v>436</x:v>
      </x:c>
      <x:c r="B440" s="17" t="str">
        <x:v>Production Readiness</x:v>
      </x:c>
      <x:c r="C440" s="17" t="str">
        <x:v>PR-7.2</x:v>
      </x:c>
      <x:c r="D440" s="21" t="str">
        <x:v>Run Production Smoke Tests</x:v>
      </x:c>
      <x:c r="E440" s="17" t="n">
        <x:v>3</x:v>
      </x:c>
      <x:c r="F440" s="21" t="str">
        <x:v>Record results and defects.</x:v>
      </x:c>
      <x:c r="G440" s="17" t="str">
        <x:v>Production readiness / governance</x:v>
      </x:c>
      <x:c r="H440" s="17" t="str">
        <x:v>Planned</x:v>
      </x:c>
      <x:c r="I440" s="18" t="str">
        <x:v>Completed</x:v>
      </x:c>
      <x:c r="J440" s="17" t="str">
        <x:f>IF(OR(I440="Completed",I440="Not Applicable"),"No","Yes")</x:f>
        <x:v>No</x:v>
      </x:c>
      <x:c r="K440" s="17" t="str">
        <x:v>PR-7.2 task 2</x:v>
      </x:c>
      <x:c r="L440" s="21" t="str">
        <x:v>Production-readiness closure/evidence set records completion for the solo-controlled No-CUI pilot scope.</x:v>
      </x:c>
      <x:c r="M440" s="17" t="str">
        <x:v>Governed readiness evidence</x:v>
      </x:c>
      <x:c r="N440" s="21" t="str">
        <x:v>/Users/devups/Development/CodexProjects/Gccs/docs/production-readiness-launch-closure-evidence.md; /Users/devups/Development/CodexProjects/Gccs/docs/production-readiness-completed-story-dod-review.md</x:v>
      </x:c>
      <x:c r="O440" s="19" t="n">
        <x:v>46269.666666666664</x:v>
      </x:c>
      <x:c r="P440" s="21" t="str">
        <x:v>4 acceptance criteria; 0 TC references; implementation=yes; smoke=yes; automated=yes; Production readiness verification workflow</x:v>
      </x:c>
      <x:c r="Q440" s="21" t="str"/>
      <x:c r="R440" s="21" t="str">
        <x:v>Retain evidence and rerun the applicable gate if launch scope, infrastructure, or regulated-data posture changes.</x:v>
      </x:c>
      <x:c r="S440" s="18" t="str"/>
      <x:c r="T440" s="20"/>
      <x:c r="U440" s="21" t="str">
        <x:v>Evidence does not authorize broader production separation of duties, real CUI, FedRAMP status, or government approval.</x:v>
      </x:c>
      <x:c r="V440" s="1"/>
    </x:row>
    <x:row r="441" ht="46" customHeight="1">
      <x:c r="A441" s="17" t="n">
        <x:v>437</x:v>
      </x:c>
      <x:c r="B441" s="17" t="str">
        <x:v>Production Readiness</x:v>
      </x:c>
      <x:c r="C441" s="17" t="str">
        <x:v>PR-7.2</x:v>
      </x:c>
      <x:c r="D441" s="21" t="str">
        <x:v>Run Production Smoke Tests</x:v>
      </x:c>
      <x:c r="E441" s="17" t="n">
        <x:v>4</x:v>
      </x:c>
      <x:c r="F441" s="21" t="str">
        <x:v>Stop pilot onboarding when smoke tests fail on critical launch controls.</x:v>
      </x:c>
      <x:c r="G441" s="17" t="str">
        <x:v>Production readiness / governance</x:v>
      </x:c>
      <x:c r="H441" s="17" t="str">
        <x:v>Planned</x:v>
      </x:c>
      <x:c r="I441" s="18" t="str">
        <x:v>Completed</x:v>
      </x:c>
      <x:c r="J441" s="17" t="str">
        <x:f>IF(OR(I441="Completed",I441="Not Applicable"),"No","Yes")</x:f>
        <x:v>No</x:v>
      </x:c>
      <x:c r="K441" s="17" t="str">
        <x:v>PR-7.2 task 3</x:v>
      </x:c>
      <x:c r="L441" s="21" t="str">
        <x:v>Production-readiness closure/evidence set records completion for the solo-controlled No-CUI pilot scope.</x:v>
      </x:c>
      <x:c r="M441" s="17" t="str">
        <x:v>Governed readiness evidence</x:v>
      </x:c>
      <x:c r="N441" s="21" t="str">
        <x:v>/Users/devups/Development/CodexProjects/Gccs/docs/production-readiness-launch-closure-evidence.md; /Users/devups/Development/CodexProjects/Gccs/docs/production-readiness-completed-story-dod-review.md</x:v>
      </x:c>
      <x:c r="O441" s="19" t="n">
        <x:v>46269.666666666664</x:v>
      </x:c>
      <x:c r="P441" s="21" t="str">
        <x:v>4 acceptance criteria; 0 TC references; implementation=yes; smoke=yes; automated=yes; Production readiness verification workflow</x:v>
      </x:c>
      <x:c r="Q441" s="21" t="str"/>
      <x:c r="R441" s="21" t="str">
        <x:v>Retain evidence and rerun the applicable gate if launch scope, infrastructure, or regulated-data posture changes.</x:v>
      </x:c>
      <x:c r="S441" s="18" t="str"/>
      <x:c r="T441" s="20"/>
      <x:c r="U441" s="21" t="str">
        <x:v>Evidence does not authorize broader production separation of duties, real CUI, FedRAMP status, or government approval.</x:v>
      </x:c>
      <x:c r="V441" s="1"/>
    </x:row>
    <x:row r="442" ht="46" customHeight="1">
      <x:c r="A442" s="17" t="n">
        <x:v>438</x:v>
      </x:c>
      <x:c r="B442" s="17" t="str">
        <x:v>Production Readiness</x:v>
      </x:c>
      <x:c r="C442" s="17" t="str">
        <x:v>PR-7.3</x:v>
      </x:c>
      <x:c r="D442" s="21" t="str">
        <x:v>Onboard Controlled Pilot Customers</x:v>
      </x:c>
      <x:c r="E442" s="17" t="n">
        <x:v>1</x:v>
      </x:c>
      <x:c r="F442" s="21" t="str">
        <x:v>Select approved pilot customers.</x:v>
      </x:c>
      <x:c r="G442" s="17" t="str">
        <x:v>Production readiness / governance</x:v>
      </x:c>
      <x:c r="H442" s="17" t="str">
        <x:v>Planned</x:v>
      </x:c>
      <x:c r="I442" s="18" t="str">
        <x:v>Completed</x:v>
      </x:c>
      <x:c r="J442" s="17" t="str">
        <x:f>IF(OR(I442="Completed",I442="Not Applicable"),"No","Yes")</x:f>
        <x:v>No</x:v>
      </x:c>
      <x:c r="K442" s="17" t="str">
        <x:v>PR-7.2</x:v>
      </x:c>
      <x:c r="L442" s="21" t="str">
        <x:v>Production-readiness closure/evidence set records completion for the solo-controlled No-CUI pilot scope.</x:v>
      </x:c>
      <x:c r="M442" s="17" t="str">
        <x:v>Governed readiness evidence</x:v>
      </x:c>
      <x:c r="N442" s="21" t="str">
        <x:v>/Users/devups/Development/CodexProjects/Gccs/docs/production-readiness-launch-closure-evidence.md; /Users/devups/Development/CodexProjects/Gccs/docs/production-readiness-completed-story-dod-review.md</x:v>
      </x:c>
      <x:c r="O442" s="19" t="n">
        <x:v>46269.666666666664</x:v>
      </x:c>
      <x:c r="P442" s="21" t="str">
        <x:v>4 acceptance criteria; 0 TC references; implementation=yes; smoke=yes; automated=yes; Production readiness verification workflow</x:v>
      </x:c>
      <x:c r="Q442" s="21" t="str"/>
      <x:c r="R442" s="21" t="str">
        <x:v>Retain evidence and rerun the applicable gate if launch scope, infrastructure, or regulated-data posture changes.</x:v>
      </x:c>
      <x:c r="S442" s="18" t="str"/>
      <x:c r="T442" s="20"/>
      <x:c r="U442" s="21" t="str">
        <x:v>Evidence does not authorize broader production separation of duties, real CUI, FedRAMP status, or government approval.</x:v>
      </x:c>
      <x:c r="V442" s="1"/>
    </x:row>
    <x:row r="443" ht="46" customHeight="1">
      <x:c r="A443" s="17" t="n">
        <x:v>439</x:v>
      </x:c>
      <x:c r="B443" s="17" t="str">
        <x:v>Production Readiness</x:v>
      </x:c>
      <x:c r="C443" s="17" t="str">
        <x:v>PR-7.3</x:v>
      </x:c>
      <x:c r="D443" s="21" t="str">
        <x:v>Onboard Controlled Pilot Customers</x:v>
      </x:c>
      <x:c r="E443" s="17" t="n">
        <x:v>2</x:v>
      </x:c>
      <x:c r="F443" s="21" t="str">
        <x:v>Provide pilot onboarding materials and No-CUI data handling acknowledgement.</x:v>
      </x:c>
      <x:c r="G443" s="17" t="str">
        <x:v>Production readiness / governance</x:v>
      </x:c>
      <x:c r="H443" s="17" t="str">
        <x:v>Planned</x:v>
      </x:c>
      <x:c r="I443" s="18" t="str">
        <x:v>Completed</x:v>
      </x:c>
      <x:c r="J443" s="17" t="str">
        <x:f>IF(OR(I443="Completed",I443="Not Applicable"),"No","Yes")</x:f>
        <x:v>No</x:v>
      </x:c>
      <x:c r="K443" s="17" t="str">
        <x:v>PR-7.3 task 1</x:v>
      </x:c>
      <x:c r="L443" s="21" t="str">
        <x:v>Production-readiness closure/evidence set records completion for the solo-controlled No-CUI pilot scope.</x:v>
      </x:c>
      <x:c r="M443" s="17" t="str">
        <x:v>Governed readiness evidence</x:v>
      </x:c>
      <x:c r="N443" s="21" t="str">
        <x:v>/Users/devups/Development/CodexProjects/Gccs/docs/production-readiness-launch-closure-evidence.md; /Users/devups/Development/CodexProjects/Gccs/docs/production-readiness-completed-story-dod-review.md</x:v>
      </x:c>
      <x:c r="O443" s="19" t="n">
        <x:v>46269.666666666664</x:v>
      </x:c>
      <x:c r="P443" s="21" t="str">
        <x:v>4 acceptance criteria; 0 TC references; implementation=yes; smoke=yes; automated=yes; Production readiness verification workflow</x:v>
      </x:c>
      <x:c r="Q443" s="21" t="str"/>
      <x:c r="R443" s="21" t="str">
        <x:v>Retain evidence and rerun the applicable gate if launch scope, infrastructure, or regulated-data posture changes.</x:v>
      </x:c>
      <x:c r="S443" s="18" t="str"/>
      <x:c r="T443" s="20"/>
      <x:c r="U443" s="21" t="str">
        <x:v>Evidence does not authorize broader production separation of duties, real CUI, FedRAMP status, or government approval.</x:v>
      </x:c>
      <x:c r="V443" s="1"/>
    </x:row>
    <x:row r="444" ht="46" customHeight="1">
      <x:c r="A444" s="17" t="n">
        <x:v>440</x:v>
      </x:c>
      <x:c r="B444" s="17" t="str">
        <x:v>Production Readiness</x:v>
      </x:c>
      <x:c r="C444" s="17" t="str">
        <x:v>PR-7.3</x:v>
      </x:c>
      <x:c r="D444" s="21" t="str">
        <x:v>Onboard Controlled Pilot Customers</x:v>
      </x:c>
      <x:c r="E444" s="17" t="n">
        <x:v>3</x:v>
      </x:c>
      <x:c r="F444" s="21" t="str">
        <x:v>Verify tenant setup, user roles, support route, and known limitations acknowledgement.</x:v>
      </x:c>
      <x:c r="G444" s="17" t="str">
        <x:v>Production readiness / governance</x:v>
      </x:c>
      <x:c r="H444" s="17" t="str">
        <x:v>Planned</x:v>
      </x:c>
      <x:c r="I444" s="18" t="str">
        <x:v>Completed</x:v>
      </x:c>
      <x:c r="J444" s="17" t="str">
        <x:f>IF(OR(I444="Completed",I444="Not Applicable"),"No","Yes")</x:f>
        <x:v>No</x:v>
      </x:c>
      <x:c r="K444" s="17" t="str">
        <x:v>PR-7.3 task 2</x:v>
      </x:c>
      <x:c r="L444" s="21" t="str">
        <x:v>Production-readiness closure/evidence set records completion for the solo-controlled No-CUI pilot scope.</x:v>
      </x:c>
      <x:c r="M444" s="17" t="str">
        <x:v>Governed readiness evidence</x:v>
      </x:c>
      <x:c r="N444" s="21" t="str">
        <x:v>/Users/devups/Development/CodexProjects/Gccs/docs/production-readiness-launch-closure-evidence.md; /Users/devups/Development/CodexProjects/Gccs/docs/production-readiness-completed-story-dod-review.md</x:v>
      </x:c>
      <x:c r="O444" s="19" t="n">
        <x:v>46269.666666666664</x:v>
      </x:c>
      <x:c r="P444" s="21" t="str">
        <x:v>4 acceptance criteria; 0 TC references; implementation=yes; smoke=yes; automated=yes; Production readiness verification workflow</x:v>
      </x:c>
      <x:c r="Q444" s="21" t="str"/>
      <x:c r="R444" s="21" t="str">
        <x:v>Retain evidence and rerun the applicable gate if launch scope, infrastructure, or regulated-data posture changes.</x:v>
      </x:c>
      <x:c r="S444" s="18" t="str"/>
      <x:c r="T444" s="20"/>
      <x:c r="U444" s="21" t="str">
        <x:v>Evidence does not authorize broader production separation of duties, real CUI, FedRAMP status, or government approval.</x:v>
      </x:c>
      <x:c r="V444" s="1"/>
    </x:row>
    <x:row r="445" ht="46" customHeight="1">
      <x:c r="A445" s="17" t="n">
        <x:v>441</x:v>
      </x:c>
      <x:c r="B445" s="17" t="str">
        <x:v>Production Readiness</x:v>
      </x:c>
      <x:c r="C445" s="17" t="str">
        <x:v>PR-7.3</x:v>
      </x:c>
      <x:c r="D445" s="21" t="str">
        <x:v>Onboard Controlled Pilot Customers</x:v>
      </x:c>
      <x:c r="E445" s="17" t="n">
        <x:v>4</x:v>
      </x:c>
      <x:c r="F445" s="21" t="str">
        <x:v>Monitor first workflow completion for each pilot tenant.</x:v>
      </x:c>
      <x:c r="G445" s="17" t="str">
        <x:v>Production readiness / governance</x:v>
      </x:c>
      <x:c r="H445" s="17" t="str">
        <x:v>Planned</x:v>
      </x:c>
      <x:c r="I445" s="18" t="str">
        <x:v>Completed</x:v>
      </x:c>
      <x:c r="J445" s="17" t="str">
        <x:f>IF(OR(I445="Completed",I445="Not Applicable"),"No","Yes")</x:f>
        <x:v>No</x:v>
      </x:c>
      <x:c r="K445" s="17" t="str">
        <x:v>PR-7.3 task 3</x:v>
      </x:c>
      <x:c r="L445" s="21" t="str">
        <x:v>Production-readiness closure/evidence set records completion for the solo-controlled No-CUI pilot scope.</x:v>
      </x:c>
      <x:c r="M445" s="17" t="str">
        <x:v>Governed readiness evidence</x:v>
      </x:c>
      <x:c r="N445" s="21" t="str">
        <x:v>/Users/devups/Development/CodexProjects/Gccs/docs/production-readiness-launch-closure-evidence.md; /Users/devups/Development/CodexProjects/Gccs/docs/production-readiness-completed-story-dod-review.md</x:v>
      </x:c>
      <x:c r="O445" s="19" t="n">
        <x:v>46269.666666666664</x:v>
      </x:c>
      <x:c r="P445" s="21" t="str">
        <x:v>4 acceptance criteria; 0 TC references; implementation=yes; smoke=yes; automated=yes; Production readiness verification workflow</x:v>
      </x:c>
      <x:c r="Q445" s="21" t="str"/>
      <x:c r="R445" s="21" t="str">
        <x:v>Retain evidence and rerun the applicable gate if launch scope, infrastructure, or regulated-data posture changes.</x:v>
      </x:c>
      <x:c r="S445" s="18" t="str"/>
      <x:c r="T445" s="20"/>
      <x:c r="U445" s="21" t="str">
        <x:v>Evidence does not authorize broader production separation of duties, real CUI, FedRAMP status, or government approval.</x:v>
      </x:c>
      <x:c r="V445" s="1"/>
    </x:row>
    <x:row r="446" ht="46" customHeight="1">
      <x:c r="A446" s="17" t="n">
        <x:v>442</x:v>
      </x:c>
      <x:c r="B446" s="17" t="str">
        <x:v>Production Readiness</x:v>
      </x:c>
      <x:c r="C446" s="17" t="str">
        <x:v>PR-8.1</x:v>
      </x:c>
      <x:c r="D446" s="21" t="str">
        <x:v>Monitor Pilot Signals Daily</x:v>
      </x:c>
      <x:c r="E446" s="17" t="n">
        <x:v>1</x:v>
      </x:c>
      <x:c r="F446" s="21" t="str">
        <x:v>Monitor audit logs, upload blocks, permission denials, report failures, support tickets, content disputes, health checks, alerts, and failed jobs.</x:v>
      </x:c>
      <x:c r="G446" s="17" t="str">
        <x:v>Production readiness / governance</x:v>
      </x:c>
      <x:c r="H446" s="17" t="str">
        <x:v>Planned</x:v>
      </x:c>
      <x:c r="I446" s="18" t="str">
        <x:v>Completed</x:v>
      </x:c>
      <x:c r="J446" s="17" t="str">
        <x:f>IF(OR(I446="Completed",I446="Not Applicable"),"No","Yes")</x:f>
        <x:v>No</x:v>
      </x:c>
      <x:c r="K446" s="17" t="str">
        <x:v>PR-7.3</x:v>
      </x:c>
      <x:c r="L446" s="21" t="str">
        <x:v>Production-readiness closure/evidence set records completion for the solo-controlled No-CUI pilot scope.</x:v>
      </x:c>
      <x:c r="M446" s="17" t="str">
        <x:v>Governed readiness evidence</x:v>
      </x:c>
      <x:c r="N446" s="21" t="str">
        <x:v>/Users/devups/Development/CodexProjects/Gccs/docs/production-readiness-launch-closure-evidence.md; /Users/devups/Development/CodexProjects/Gccs/docs/production-readiness-completed-story-dod-review.md</x:v>
      </x:c>
      <x:c r="O446" s="19" t="n">
        <x:v>46269.666666666664</x:v>
      </x:c>
      <x:c r="P446" s="21" t="str">
        <x:v>4 acceptance criteria; 0 TC references; implementation=yes; smoke=yes; automated=yes; Production readiness verification workflow</x:v>
      </x:c>
      <x:c r="Q446" s="21" t="str"/>
      <x:c r="R446" s="21" t="str">
        <x:v>Retain evidence and rerun the applicable gate if launch scope, infrastructure, or regulated-data posture changes.</x:v>
      </x:c>
      <x:c r="S446" s="18" t="str"/>
      <x:c r="T446" s="20"/>
      <x:c r="U446" s="21" t="str">
        <x:v>Evidence does not authorize broader production separation of duties, real CUI, FedRAMP status, or government approval.</x:v>
      </x:c>
      <x:c r="V446" s="1"/>
    </x:row>
    <x:row r="447" ht="46" customHeight="1">
      <x:c r="A447" s="17" t="n">
        <x:v>443</x:v>
      </x:c>
      <x:c r="B447" s="17" t="str">
        <x:v>Production Readiness</x:v>
      </x:c>
      <x:c r="C447" s="17" t="str">
        <x:v>PR-8.1</x:v>
      </x:c>
      <x:c r="D447" s="21" t="str">
        <x:v>Monitor Pilot Signals Daily</x:v>
      </x:c>
      <x:c r="E447" s="17" t="n">
        <x:v>2</x:v>
      </x:c>
      <x:c r="F447" s="21" t="str">
        <x:v>Review suspected CUI, prohibited upload, tenant exposure, access issue, evidence failure, report failure, and content correction events.</x:v>
      </x:c>
      <x:c r="G447" s="17" t="str">
        <x:v>Production readiness / governance</x:v>
      </x:c>
      <x:c r="H447" s="17" t="str">
        <x:v>Planned</x:v>
      </x:c>
      <x:c r="I447" s="18" t="str">
        <x:v>Completed</x:v>
      </x:c>
      <x:c r="J447" s="17" t="str">
        <x:f>IF(OR(I447="Completed",I447="Not Applicable"),"No","Yes")</x:f>
        <x:v>No</x:v>
      </x:c>
      <x:c r="K447" s="17" t="str">
        <x:v>PR-8.1 task 1</x:v>
      </x:c>
      <x:c r="L447" s="21" t="str">
        <x:v>Production-readiness closure/evidence set records completion for the solo-controlled No-CUI pilot scope.</x:v>
      </x:c>
      <x:c r="M447" s="17" t="str">
        <x:v>Governed readiness evidence</x:v>
      </x:c>
      <x:c r="N447" s="21" t="str">
        <x:v>/Users/devups/Development/CodexProjects/Gccs/docs/production-readiness-launch-closure-evidence.md; /Users/devups/Development/CodexProjects/Gccs/docs/production-readiness-completed-story-dod-review.md</x:v>
      </x:c>
      <x:c r="O447" s="19" t="n">
        <x:v>46269.666666666664</x:v>
      </x:c>
      <x:c r="P447" s="21" t="str">
        <x:v>4 acceptance criteria; 0 TC references; implementation=yes; smoke=yes; automated=yes; Production readiness verification workflow</x:v>
      </x:c>
      <x:c r="Q447" s="21" t="str"/>
      <x:c r="R447" s="21" t="str">
        <x:v>Retain evidence and rerun the applicable gate if launch scope, infrastructure, or regulated-data posture changes.</x:v>
      </x:c>
      <x:c r="S447" s="18" t="str"/>
      <x:c r="T447" s="20"/>
      <x:c r="U447" s="21" t="str">
        <x:v>Evidence does not authorize broader production separation of duties, real CUI, FedRAMP status, or government approval.</x:v>
      </x:c>
      <x:c r="V447" s="1"/>
    </x:row>
    <x:row r="448" ht="46" customHeight="1">
      <x:c r="A448" s="17" t="n">
        <x:v>444</x:v>
      </x:c>
      <x:c r="B448" s="17" t="str">
        <x:v>Production Readiness</x:v>
      </x:c>
      <x:c r="C448" s="17" t="str">
        <x:v>PR-8.1</x:v>
      </x:c>
      <x:c r="D448" s="21" t="str">
        <x:v>Monitor Pilot Signals Daily</x:v>
      </x:c>
      <x:c r="E448" s="17" t="n">
        <x:v>3</x:v>
      </x:c>
      <x:c r="F448" s="21" t="str">
        <x:v>Assign severity, owner, mitigation, and target date for findings.</x:v>
      </x:c>
      <x:c r="G448" s="17" t="str">
        <x:v>Production readiness / governance</x:v>
      </x:c>
      <x:c r="H448" s="17" t="str">
        <x:v>Planned</x:v>
      </x:c>
      <x:c r="I448" s="18" t="str">
        <x:v>Completed</x:v>
      </x:c>
      <x:c r="J448" s="17" t="str">
        <x:f>IF(OR(I448="Completed",I448="Not Applicable"),"No","Yes")</x:f>
        <x:v>No</x:v>
      </x:c>
      <x:c r="K448" s="17" t="str">
        <x:v>PR-8.1 task 2</x:v>
      </x:c>
      <x:c r="L448" s="21" t="str">
        <x:v>Production-readiness closure/evidence set records completion for the solo-controlled No-CUI pilot scope.</x:v>
      </x:c>
      <x:c r="M448" s="17" t="str">
        <x:v>Governed readiness evidence</x:v>
      </x:c>
      <x:c r="N448" s="21" t="str">
        <x:v>/Users/devups/Development/CodexProjects/Gccs/docs/production-readiness-launch-closure-evidence.md; /Users/devups/Development/CodexProjects/Gccs/docs/production-readiness-completed-story-dod-review.md</x:v>
      </x:c>
      <x:c r="O448" s="19" t="n">
        <x:v>46269.666666666664</x:v>
      </x:c>
      <x:c r="P448" s="21" t="str">
        <x:v>4 acceptance criteria; 0 TC references; implementation=yes; smoke=yes; automated=yes; Production readiness verification workflow</x:v>
      </x:c>
      <x:c r="Q448" s="21" t="str"/>
      <x:c r="R448" s="21" t="str">
        <x:v>Retain evidence and rerun the applicable gate if launch scope, infrastructure, or regulated-data posture changes.</x:v>
      </x:c>
      <x:c r="S448" s="18" t="str"/>
      <x:c r="T448" s="20"/>
      <x:c r="U448" s="21" t="str">
        <x:v>Evidence does not authorize broader production separation of duties, real CUI, FedRAMP status, or government approval.</x:v>
      </x:c>
      <x:c r="V448" s="1"/>
    </x:row>
    <x:row r="449" ht="46" customHeight="1">
      <x:c r="A449" s="17" t="n">
        <x:v>445</x:v>
      </x:c>
      <x:c r="B449" s="17" t="str">
        <x:v>Production Readiness</x:v>
      </x:c>
      <x:c r="C449" s="17" t="str">
        <x:v>PR-8.1</x:v>
      </x:c>
      <x:c r="D449" s="21" t="str">
        <x:v>Monitor Pilot Signals Daily</x:v>
      </x:c>
      <x:c r="E449" s="17" t="n">
        <x:v>4</x:v>
      </x:c>
      <x:c r="F449" s="21" t="str">
        <x:v>Escalate security, data-handling, or legal-claim issues immediately.</x:v>
      </x:c>
      <x:c r="G449" s="17" t="str">
        <x:v>Production readiness / governance</x:v>
      </x:c>
      <x:c r="H449" s="17" t="str">
        <x:v>Planned</x:v>
      </x:c>
      <x:c r="I449" s="18" t="str">
        <x:v>Completed</x:v>
      </x:c>
      <x:c r="J449" s="17" t="str">
        <x:f>IF(OR(I449="Completed",I449="Not Applicable"),"No","Yes")</x:f>
        <x:v>No</x:v>
      </x:c>
      <x:c r="K449" s="17" t="str">
        <x:v>PR-8.1 task 3</x:v>
      </x:c>
      <x:c r="L449" s="21" t="str">
        <x:v>Production-readiness closure/evidence set records completion for the solo-controlled No-CUI pilot scope.</x:v>
      </x:c>
      <x:c r="M449" s="17" t="str">
        <x:v>Governed readiness evidence</x:v>
      </x:c>
      <x:c r="N449" s="21" t="str">
        <x:v>/Users/devups/Development/CodexProjects/Gccs/docs/production-readiness-launch-closure-evidence.md; /Users/devups/Development/CodexProjects/Gccs/docs/production-readiness-completed-story-dod-review.md</x:v>
      </x:c>
      <x:c r="O449" s="19" t="n">
        <x:v>46269.666666666664</x:v>
      </x:c>
      <x:c r="P449" s="21" t="str">
        <x:v>4 acceptance criteria; 0 TC references; implementation=yes; smoke=yes; automated=yes; Production readiness verification workflow</x:v>
      </x:c>
      <x:c r="Q449" s="21" t="str"/>
      <x:c r="R449" s="21" t="str">
        <x:v>Retain evidence and rerun the applicable gate if launch scope, infrastructure, or regulated-data posture changes.</x:v>
      </x:c>
      <x:c r="S449" s="18" t="str"/>
      <x:c r="T449" s="20"/>
      <x:c r="U449" s="21" t="str">
        <x:v>Evidence does not authorize broader production separation of duties, real CUI, FedRAMP status, or government approval.</x:v>
      </x:c>
      <x:c r="V449" s="1"/>
    </x:row>
    <x:row r="450" ht="46" customHeight="1">
      <x:c r="A450" s="17" t="n">
        <x:v>446</x:v>
      </x:c>
      <x:c r="B450" s="17" t="str">
        <x:v>Production Readiness</x:v>
      </x:c>
      <x:c r="C450" s="17" t="str">
        <x:v>PR-8.2</x:v>
      </x:c>
      <x:c r="D450" s="21" t="str">
        <x:v>Hold Post-Launch Readiness Review</x:v>
      </x:c>
      <x:c r="E450" s="17" t="n">
        <x:v>1</x:v>
      </x:c>
      <x:c r="F450" s="21" t="str">
        <x:v>Review pilot incidents, defects, support tickets, upload blocks, permission denials, content disputes, report failures, and customer feedback.</x:v>
      </x:c>
      <x:c r="G450" s="17" t="str">
        <x:v>Production readiness / governance</x:v>
      </x:c>
      <x:c r="H450" s="17" t="str">
        <x:v>Planned</x:v>
      </x:c>
      <x:c r="I450" s="18" t="str">
        <x:v>Completed</x:v>
      </x:c>
      <x:c r="J450" s="17" t="str">
        <x:f>IF(OR(I450="Completed",I450="Not Applicable"),"No","Yes")</x:f>
        <x:v>No</x:v>
      </x:c>
      <x:c r="K450" s="17" t="str">
        <x:v>PR-8.1</x:v>
      </x:c>
      <x:c r="L450" s="21" t="str">
        <x:v>Production-readiness closure/evidence set records completion for the solo-controlled No-CUI pilot scope.</x:v>
      </x:c>
      <x:c r="M450" s="17" t="str">
        <x:v>Governed readiness evidence</x:v>
      </x:c>
      <x:c r="N450" s="21" t="str">
        <x:v>/Users/devups/Development/CodexProjects/Gccs/docs/production-readiness-launch-closure-evidence.md; /Users/devups/Development/CodexProjects/Gccs/docs/production-readiness-completed-story-dod-review.md</x:v>
      </x:c>
      <x:c r="O450" s="19" t="n">
        <x:v>46269.666666666664</x:v>
      </x:c>
      <x:c r="P450" s="21" t="str">
        <x:v>4 acceptance criteria; 0 TC references; implementation=yes; smoke=yes; automated=yes; Production readiness verification workflow</x:v>
      </x:c>
      <x:c r="Q450" s="21" t="str"/>
      <x:c r="R450" s="21" t="str">
        <x:v>Retain evidence and rerun the applicable gate if launch scope, infrastructure, or regulated-data posture changes.</x:v>
      </x:c>
      <x:c r="S450" s="18" t="str"/>
      <x:c r="T450" s="20"/>
      <x:c r="U450" s="21" t="str">
        <x:v>Evidence does not authorize broader production separation of duties, real CUI, FedRAMP status, or government approval.</x:v>
      </x:c>
      <x:c r="V450" s="1"/>
    </x:row>
    <x:row r="451" ht="46" customHeight="1">
      <x:c r="A451" s="17" t="n">
        <x:v>447</x:v>
      </x:c>
      <x:c r="B451" s="17" t="str">
        <x:v>Production Readiness</x:v>
      </x:c>
      <x:c r="C451" s="17" t="str">
        <x:v>PR-8.2</x:v>
      </x:c>
      <x:c r="D451" s="21" t="str">
        <x:v>Hold Post-Launch Readiness Review</x:v>
      </x:c>
      <x:c r="E451" s="17" t="n">
        <x:v>2</x:v>
      </x:c>
      <x:c r="F451" s="21" t="str">
        <x:v>Identify production readiness regressions, accepted risks that need closure, and launch assumptions that were invalid.</x:v>
      </x:c>
      <x:c r="G451" s="17" t="str">
        <x:v>Production readiness / governance</x:v>
      </x:c>
      <x:c r="H451" s="17" t="str">
        <x:v>Planned</x:v>
      </x:c>
      <x:c r="I451" s="18" t="str">
        <x:v>Completed</x:v>
      </x:c>
      <x:c r="J451" s="17" t="str">
        <x:f>IF(OR(I451="Completed",I451="Not Applicable"),"No","Yes")</x:f>
        <x:v>No</x:v>
      </x:c>
      <x:c r="K451" s="17" t="str">
        <x:v>PR-8.2 task 1</x:v>
      </x:c>
      <x:c r="L451" s="21" t="str">
        <x:v>Production-readiness closure/evidence set records completion for the solo-controlled No-CUI pilot scope.</x:v>
      </x:c>
      <x:c r="M451" s="17" t="str">
        <x:v>Governed readiness evidence</x:v>
      </x:c>
      <x:c r="N451" s="21" t="str">
        <x:v>/Users/devups/Development/CodexProjects/Gccs/docs/production-readiness-launch-closure-evidence.md; /Users/devups/Development/CodexProjects/Gccs/docs/production-readiness-completed-story-dod-review.md</x:v>
      </x:c>
      <x:c r="O451" s="19" t="n">
        <x:v>46269.666666666664</x:v>
      </x:c>
      <x:c r="P451" s="21" t="str">
        <x:v>4 acceptance criteria; 0 TC references; implementation=yes; smoke=yes; automated=yes; Production readiness verification workflow</x:v>
      </x:c>
      <x:c r="Q451" s="21" t="str"/>
      <x:c r="R451" s="21" t="str">
        <x:v>Retain evidence and rerun the applicable gate if launch scope, infrastructure, or regulated-data posture changes.</x:v>
      </x:c>
      <x:c r="S451" s="18" t="str"/>
      <x:c r="T451" s="20"/>
      <x:c r="U451" s="21" t="str">
        <x:v>Evidence does not authorize broader production separation of duties, real CUI, FedRAMP status, or government approval.</x:v>
      </x:c>
      <x:c r="V451" s="1"/>
    </x:row>
    <x:row r="452" ht="46" customHeight="1">
      <x:c r="A452" s="17" t="n">
        <x:v>448</x:v>
      </x:c>
      <x:c r="B452" s="17" t="str">
        <x:v>Production Readiness</x:v>
      </x:c>
      <x:c r="C452" s="17" t="str">
        <x:v>PR-8.2</x:v>
      </x:c>
      <x:c r="D452" s="21" t="str">
        <x:v>Hold Post-Launch Readiness Review</x:v>
      </x:c>
      <x:c r="E452" s="17" t="n">
        <x:v>3</x:v>
      </x:c>
      <x:c r="F452" s="21" t="str">
        <x:v>Record decisions, owners, due dates, and follow-up actions.</x:v>
      </x:c>
      <x:c r="G452" s="17" t="str">
        <x:v>Production readiness / governance</x:v>
      </x:c>
      <x:c r="H452" s="17" t="str">
        <x:v>Planned</x:v>
      </x:c>
      <x:c r="I452" s="18" t="str">
        <x:v>Completed</x:v>
      </x:c>
      <x:c r="J452" s="17" t="str">
        <x:f>IF(OR(I452="Completed",I452="Not Applicable"),"No","Yes")</x:f>
        <x:v>No</x:v>
      </x:c>
      <x:c r="K452" s="17" t="str">
        <x:v>PR-8.2 task 2</x:v>
      </x:c>
      <x:c r="L452" s="21" t="str">
        <x:v>Production-readiness closure/evidence set records completion for the solo-controlled No-CUI pilot scope.</x:v>
      </x:c>
      <x:c r="M452" s="17" t="str">
        <x:v>Governed readiness evidence</x:v>
      </x:c>
      <x:c r="N452" s="21" t="str">
        <x:v>/Users/devups/Development/CodexProjects/Gccs/docs/production-readiness-launch-closure-evidence.md; /Users/devups/Development/CodexProjects/Gccs/docs/production-readiness-completed-story-dod-review.md</x:v>
      </x:c>
      <x:c r="O452" s="19" t="n">
        <x:v>46269.666666666664</x:v>
      </x:c>
      <x:c r="P452" s="21" t="str">
        <x:v>4 acceptance criteria; 0 TC references; implementation=yes; smoke=yes; automated=yes; Production readiness verification workflow</x:v>
      </x:c>
      <x:c r="Q452" s="21" t="str"/>
      <x:c r="R452" s="21" t="str">
        <x:v>Retain evidence and rerun the applicable gate if launch scope, infrastructure, or regulated-data posture changes.</x:v>
      </x:c>
      <x:c r="S452" s="18" t="str"/>
      <x:c r="T452" s="20"/>
      <x:c r="U452" s="21" t="str">
        <x:v>Evidence does not authorize broader production separation of duties, real CUI, FedRAMP status, or government approval.</x:v>
      </x:c>
      <x:c r="V452" s="1"/>
    </x:row>
    <x:row r="453" ht="46" customHeight="1">
      <x:c r="A453" s="17" t="n">
        <x:v>449</x:v>
      </x:c>
      <x:c r="B453" s="17" t="str">
        <x:v>Production Readiness</x:v>
      </x:c>
      <x:c r="C453" s="17" t="str">
        <x:v>PR-8.2</x:v>
      </x:c>
      <x:c r="D453" s="21" t="str">
        <x:v>Hold Post-Launch Readiness Review</x:v>
      </x:c>
      <x:c r="E453" s="17" t="n">
        <x:v>4</x:v>
      </x:c>
      <x:c r="F453" s="21" t="str">
        <x:v>Update release notes, support materials, known-risk log, or readiness checklist when needed.</x:v>
      </x:c>
      <x:c r="G453" s="17" t="str">
        <x:v>Production readiness / governance</x:v>
      </x:c>
      <x:c r="H453" s="17" t="str">
        <x:v>Planned</x:v>
      </x:c>
      <x:c r="I453" s="18" t="str">
        <x:v>Completed</x:v>
      </x:c>
      <x:c r="J453" s="17" t="str">
        <x:f>IF(OR(I453="Completed",I453="Not Applicable"),"No","Yes")</x:f>
        <x:v>No</x:v>
      </x:c>
      <x:c r="K453" s="17" t="str">
        <x:v>PR-8.2 task 3</x:v>
      </x:c>
      <x:c r="L453" s="21" t="str">
        <x:v>Production-readiness closure/evidence set records completion for the solo-controlled No-CUI pilot scope.</x:v>
      </x:c>
      <x:c r="M453" s="17" t="str">
        <x:v>Governed readiness evidence</x:v>
      </x:c>
      <x:c r="N453" s="21" t="str">
        <x:v>/Users/devups/Development/CodexProjects/Gccs/docs/production-readiness-launch-closure-evidence.md; /Users/devups/Development/CodexProjects/Gccs/docs/production-readiness-completed-story-dod-review.md</x:v>
      </x:c>
      <x:c r="O453" s="19" t="n">
        <x:v>46269.666666666664</x:v>
      </x:c>
      <x:c r="P453" s="21" t="str">
        <x:v>4 acceptance criteria; 0 TC references; implementation=yes; smoke=yes; automated=yes; Production readiness verification workflow</x:v>
      </x:c>
      <x:c r="Q453" s="21" t="str"/>
      <x:c r="R453" s="21" t="str">
        <x:v>Retain evidence and rerun the applicable gate if launch scope, infrastructure, or regulated-data posture changes.</x:v>
      </x:c>
      <x:c r="S453" s="18" t="str"/>
      <x:c r="T453" s="20"/>
      <x:c r="U453" s="21" t="str">
        <x:v>Evidence does not authorize broader production separation of duties, real CUI, FedRAMP status, or government approval.</x:v>
      </x:c>
      <x:c r="V453" s="1"/>
    </x:row>
    <x:row r="454" ht="46" customHeight="1">
      <x:c r="A454" s="17" t="n">
        <x:v>450</x:v>
      </x:c>
      <x:c r="B454" s="17" t="str">
        <x:v>Production Readiness</x:v>
      </x:c>
      <x:c r="C454" s="17" t="str">
        <x:v>PR-8.3</x:v>
      </x:c>
      <x:c r="D454" s="21" t="str">
        <x:v>Gate Phase 2 Until MVP Controls Are Stable</x:v>
      </x:c>
      <x:c r="E454" s="17" t="n">
        <x:v>1</x:v>
      </x:c>
      <x:c r="F454" s="21" t="str">
        <x:v>Convert launch findings into backlog items using Definition of Ready.</x:v>
      </x:c>
      <x:c r="G454" s="17" t="str">
        <x:v>Production readiness / governance</x:v>
      </x:c>
      <x:c r="H454" s="17" t="str">
        <x:v>Planned</x:v>
      </x:c>
      <x:c r="I454" s="18" t="str">
        <x:v>Completed</x:v>
      </x:c>
      <x:c r="J454" s="17" t="str">
        <x:f>IF(OR(I454="Completed",I454="Not Applicable"),"No","Yes")</x:f>
        <x:v>No</x:v>
      </x:c>
      <x:c r="K454" s="17" t="str">
        <x:v>PR-8.2</x:v>
      </x:c>
      <x:c r="L454" s="21" t="str">
        <x:v>Production-readiness closure/evidence set records completion for the solo-controlled No-CUI pilot scope.</x:v>
      </x:c>
      <x:c r="M454" s="17" t="str">
        <x:v>Governed readiness evidence</x:v>
      </x:c>
      <x:c r="N454" s="21" t="str">
        <x:v>/Users/devups/Development/CodexProjects/Gccs/docs/production-readiness-launch-closure-evidence.md; /Users/devups/Development/CodexProjects/Gccs/docs/production-readiness-completed-story-dod-review.md</x:v>
      </x:c>
      <x:c r="O454" s="19" t="n">
        <x:v>46269.666666666664</x:v>
      </x:c>
      <x:c r="P454" s="21" t="str">
        <x:v>4 acceptance criteria; 0 TC references; implementation=yes; smoke=yes; automated=yes; Production readiness verification workflow</x:v>
      </x:c>
      <x:c r="Q454" s="21" t="str"/>
      <x:c r="R454" s="21" t="str">
        <x:v>Retain evidence and rerun the applicable gate if launch scope, infrastructure, or regulated-data posture changes.</x:v>
      </x:c>
      <x:c r="S454" s="18" t="str"/>
      <x:c r="T454" s="20"/>
      <x:c r="U454" s="21" t="str">
        <x:v>Evidence does not authorize broader production separation of duties, real CUI, FedRAMP status, or government approval.</x:v>
      </x:c>
      <x:c r="V454" s="1"/>
    </x:row>
    <x:row r="455" ht="46" customHeight="1">
      <x:c r="A455" s="17" t="n">
        <x:v>451</x:v>
      </x:c>
      <x:c r="B455" s="17" t="str">
        <x:v>Production Readiness</x:v>
      </x:c>
      <x:c r="C455" s="17" t="str">
        <x:v>PR-8.3</x:v>
      </x:c>
      <x:c r="D455" s="21" t="str">
        <x:v>Gate Phase 2 Until MVP Controls Are Stable</x:v>
      </x:c>
      <x:c r="E455" s="17" t="n">
        <x:v>2</x:v>
      </x:c>
      <x:c r="F455" s="21" t="str">
        <x:v>Identify unresolved blockers affecting tenant isolation, RBAC, uploads, reports, audit logging, support, content governance, claims, or No-CUI posture.</x:v>
      </x:c>
      <x:c r="G455" s="17" t="str">
        <x:v>Production readiness / governance</x:v>
      </x:c>
      <x:c r="H455" s="17" t="str">
        <x:v>Planned</x:v>
      </x:c>
      <x:c r="I455" s="18" t="str">
        <x:v>Completed</x:v>
      </x:c>
      <x:c r="J455" s="17" t="str">
        <x:f>IF(OR(I455="Completed",I455="Not Applicable"),"No","Yes")</x:f>
        <x:v>No</x:v>
      </x:c>
      <x:c r="K455" s="17" t="str">
        <x:v>PR-8.3 task 1</x:v>
      </x:c>
      <x:c r="L455" s="21" t="str">
        <x:v>Production-readiness closure/evidence set records completion for the solo-controlled No-CUI pilot scope.</x:v>
      </x:c>
      <x:c r="M455" s="17" t="str">
        <x:v>Governed readiness evidence</x:v>
      </x:c>
      <x:c r="N455" s="21" t="str">
        <x:v>/Users/devups/Development/CodexProjects/Gccs/docs/production-readiness-launch-closure-evidence.md; /Users/devups/Development/CodexProjects/Gccs/docs/production-readiness-completed-story-dod-review.md</x:v>
      </x:c>
      <x:c r="O455" s="19" t="n">
        <x:v>46269.666666666664</x:v>
      </x:c>
      <x:c r="P455" s="21" t="str">
        <x:v>4 acceptance criteria; 0 TC references; implementation=yes; smoke=yes; automated=yes; Production readiness verification workflow</x:v>
      </x:c>
      <x:c r="Q455" s="21" t="str"/>
      <x:c r="R455" s="21" t="str">
        <x:v>Retain evidence and rerun the applicable gate if launch scope, infrastructure, or regulated-data posture changes.</x:v>
      </x:c>
      <x:c r="S455" s="18" t="str"/>
      <x:c r="T455" s="20"/>
      <x:c r="U455" s="21" t="str">
        <x:v>Evidence does not authorize broader production separation of duties, real CUI, FedRAMP status, or government approval.</x:v>
      </x:c>
      <x:c r="V455" s="1"/>
    </x:row>
    <x:row r="456" ht="46" customHeight="1">
      <x:c r="A456" s="17" t="n">
        <x:v>452</x:v>
      </x:c>
      <x:c r="B456" s="17" t="str">
        <x:v>Production Readiness</x:v>
      </x:c>
      <x:c r="C456" s="17" t="str">
        <x:v>PR-8.3</x:v>
      </x:c>
      <x:c r="D456" s="21" t="str">
        <x:v>Gate Phase 2 Until MVP Controls Are Stable</x:v>
      </x:c>
      <x:c r="E456" s="17" t="n">
        <x:v>3</x:v>
      </x:c>
      <x:c r="F456" s="21" t="str">
        <x:v>Define stability criteria for unblocking Phase 2.</x:v>
      </x:c>
      <x:c r="G456" s="17" t="str">
        <x:v>Production readiness / governance</x:v>
      </x:c>
      <x:c r="H456" s="17" t="str">
        <x:v>Planned</x:v>
      </x:c>
      <x:c r="I456" s="18" t="str">
        <x:v>Completed</x:v>
      </x:c>
      <x:c r="J456" s="17" t="str">
        <x:f>IF(OR(I456="Completed",I456="Not Applicable"),"No","Yes")</x:f>
        <x:v>No</x:v>
      </x:c>
      <x:c r="K456" s="17" t="str">
        <x:v>PR-8.3 task 2</x:v>
      </x:c>
      <x:c r="L456" s="21" t="str">
        <x:v>Production-readiness closure/evidence set records completion for the solo-controlled No-CUI pilot scope.</x:v>
      </x:c>
      <x:c r="M456" s="17" t="str">
        <x:v>Governed readiness evidence</x:v>
      </x:c>
      <x:c r="N456" s="21" t="str">
        <x:v>/Users/devups/Development/CodexProjects/Gccs/docs/production-readiness-launch-closure-evidence.md; /Users/devups/Development/CodexProjects/Gccs/docs/production-readiness-completed-story-dod-review.md</x:v>
      </x:c>
      <x:c r="O456" s="19" t="n">
        <x:v>46269.666666666664</x:v>
      </x:c>
      <x:c r="P456" s="21" t="str">
        <x:v>4 acceptance criteria; 0 TC references; implementation=yes; smoke=yes; automated=yes; Production readiness verification workflow</x:v>
      </x:c>
      <x:c r="Q456" s="21" t="str"/>
      <x:c r="R456" s="21" t="str">
        <x:v>Retain evidence and rerun the applicable gate if launch scope, infrastructure, or regulated-data posture changes.</x:v>
      </x:c>
      <x:c r="S456" s="18" t="str"/>
      <x:c r="T456" s="20"/>
      <x:c r="U456" s="21" t="str">
        <x:v>Evidence does not authorize broader production separation of duties, real CUI, FedRAMP status, or government approval.</x:v>
      </x:c>
      <x:c r="V456" s="1"/>
    </x:row>
    <x:row r="457" ht="46" customHeight="1">
      <x:c r="A457" s="17" t="n">
        <x:v>453</x:v>
      </x:c>
      <x:c r="B457" s="17" t="str">
        <x:v>Production Readiness</x:v>
      </x:c>
      <x:c r="C457" s="17" t="str">
        <x:v>PR-8.3</x:v>
      </x:c>
      <x:c r="D457" s="21" t="str">
        <x:v>Gate Phase 2 Until MVP Controls Are Stable</x:v>
      </x:c>
      <x:c r="E457" s="17" t="n">
        <x:v>4</x:v>
      </x:c>
      <x:c r="F457" s="21" t="str">
        <x:v>Record Phase 2 gate status and required approvals.</x:v>
      </x:c>
      <x:c r="G457" s="17" t="str">
        <x:v>Production readiness / governance</x:v>
      </x:c>
      <x:c r="H457" s="17" t="str">
        <x:v>Planned</x:v>
      </x:c>
      <x:c r="I457" s="18" t="str">
        <x:v>Completed</x:v>
      </x:c>
      <x:c r="J457" s="17" t="str">
        <x:f>IF(OR(I457="Completed",I457="Not Applicable"),"No","Yes")</x:f>
        <x:v>No</x:v>
      </x:c>
      <x:c r="K457" s="17" t="str">
        <x:v>PR-8.3 task 3</x:v>
      </x:c>
      <x:c r="L457" s="21" t="str">
        <x:v>Production-readiness closure/evidence set records completion for the solo-controlled No-CUI pilot scope.</x:v>
      </x:c>
      <x:c r="M457" s="17" t="str">
        <x:v>Governed readiness evidence</x:v>
      </x:c>
      <x:c r="N457" s="21" t="str">
        <x:v>/Users/devups/Development/CodexProjects/Gccs/docs/production-readiness-launch-closure-evidence.md; /Users/devups/Development/CodexProjects/Gccs/docs/production-readiness-completed-story-dod-review.md</x:v>
      </x:c>
      <x:c r="O457" s="19" t="n">
        <x:v>46269.666666666664</x:v>
      </x:c>
      <x:c r="P457" s="21" t="str">
        <x:v>4 acceptance criteria; 0 TC references; implementation=yes; smoke=yes; automated=yes; Production readiness verification workflow</x:v>
      </x:c>
      <x:c r="Q457" s="21" t="str"/>
      <x:c r="R457" s="21" t="str">
        <x:v>Retain evidence and rerun the applicable gate if launch scope, infrastructure, or regulated-data posture changes.</x:v>
      </x:c>
      <x:c r="S457" s="18" t="str"/>
      <x:c r="T457" s="20"/>
      <x:c r="U457" s="21" t="str">
        <x:v>Evidence does not authorize broader production separation of duties, real CUI, FedRAMP status, or government approval.</x:v>
      </x:c>
      <x:c r="V457" s="1"/>
    </x:row>
    <x:row r="458" ht="46" customHeight="1">
      <x:c r="A458" s="17" t="n">
        <x:v>454</x:v>
      </x:c>
      <x:c r="B458" s="17" t="str">
        <x:v>Phase 2</x:v>
      </x:c>
      <x:c r="C458" s="17" t="str">
        <x:v>18.1</x:v>
      </x:c>
      <x:c r="D458" s="21" t="str">
        <x:v>Extraction Job Intake</x:v>
      </x:c>
      <x:c r="E458" s="17" t="n">
        <x:v>1</x:v>
      </x:c>
      <x:c r="F458" s="21" t="str">
        <x:v>Add extraction job model with status, source document, tenant, requested by, started date, completed date, and failure reason.</x:v>
      </x:c>
      <x:c r="G458" s="17" t="str">
        <x:v>Software implementation</x:v>
      </x:c>
      <x:c r="H458" s="17" t="str">
        <x:v>Planned</x:v>
      </x:c>
      <x:c r="I458" s="18" t="str">
        <x:v>Completed</x:v>
      </x:c>
      <x:c r="J458" s="17" t="str">
        <x:f>IF(OR(I458="Completed",I458="Not Applicable"),"No","Yes")</x:f>
        <x:v>No</x:v>
      </x:c>
      <x:c r="K458" s="17" t="str"/>
      <x:c r="L458" s="21" t="str">
        <x:v>Story-labeled commit dd130559 contains delivery and focused test/test-result files: feat: implement story 18.1 extraction job intake</x:v>
      </x:c>
      <x:c r="M458" s="17" t="str">
        <x:v>Implementation commit + focused test artifacts</x:v>
      </x:c>
      <x:c r="N458" s="21" t="str">
        <x:v>git commit dd130559a1974d94c95647cdb2e7be71dc64f89d; /Users/devups/Development/CodexProjects/Gccs/docs/development-story-test-cases.md</x:v>
      </x:c>
      <x:c r="O458" s="19" t="n">
        <x:v>46190.88704861111</x:v>
      </x:c>
      <x:c r="P458" s="21" t="str">
        <x:v>5 acceptance criteria; 5 TC references; implementation=yes; smoke=yes; automated=no; Story-level regression template</x:v>
      </x:c>
      <x:c r="Q458" s="21" t="str"/>
      <x:c r="R458" s="21" t="str">
        <x:v>Retain traceability; rerun focused verification if the affected boundary changes.</x:v>
      </x:c>
      <x:c r="S458" s="18" t="str"/>
      <x:c r="T458" s="20"/>
      <x:c r="U458" s="21" t="str">
        <x:v>Completion is based on immutable repository evidence; tests were not rerun and current working-tree drift was not re-certified in this reporting-only task.</x:v>
      </x:c>
      <x:c r="V458" s="1"/>
    </x:row>
    <x:row r="459" ht="46" customHeight="1">
      <x:c r="A459" s="17" t="n">
        <x:v>455</x:v>
      </x:c>
      <x:c r="B459" s="17" t="str">
        <x:v>Phase 2</x:v>
      </x:c>
      <x:c r="C459" s="17" t="str">
        <x:v>18.1</x:v>
      </x:c>
      <x:c r="D459" s="21" t="str">
        <x:v>Extraction Job Intake</x:v>
      </x:c>
      <x:c r="E459" s="17" t="n">
        <x:v>2</x:v>
      </x:c>
      <x:c r="F459" s="21" t="str">
        <x:v>Add API endpoint to start extraction from an existing contract document.</x:v>
      </x:c>
      <x:c r="G459" s="17" t="str">
        <x:v>Software implementation</x:v>
      </x:c>
      <x:c r="H459" s="17" t="str">
        <x:v>Planned</x:v>
      </x:c>
      <x:c r="I459" s="18" t="str">
        <x:v>Completed</x:v>
      </x:c>
      <x:c r="J459" s="17" t="str">
        <x:f>IF(OR(I459="Completed",I459="Not Applicable"),"No","Yes")</x:f>
        <x:v>No</x:v>
      </x:c>
      <x:c r="K459" s="17" t="str">
        <x:v>18.1 task 1</x:v>
      </x:c>
      <x:c r="L459" s="21" t="str">
        <x:v>Story-labeled commit dd130559 contains delivery and focused test/test-result files: feat: implement story 18.1 extraction job intake</x:v>
      </x:c>
      <x:c r="M459" s="17" t="str">
        <x:v>Implementation commit + focused test artifacts</x:v>
      </x:c>
      <x:c r="N459" s="21" t="str">
        <x:v>git commit dd130559a1974d94c95647cdb2e7be71dc64f89d; /Users/devups/Development/CodexProjects/Gccs/docs/development-story-test-cases.md</x:v>
      </x:c>
      <x:c r="O459" s="19" t="n">
        <x:v>46190.88704861111</x:v>
      </x:c>
      <x:c r="P459" s="21" t="str">
        <x:v>5 acceptance criteria; 5 TC references; implementation=yes; smoke=yes; automated=no; Story-level regression template</x:v>
      </x:c>
      <x:c r="Q459" s="21" t="str"/>
      <x:c r="R459" s="21" t="str">
        <x:v>Retain traceability; rerun focused verification if the affected boundary changes.</x:v>
      </x:c>
      <x:c r="S459" s="18" t="str"/>
      <x:c r="T459" s="20"/>
      <x:c r="U459" s="21" t="str">
        <x:v>Completion is based on immutable repository evidence; tests were not rerun and current working-tree drift was not re-certified in this reporting-only task.</x:v>
      </x:c>
      <x:c r="V459" s="1"/>
    </x:row>
    <x:row r="460" ht="46" customHeight="1">
      <x:c r="A460" s="17" t="n">
        <x:v>456</x:v>
      </x:c>
      <x:c r="B460" s="17" t="str">
        <x:v>Phase 2</x:v>
      </x:c>
      <x:c r="C460" s="17" t="str">
        <x:v>18.1</x:v>
      </x:c>
      <x:c r="D460" s="21" t="str">
        <x:v>Extraction Job Intake</x:v>
      </x:c>
      <x:c r="E460" s="17" t="n">
        <x:v>3</x:v>
      </x:c>
      <x:c r="F460" s="21" t="str">
        <x:v>Add queue worker or background service stub for processing extraction jobs.</x:v>
      </x:c>
      <x:c r="G460" s="17" t="str">
        <x:v>Software implementation</x:v>
      </x:c>
      <x:c r="H460" s="17" t="str">
        <x:v>Planned</x:v>
      </x:c>
      <x:c r="I460" s="18" t="str">
        <x:v>Completed</x:v>
      </x:c>
      <x:c r="J460" s="17" t="str">
        <x:f>IF(OR(I460="Completed",I460="Not Applicable"),"No","Yes")</x:f>
        <x:v>No</x:v>
      </x:c>
      <x:c r="K460" s="17" t="str">
        <x:v>18.1 task 2</x:v>
      </x:c>
      <x:c r="L460" s="21" t="str">
        <x:v>Story-labeled commit dd130559 contains delivery and focused test/test-result files: feat: implement story 18.1 extraction job intake</x:v>
      </x:c>
      <x:c r="M460" s="17" t="str">
        <x:v>Implementation commit + focused test artifacts</x:v>
      </x:c>
      <x:c r="N460" s="21" t="str">
        <x:v>git commit dd130559a1974d94c95647cdb2e7be71dc64f89d; /Users/devups/Development/CodexProjects/Gccs/docs/development-story-test-cases.md</x:v>
      </x:c>
      <x:c r="O460" s="19" t="n">
        <x:v>46190.88704861111</x:v>
      </x:c>
      <x:c r="P460" s="21" t="str">
        <x:v>5 acceptance criteria; 5 TC references; implementation=yes; smoke=yes; automated=no; Story-level regression template</x:v>
      </x:c>
      <x:c r="Q460" s="21" t="str"/>
      <x:c r="R460" s="21" t="str">
        <x:v>Retain traceability; rerun focused verification if the affected boundary changes.</x:v>
      </x:c>
      <x:c r="S460" s="18" t="str"/>
      <x:c r="T460" s="20"/>
      <x:c r="U460" s="21" t="str">
        <x:v>Completion is based on immutable repository evidence; tests were not rerun and current working-tree drift was not re-certified in this reporting-only task.</x:v>
      </x:c>
      <x:c r="V460" s="1"/>
    </x:row>
    <x:row r="461" ht="46" customHeight="1">
      <x:c r="A461" s="17" t="n">
        <x:v>457</x:v>
      </x:c>
      <x:c r="B461" s="17" t="str">
        <x:v>Phase 2</x:v>
      </x:c>
      <x:c r="C461" s="17" t="str">
        <x:v>18.1</x:v>
      </x:c>
      <x:c r="D461" s="21" t="str">
        <x:v>Extraction Job Intake</x:v>
      </x:c>
      <x:c r="E461" s="17" t="n">
        <x:v>4</x:v>
      </x:c>
      <x:c r="F461" s="21" t="str">
        <x:v>Add UI action to start extraction from the contract document detail view.</x:v>
      </x:c>
      <x:c r="G461" s="17" t="str">
        <x:v>Software implementation</x:v>
      </x:c>
      <x:c r="H461" s="17" t="str">
        <x:v>Planned</x:v>
      </x:c>
      <x:c r="I461" s="18" t="str">
        <x:v>Completed</x:v>
      </x:c>
      <x:c r="J461" s="17" t="str">
        <x:f>IF(OR(I461="Completed",I461="Not Applicable"),"No","Yes")</x:f>
        <x:v>No</x:v>
      </x:c>
      <x:c r="K461" s="17" t="str">
        <x:v>18.1 task 3</x:v>
      </x:c>
      <x:c r="L461" s="21" t="str">
        <x:v>Story-labeled commit dd130559 contains delivery and focused test/test-result files: feat: implement story 18.1 extraction job intake</x:v>
      </x:c>
      <x:c r="M461" s="17" t="str">
        <x:v>Implementation commit + focused test artifacts</x:v>
      </x:c>
      <x:c r="N461" s="21" t="str">
        <x:v>git commit dd130559a1974d94c95647cdb2e7be71dc64f89d; /Users/devups/Development/CodexProjects/Gccs/docs/development-story-test-cases.md</x:v>
      </x:c>
      <x:c r="O461" s="19" t="n">
        <x:v>46190.88704861111</x:v>
      </x:c>
      <x:c r="P461" s="21" t="str">
        <x:v>5 acceptance criteria; 5 TC references; implementation=yes; smoke=yes; automated=no; Story-level regression template</x:v>
      </x:c>
      <x:c r="Q461" s="21" t="str"/>
      <x:c r="R461" s="21" t="str">
        <x:v>Retain traceability; rerun focused verification if the affected boundary changes.</x:v>
      </x:c>
      <x:c r="S461" s="18" t="str"/>
      <x:c r="T461" s="20"/>
      <x:c r="U461" s="21" t="str">
        <x:v>Completion is based on immutable repository evidence; tests were not rerun and current working-tree drift was not re-certified in this reporting-only task.</x:v>
      </x:c>
      <x:c r="V461" s="1"/>
    </x:row>
    <x:row r="462" ht="46" customHeight="1">
      <x:c r="A462" s="17" t="n">
        <x:v>458</x:v>
      </x:c>
      <x:c r="B462" s="17" t="str">
        <x:v>Phase 2</x:v>
      </x:c>
      <x:c r="C462" s="17" t="str">
        <x:v>18.1</x:v>
      </x:c>
      <x:c r="D462" s="21" t="str">
        <x:v>Extraction Job Intake</x:v>
      </x:c>
      <x:c r="E462" s="17" t="n">
        <x:v>5</x:v>
      </x:c>
      <x:c r="F462" s="21" t="str">
        <x:v>Add audit events for extraction job creation, completion, and failure.</x:v>
      </x:c>
      <x:c r="G462" s="17" t="str">
        <x:v>Software implementation</x:v>
      </x:c>
      <x:c r="H462" s="17" t="str">
        <x:v>Planned</x:v>
      </x:c>
      <x:c r="I462" s="18" t="str">
        <x:v>Completed</x:v>
      </x:c>
      <x:c r="J462" s="17" t="str">
        <x:f>IF(OR(I462="Completed",I462="Not Applicable"),"No","Yes")</x:f>
        <x:v>No</x:v>
      </x:c>
      <x:c r="K462" s="17" t="str">
        <x:v>18.1 task 4</x:v>
      </x:c>
      <x:c r="L462" s="21" t="str">
        <x:v>Story-labeled commit dd130559 contains delivery and focused test/test-result files: feat: implement story 18.1 extraction job intake</x:v>
      </x:c>
      <x:c r="M462" s="17" t="str">
        <x:v>Implementation commit + focused test artifacts</x:v>
      </x:c>
      <x:c r="N462" s="21" t="str">
        <x:v>git commit dd130559a1974d94c95647cdb2e7be71dc64f89d; /Users/devups/Development/CodexProjects/Gccs/docs/development-story-test-cases.md</x:v>
      </x:c>
      <x:c r="O462" s="19" t="n">
        <x:v>46190.88704861111</x:v>
      </x:c>
      <x:c r="P462" s="21" t="str">
        <x:v>5 acceptance criteria; 5 TC references; implementation=yes; smoke=yes; automated=no; Story-level regression template</x:v>
      </x:c>
      <x:c r="Q462" s="21" t="str"/>
      <x:c r="R462" s="21" t="str">
        <x:v>Retain traceability; rerun focused verification if the affected boundary changes.</x:v>
      </x:c>
      <x:c r="S462" s="18" t="str"/>
      <x:c r="T462" s="20"/>
      <x:c r="U462" s="21" t="str">
        <x:v>Completion is based on immutable repository evidence; tests were not rerun and current working-tree drift was not re-certified in this reporting-only task.</x:v>
      </x:c>
      <x:c r="V462" s="1"/>
    </x:row>
    <x:row r="463" ht="46" customHeight="1">
      <x:c r="A463" s="17" t="n">
        <x:v>459</x:v>
      </x:c>
      <x:c r="B463" s="17" t="str">
        <x:v>Phase 2</x:v>
      </x:c>
      <x:c r="C463" s="17" t="str">
        <x:v>18.2</x:v>
      </x:c>
      <x:c r="D463" s="21" t="str">
        <x:v>Text Extraction And Clause Candidate Detection</x:v>
      </x:c>
      <x:c r="E463" s="17" t="n">
        <x:v>1</x:v>
      </x:c>
      <x:c r="F463" s="21" t="str">
        <x:v>Extract text from supported non-CUI document formats already allowed by the MVP upload policy.</x:v>
      </x:c>
      <x:c r="G463" s="17" t="str">
        <x:v>Software implementation</x:v>
      </x:c>
      <x:c r="H463" s="17" t="str">
        <x:v>Planned</x:v>
      </x:c>
      <x:c r="I463" s="18" t="str">
        <x:v>Completed</x:v>
      </x:c>
      <x:c r="J463" s="17" t="str">
        <x:f>IF(OR(I463="Completed",I463="Not Applicable"),"No","Yes")</x:f>
        <x:v>No</x:v>
      </x:c>
      <x:c r="K463" s="17" t="str">
        <x:v>18.1</x:v>
      </x:c>
      <x:c r="L463" s="21" t="str">
        <x:v>Story-labeled commit 16c7cf87 contains delivery and focused test/test-result files: feat: implement story 18.2 clause candidate detection</x:v>
      </x:c>
      <x:c r="M463" s="17" t="str">
        <x:v>Implementation commit + focused test artifacts</x:v>
      </x:c>
      <x:c r="N463" s="21" t="str">
        <x:v>git commit 16c7cf873300ceaf7dc9ed89ee609199f591ad09; /Users/devups/Development/CodexProjects/Gccs/docs/development-story-test-cases.md</x:v>
      </x:c>
      <x:c r="O463" s="19" t="n">
        <x:v>46190.89040509259</x:v>
      </x:c>
      <x:c r="P463" s="21" t="str">
        <x:v>5 acceptance criteria; 5 TC references; implementation=yes; smoke=yes; automated=no; Story-level regression template</x:v>
      </x:c>
      <x:c r="Q463" s="21" t="str"/>
      <x:c r="R463" s="21" t="str">
        <x:v>Retain traceability; rerun focused verification if the affected boundary changes.</x:v>
      </x:c>
      <x:c r="S463" s="18" t="str"/>
      <x:c r="T463" s="20"/>
      <x:c r="U463" s="21" t="str">
        <x:v>Completion is based on immutable repository evidence; tests were not rerun and current working-tree drift was not re-certified in this reporting-only task.</x:v>
      </x:c>
      <x:c r="V463" s="1"/>
    </x:row>
    <x:row r="464" ht="46" customHeight="1">
      <x:c r="A464" s="17" t="n">
        <x:v>460</x:v>
      </x:c>
      <x:c r="B464" s="17" t="str">
        <x:v>Phase 2</x:v>
      </x:c>
      <x:c r="C464" s="17" t="str">
        <x:v>18.2</x:v>
      </x:c>
      <x:c r="D464" s="21" t="str">
        <x:v>Text Extraction And Clause Candidate Detection</x:v>
      </x:c>
      <x:c r="E464" s="17" t="n">
        <x:v>2</x:v>
      </x:c>
      <x:c r="F464" s="21" t="str">
        <x:v>Detect clause references such as FAR, DFARS, agency supplement, and local clause identifiers.</x:v>
      </x:c>
      <x:c r="G464" s="17" t="str">
        <x:v>Software implementation</x:v>
      </x:c>
      <x:c r="H464" s="17" t="str">
        <x:v>Planned</x:v>
      </x:c>
      <x:c r="I464" s="18" t="str">
        <x:v>Completed</x:v>
      </x:c>
      <x:c r="J464" s="17" t="str">
        <x:f>IF(OR(I464="Completed",I464="Not Applicable"),"No","Yes")</x:f>
        <x:v>No</x:v>
      </x:c>
      <x:c r="K464" s="17" t="str">
        <x:v>18.2 task 1</x:v>
      </x:c>
      <x:c r="L464" s="21" t="str">
        <x:v>Story-labeled commit 16c7cf87 contains delivery and focused test/test-result files: feat: implement story 18.2 clause candidate detection</x:v>
      </x:c>
      <x:c r="M464" s="17" t="str">
        <x:v>Implementation commit + focused test artifacts</x:v>
      </x:c>
      <x:c r="N464" s="21" t="str">
        <x:v>git commit 16c7cf873300ceaf7dc9ed89ee609199f591ad09; /Users/devups/Development/CodexProjects/Gccs/docs/development-story-test-cases.md</x:v>
      </x:c>
      <x:c r="O464" s="19" t="n">
        <x:v>46190.89040509259</x:v>
      </x:c>
      <x:c r="P464" s="21" t="str">
        <x:v>5 acceptance criteria; 5 TC references; implementation=yes; smoke=yes; automated=no; Story-level regression template</x:v>
      </x:c>
      <x:c r="Q464" s="21" t="str"/>
      <x:c r="R464" s="21" t="str">
        <x:v>Retain traceability; rerun focused verification if the affected boundary changes.</x:v>
      </x:c>
      <x:c r="S464" s="18" t="str"/>
      <x:c r="T464" s="20"/>
      <x:c r="U464" s="21" t="str">
        <x:v>Completion is based on immutable repository evidence; tests were not rerun and current working-tree drift was not re-certified in this reporting-only task.</x:v>
      </x:c>
      <x:c r="V464" s="1"/>
    </x:row>
    <x:row r="465" ht="46" customHeight="1">
      <x:c r="A465" s="17" t="n">
        <x:v>461</x:v>
      </x:c>
      <x:c r="B465" s="17" t="str">
        <x:v>Phase 2</x:v>
      </x:c>
      <x:c r="C465" s="17" t="str">
        <x:v>18.2</x:v>
      </x:c>
      <x:c r="D465" s="21" t="str">
        <x:v>Text Extraction And Clause Candidate Detection</x:v>
      </x:c>
      <x:c r="E465" s="17" t="n">
        <x:v>3</x:v>
      </x:c>
      <x:c r="F465" s="21" t="str">
        <x:v>Store clause candidates with raw text, normalized clause number, title when detected, page or location metadata, confidence score, and match method.</x:v>
      </x:c>
      <x:c r="G465" s="17" t="str">
        <x:v>Software implementation</x:v>
      </x:c>
      <x:c r="H465" s="17" t="str">
        <x:v>Planned</x:v>
      </x:c>
      <x:c r="I465" s="18" t="str">
        <x:v>Completed</x:v>
      </x:c>
      <x:c r="J465" s="17" t="str">
        <x:f>IF(OR(I465="Completed",I465="Not Applicable"),"No","Yes")</x:f>
        <x:v>No</x:v>
      </x:c>
      <x:c r="K465" s="17" t="str">
        <x:v>18.2 task 2</x:v>
      </x:c>
      <x:c r="L465" s="21" t="str">
        <x:v>Story-labeled commit 16c7cf87 contains delivery and focused test/test-result files: feat: implement story 18.2 clause candidate detection</x:v>
      </x:c>
      <x:c r="M465" s="17" t="str">
        <x:v>Implementation commit + focused test artifacts</x:v>
      </x:c>
      <x:c r="N465" s="21" t="str">
        <x:v>git commit 16c7cf873300ceaf7dc9ed89ee609199f591ad09; /Users/devups/Development/CodexProjects/Gccs/docs/development-story-test-cases.md</x:v>
      </x:c>
      <x:c r="O465" s="19" t="n">
        <x:v>46190.89040509259</x:v>
      </x:c>
      <x:c r="P465" s="21" t="str">
        <x:v>5 acceptance criteria; 5 TC references; implementation=yes; smoke=yes; automated=no; Story-level regression template</x:v>
      </x:c>
      <x:c r="Q465" s="21" t="str"/>
      <x:c r="R465" s="21" t="str">
        <x:v>Retain traceability; rerun focused verification if the affected boundary changes.</x:v>
      </x:c>
      <x:c r="S465" s="18" t="str"/>
      <x:c r="T465" s="20"/>
      <x:c r="U465" s="21" t="str">
        <x:v>Completion is based on immutable repository evidence; tests were not rerun and current working-tree drift was not re-certified in this reporting-only task.</x:v>
      </x:c>
      <x:c r="V465" s="1"/>
    </x:row>
    <x:row r="466" ht="46" customHeight="1">
      <x:c r="A466" s="17" t="n">
        <x:v>462</x:v>
      </x:c>
      <x:c r="B466" s="17" t="str">
        <x:v>Phase 2</x:v>
      </x:c>
      <x:c r="C466" s="17" t="str">
        <x:v>18.2</x:v>
      </x:c>
      <x:c r="D466" s="21" t="str">
        <x:v>Text Extraction And Clause Candidate Detection</x:v>
      </x:c>
      <x:c r="E466" s="17" t="n">
        <x:v>4</x:v>
      </x:c>
      <x:c r="F466" s="21" t="str">
        <x:v>Link candidates to known clause library records when an exact or high-confidence match exists.</x:v>
      </x:c>
      <x:c r="G466" s="17" t="str">
        <x:v>Software implementation</x:v>
      </x:c>
      <x:c r="H466" s="17" t="str">
        <x:v>Planned</x:v>
      </x:c>
      <x:c r="I466" s="18" t="str">
        <x:v>Completed</x:v>
      </x:c>
      <x:c r="J466" s="17" t="str">
        <x:f>IF(OR(I466="Completed",I466="Not Applicable"),"No","Yes")</x:f>
        <x:v>No</x:v>
      </x:c>
      <x:c r="K466" s="17" t="str">
        <x:v>18.2 task 3</x:v>
      </x:c>
      <x:c r="L466" s="21" t="str">
        <x:v>Story-labeled commit 16c7cf87 contains delivery and focused test/test-result files: feat: implement story 18.2 clause candidate detection</x:v>
      </x:c>
      <x:c r="M466" s="17" t="str">
        <x:v>Implementation commit + focused test artifacts</x:v>
      </x:c>
      <x:c r="N466" s="21" t="str">
        <x:v>git commit 16c7cf873300ceaf7dc9ed89ee609199f591ad09; /Users/devups/Development/CodexProjects/Gccs/docs/development-story-test-cases.md</x:v>
      </x:c>
      <x:c r="O466" s="19" t="n">
        <x:v>46190.89040509259</x:v>
      </x:c>
      <x:c r="P466" s="21" t="str">
        <x:v>5 acceptance criteria; 5 TC references; implementation=yes; smoke=yes; automated=no; Story-level regression template</x:v>
      </x:c>
      <x:c r="Q466" s="21" t="str"/>
      <x:c r="R466" s="21" t="str">
        <x:v>Retain traceability; rerun focused verification if the affected boundary changes.</x:v>
      </x:c>
      <x:c r="S466" s="18" t="str"/>
      <x:c r="T466" s="20"/>
      <x:c r="U466" s="21" t="str">
        <x:v>Completion is based on immutable repository evidence; tests were not rerun and current working-tree drift was not re-certified in this reporting-only task.</x:v>
      </x:c>
      <x:c r="V466" s="1"/>
    </x:row>
    <x:row r="467" ht="46" customHeight="1">
      <x:c r="A467" s="17" t="n">
        <x:v>463</x:v>
      </x:c>
      <x:c r="B467" s="17" t="str">
        <x:v>Phase 2</x:v>
      </x:c>
      <x:c r="C467" s="17" t="str">
        <x:v>18.2</x:v>
      </x:c>
      <x:c r="D467" s="21" t="str">
        <x:v>Text Extraction And Clause Candidate Detection</x:v>
      </x:c>
      <x:c r="E467" s="17" t="n">
        <x:v>5</x:v>
      </x:c>
      <x:c r="F467" s="21" t="str">
        <x:v>Add error handling for unsupported, encrypted, image-only, empty, or unreadable documents.</x:v>
      </x:c>
      <x:c r="G467" s="17" t="str">
        <x:v>Software implementation</x:v>
      </x:c>
      <x:c r="H467" s="17" t="str">
        <x:v>Planned</x:v>
      </x:c>
      <x:c r="I467" s="18" t="str">
        <x:v>Completed</x:v>
      </x:c>
      <x:c r="J467" s="17" t="str">
        <x:f>IF(OR(I467="Completed",I467="Not Applicable"),"No","Yes")</x:f>
        <x:v>No</x:v>
      </x:c>
      <x:c r="K467" s="17" t="str">
        <x:v>18.2 task 4</x:v>
      </x:c>
      <x:c r="L467" s="21" t="str">
        <x:v>Story-labeled commit 16c7cf87 contains delivery and focused test/test-result files: feat: implement story 18.2 clause candidate detection</x:v>
      </x:c>
      <x:c r="M467" s="17" t="str">
        <x:v>Implementation commit + focused test artifacts</x:v>
      </x:c>
      <x:c r="N467" s="21" t="str">
        <x:v>git commit 16c7cf873300ceaf7dc9ed89ee609199f591ad09; /Users/devups/Development/CodexProjects/Gccs/docs/development-story-test-cases.md</x:v>
      </x:c>
      <x:c r="O467" s="19" t="n">
        <x:v>46190.89040509259</x:v>
      </x:c>
      <x:c r="P467" s="21" t="str">
        <x:v>5 acceptance criteria; 5 TC references; implementation=yes; smoke=yes; automated=no; Story-level regression template</x:v>
      </x:c>
      <x:c r="Q467" s="21" t="str"/>
      <x:c r="R467" s="21" t="str">
        <x:v>Retain traceability; rerun focused verification if the affected boundary changes.</x:v>
      </x:c>
      <x:c r="S467" s="18" t="str"/>
      <x:c r="T467" s="20"/>
      <x:c r="U467" s="21" t="str">
        <x:v>Completion is based on immutable repository evidence; tests were not rerun and current working-tree drift was not re-certified in this reporting-only task.</x:v>
      </x:c>
      <x:c r="V467" s="1"/>
    </x:row>
    <x:row r="468" ht="46" customHeight="1">
      <x:c r="A468" s="17" t="n">
        <x:v>464</x:v>
      </x:c>
      <x:c r="B468" s="17" t="str">
        <x:v>Phase 2</x:v>
      </x:c>
      <x:c r="C468" s="17" t="str">
        <x:v>18.3</x:v>
      </x:c>
      <x:c r="D468" s="21" t="str">
        <x:v>Extraction Results Review Screen</x:v>
      </x:c>
      <x:c r="E468" s="17" t="n">
        <x:v>1</x:v>
      </x:c>
      <x:c r="F468" s="21" t="str">
        <x:v>Add extraction result list with filters for matched, unmatched, confidence, and review status.</x:v>
      </x:c>
      <x:c r="G468" s="17" t="str">
        <x:v>Software implementation</x:v>
      </x:c>
      <x:c r="H468" s="17" t="str">
        <x:v>Planned</x:v>
      </x:c>
      <x:c r="I468" s="18" t="str">
        <x:v>Completed</x:v>
      </x:c>
      <x:c r="J468" s="17" t="str">
        <x:f>IF(OR(I468="Completed",I468="Not Applicable"),"No","Yes")</x:f>
        <x:v>No</x:v>
      </x:c>
      <x:c r="K468" s="17" t="str">
        <x:v>18.2</x:v>
      </x:c>
      <x:c r="L468" s="21" t="str">
        <x:v>Story-labeled commit 396da2f1 contains delivery and focused test/test-result files: feat: implement story 18.3 extraction review</x:v>
      </x:c>
      <x:c r="M468" s="17" t="str">
        <x:v>Implementation commit + focused test artifacts</x:v>
      </x:c>
      <x:c r="N468" s="21" t="str">
        <x:v>git commit 396da2f15a62fc712696ca5e1b75b3a9670c71e0; /Users/devups/Development/CodexProjects/Gccs/docs/development-story-test-cases.md</x:v>
      </x:c>
      <x:c r="O468" s="19" t="n">
        <x:v>46190.89574074074</x:v>
      </x:c>
      <x:c r="P468" s="21" t="str">
        <x:v>5 acceptance criteria; 5 TC references; implementation=yes; smoke=yes; automated=no; Story-level regression template</x:v>
      </x:c>
      <x:c r="Q468" s="21" t="str"/>
      <x:c r="R468" s="21" t="str">
        <x:v>Retain traceability; rerun focused verification if the affected boundary changes.</x:v>
      </x:c>
      <x:c r="S468" s="18" t="str"/>
      <x:c r="T468" s="20"/>
      <x:c r="U468" s="21" t="str">
        <x:v>Completion is based on immutable repository evidence; tests were not rerun and current working-tree drift was not re-certified in this reporting-only task.</x:v>
      </x:c>
      <x:c r="V468" s="1"/>
    </x:row>
    <x:row r="469" ht="46" customHeight="1">
      <x:c r="A469" s="17" t="n">
        <x:v>465</x:v>
      </x:c>
      <x:c r="B469" s="17" t="str">
        <x:v>Phase 2</x:v>
      </x:c>
      <x:c r="C469" s="17" t="str">
        <x:v>18.3</x:v>
      </x:c>
      <x:c r="D469" s="21" t="str">
        <x:v>Extraction Results Review Screen</x:v>
      </x:c>
      <x:c r="E469" s="17" t="n">
        <x:v>2</x:v>
      </x:c>
      <x:c r="F469" s="21" t="str">
        <x:v>Add candidate detail view with extracted text, source location, proposed library match, and confidence.</x:v>
      </x:c>
      <x:c r="G469" s="17" t="str">
        <x:v>Software implementation</x:v>
      </x:c>
      <x:c r="H469" s="17" t="str">
        <x:v>Planned</x:v>
      </x:c>
      <x:c r="I469" s="18" t="str">
        <x:v>Completed</x:v>
      </x:c>
      <x:c r="J469" s="17" t="str">
        <x:f>IF(OR(I469="Completed",I469="Not Applicable"),"No","Yes")</x:f>
        <x:v>No</x:v>
      </x:c>
      <x:c r="K469" s="17" t="str">
        <x:v>18.3 task 1</x:v>
      </x:c>
      <x:c r="L469" s="21" t="str">
        <x:v>Story-labeled commit 396da2f1 contains delivery and focused test/test-result files: feat: implement story 18.3 extraction review</x:v>
      </x:c>
      <x:c r="M469" s="17" t="str">
        <x:v>Implementation commit + focused test artifacts</x:v>
      </x:c>
      <x:c r="N469" s="21" t="str">
        <x:v>git commit 396da2f15a62fc712696ca5e1b75b3a9670c71e0; /Users/devups/Development/CodexProjects/Gccs/docs/development-story-test-cases.md</x:v>
      </x:c>
      <x:c r="O469" s="19" t="n">
        <x:v>46190.89574074074</x:v>
      </x:c>
      <x:c r="P469" s="21" t="str">
        <x:v>5 acceptance criteria; 5 TC references; implementation=yes; smoke=yes; automated=no; Story-level regression template</x:v>
      </x:c>
      <x:c r="Q469" s="21" t="str"/>
      <x:c r="R469" s="21" t="str">
        <x:v>Retain traceability; rerun focused verification if the affected boundary changes.</x:v>
      </x:c>
      <x:c r="S469" s="18" t="str"/>
      <x:c r="T469" s="20"/>
      <x:c r="U469" s="21" t="str">
        <x:v>Completion is based on immutable repository evidence; tests were not rerun and current working-tree drift was not re-certified in this reporting-only task.</x:v>
      </x:c>
      <x:c r="V469" s="1"/>
    </x:row>
    <x:row r="470" ht="46" customHeight="1">
      <x:c r="A470" s="17" t="n">
        <x:v>466</x:v>
      </x:c>
      <x:c r="B470" s="17" t="str">
        <x:v>Phase 2</x:v>
      </x:c>
      <x:c r="C470" s="17" t="str">
        <x:v>18.3</x:v>
      </x:c>
      <x:c r="D470" s="21" t="str">
        <x:v>Extraction Results Review Screen</x:v>
      </x:c>
      <x:c r="E470" s="17" t="n">
        <x:v>3</x:v>
      </x:c>
      <x:c r="F470" s="21" t="str">
        <x:v>Add actions to accept, reject, edit citation, or link to a clause library record.</x:v>
      </x:c>
      <x:c r="G470" s="17" t="str">
        <x:v>Software implementation</x:v>
      </x:c>
      <x:c r="H470" s="17" t="str">
        <x:v>Planned</x:v>
      </x:c>
      <x:c r="I470" s="18" t="str">
        <x:v>Completed</x:v>
      </x:c>
      <x:c r="J470" s="17" t="str">
        <x:f>IF(OR(I470="Completed",I470="Not Applicable"),"No","Yes")</x:f>
        <x:v>No</x:v>
      </x:c>
      <x:c r="K470" s="17" t="str">
        <x:v>18.3 task 2</x:v>
      </x:c>
      <x:c r="L470" s="21" t="str">
        <x:v>Story-labeled commit 396da2f1 contains delivery and focused test/test-result files: feat: implement story 18.3 extraction review</x:v>
      </x:c>
      <x:c r="M470" s="17" t="str">
        <x:v>Implementation commit + focused test artifacts</x:v>
      </x:c>
      <x:c r="N470" s="21" t="str">
        <x:v>git commit 396da2f15a62fc712696ca5e1b75b3a9670c71e0; /Users/devups/Development/CodexProjects/Gccs/docs/development-story-test-cases.md</x:v>
      </x:c>
      <x:c r="O470" s="19" t="n">
        <x:v>46190.89574074074</x:v>
      </x:c>
      <x:c r="P470" s="21" t="str">
        <x:v>5 acceptance criteria; 5 TC references; implementation=yes; smoke=yes; automated=no; Story-level regression template</x:v>
      </x:c>
      <x:c r="Q470" s="21" t="str"/>
      <x:c r="R470" s="21" t="str">
        <x:v>Retain traceability; rerun focused verification if the affected boundary changes.</x:v>
      </x:c>
      <x:c r="S470" s="18" t="str"/>
      <x:c r="T470" s="20"/>
      <x:c r="U470" s="21" t="str">
        <x:v>Completion is based on immutable repository evidence; tests were not rerun and current working-tree drift was not re-certified in this reporting-only task.</x:v>
      </x:c>
      <x:c r="V470" s="1"/>
    </x:row>
    <x:row r="471" ht="46" customHeight="1">
      <x:c r="A471" s="17" t="n">
        <x:v>467</x:v>
      </x:c>
      <x:c r="B471" s="17" t="str">
        <x:v>Phase 2</x:v>
      </x:c>
      <x:c r="C471" s="17" t="str">
        <x:v>18.3</x:v>
      </x:c>
      <x:c r="D471" s="21" t="str">
        <x:v>Extraction Results Review Screen</x:v>
      </x:c>
      <x:c r="E471" s="17" t="n">
        <x:v>4</x:v>
      </x:c>
      <x:c r="F471" s="21" t="str">
        <x:v>Add empty, processing, failed, and completed states.</x:v>
      </x:c>
      <x:c r="G471" s="17" t="str">
        <x:v>Software implementation</x:v>
      </x:c>
      <x:c r="H471" s="17" t="str">
        <x:v>Planned</x:v>
      </x:c>
      <x:c r="I471" s="18" t="str">
        <x:v>Completed</x:v>
      </x:c>
      <x:c r="J471" s="17" t="str">
        <x:f>IF(OR(I471="Completed",I471="Not Applicable"),"No","Yes")</x:f>
        <x:v>No</x:v>
      </x:c>
      <x:c r="K471" s="17" t="str">
        <x:v>18.3 task 3</x:v>
      </x:c>
      <x:c r="L471" s="21" t="str">
        <x:v>Story-labeled commit 396da2f1 contains delivery and focused test/test-result files: feat: implement story 18.3 extraction review</x:v>
      </x:c>
      <x:c r="M471" s="17" t="str">
        <x:v>Implementation commit + focused test artifacts</x:v>
      </x:c>
      <x:c r="N471" s="21" t="str">
        <x:v>git commit 396da2f15a62fc712696ca5e1b75b3a9670c71e0; /Users/devups/Development/CodexProjects/Gccs/docs/development-story-test-cases.md</x:v>
      </x:c>
      <x:c r="O471" s="19" t="n">
        <x:v>46190.89574074074</x:v>
      </x:c>
      <x:c r="P471" s="21" t="str">
        <x:v>5 acceptance criteria; 5 TC references; implementation=yes; smoke=yes; automated=no; Story-level regression template</x:v>
      </x:c>
      <x:c r="Q471" s="21" t="str"/>
      <x:c r="R471" s="21" t="str">
        <x:v>Retain traceability; rerun focused verification if the affected boundary changes.</x:v>
      </x:c>
      <x:c r="S471" s="18" t="str"/>
      <x:c r="T471" s="20"/>
      <x:c r="U471" s="21" t="str">
        <x:v>Completion is based on immutable repository evidence; tests were not rerun and current working-tree drift was not re-certified in this reporting-only task.</x:v>
      </x:c>
      <x:c r="V471" s="1"/>
    </x:row>
    <x:row r="472" ht="46" customHeight="1">
      <x:c r="A472" s="17" t="n">
        <x:v>468</x:v>
      </x:c>
      <x:c r="B472" s="17" t="str">
        <x:v>Phase 2</x:v>
      </x:c>
      <x:c r="C472" s="17" t="str">
        <x:v>18.3</x:v>
      </x:c>
      <x:c r="D472" s="21" t="str">
        <x:v>Extraction Results Review Screen</x:v>
      </x:c>
      <x:c r="E472" s="17" t="n">
        <x:v>5</x:v>
      </x:c>
      <x:c r="F472" s="21" t="str">
        <x:v>Add result count and extraction status to the contract detail view.</x:v>
      </x:c>
      <x:c r="G472" s="17" t="str">
        <x:v>Software implementation</x:v>
      </x:c>
      <x:c r="H472" s="17" t="str">
        <x:v>Planned</x:v>
      </x:c>
      <x:c r="I472" s="18" t="str">
        <x:v>Completed</x:v>
      </x:c>
      <x:c r="J472" s="17" t="str">
        <x:f>IF(OR(I472="Completed",I472="Not Applicable"),"No","Yes")</x:f>
        <x:v>No</x:v>
      </x:c>
      <x:c r="K472" s="17" t="str">
        <x:v>18.3 task 4</x:v>
      </x:c>
      <x:c r="L472" s="21" t="str">
        <x:v>Story-labeled commit 396da2f1 contains delivery and focused test/test-result files: feat: implement story 18.3 extraction review</x:v>
      </x:c>
      <x:c r="M472" s="17" t="str">
        <x:v>Implementation commit + focused test artifacts</x:v>
      </x:c>
      <x:c r="N472" s="21" t="str">
        <x:v>git commit 396da2f15a62fc712696ca5e1b75b3a9670c71e0; /Users/devups/Development/CodexProjects/Gccs/docs/development-story-test-cases.md</x:v>
      </x:c>
      <x:c r="O472" s="19" t="n">
        <x:v>46190.89574074074</x:v>
      </x:c>
      <x:c r="P472" s="21" t="str">
        <x:v>5 acceptance criteria; 5 TC references; implementation=yes; smoke=yes; automated=no; Story-level regression template</x:v>
      </x:c>
      <x:c r="Q472" s="21" t="str"/>
      <x:c r="R472" s="21" t="str">
        <x:v>Retain traceability; rerun focused verification if the affected boundary changes.</x:v>
      </x:c>
      <x:c r="S472" s="18" t="str"/>
      <x:c r="T472" s="20"/>
      <x:c r="U472" s="21" t="str">
        <x:v>Completion is based on immutable repository evidence; tests were not rerun and current working-tree drift was not re-certified in this reporting-only task.</x:v>
      </x:c>
      <x:c r="V472" s="1"/>
    </x:row>
    <x:row r="473" ht="46" customHeight="1">
      <x:c r="A473" s="17" t="n">
        <x:v>469</x:v>
      </x:c>
      <x:c r="B473" s="17" t="str">
        <x:v>Phase 2</x:v>
      </x:c>
      <x:c r="C473" s="17" t="str">
        <x:v>19.1</x:v>
      </x:c>
      <x:c r="D473" s="21" t="str">
        <x:v>Review States For Extracted Clauses</x:v>
      </x:c>
      <x:c r="E473" s="17" t="n">
        <x:v>1</x:v>
      </x:c>
      <x:c r="F473" s="21" t="str">
        <x:v>Add review states for pending review, accepted, rejected, needs clarification, and superseded.</x:v>
      </x:c>
      <x:c r="G473" s="17" t="str">
        <x:v>Software implementation</x:v>
      </x:c>
      <x:c r="H473" s="17" t="str">
        <x:v>Planned</x:v>
      </x:c>
      <x:c r="I473" s="18" t="str">
        <x:v>Completed</x:v>
      </x:c>
      <x:c r="J473" s="17" t="str">
        <x:f>IF(OR(I473="Completed",I473="Not Applicable"),"No","Yes")</x:f>
        <x:v>No</x:v>
      </x:c>
      <x:c r="K473" s="17" t="str">
        <x:v>18.3</x:v>
      </x:c>
      <x:c r="L473" s="21" t="str">
        <x:v>Story-labeled commit 25c29fcd contains delivery and focused test/test-result files: feat: implement story 19.1 clause review states</x:v>
      </x:c>
      <x:c r="M473" s="17" t="str">
        <x:v>Implementation commit + focused test artifacts</x:v>
      </x:c>
      <x:c r="N473" s="21" t="str">
        <x:v>git commit 25c29fcd744545888127939661ae3f9562649464; /Users/devups/Development/CodexProjects/Gccs/docs/development-story-test-cases.md</x:v>
      </x:c>
      <x:c r="O473" s="19" t="n">
        <x:v>46190.940347222226</x:v>
      </x:c>
      <x:c r="P473" s="21" t="str">
        <x:v>5 acceptance criteria; 5 TC references; implementation=yes; smoke=yes; automated=no; Story-level regression template</x:v>
      </x:c>
      <x:c r="Q473" s="21" t="str"/>
      <x:c r="R473" s="21" t="str">
        <x:v>Retain traceability; rerun focused verification if the affected boundary changes.</x:v>
      </x:c>
      <x:c r="S473" s="18" t="str"/>
      <x:c r="T473" s="20"/>
      <x:c r="U473" s="21" t="str">
        <x:v>Completion is based on immutable repository evidence; tests were not rerun and current working-tree drift was not re-certified in this reporting-only task.</x:v>
      </x:c>
      <x:c r="V473" s="1"/>
    </x:row>
    <x:row r="474" ht="46" customHeight="1">
      <x:c r="A474" s="17" t="n">
        <x:v>470</x:v>
      </x:c>
      <x:c r="B474" s="17" t="str">
        <x:v>Phase 2</x:v>
      </x:c>
      <x:c r="C474" s="17" t="str">
        <x:v>19.1</x:v>
      </x:c>
      <x:c r="D474" s="21" t="str">
        <x:v>Review States For Extracted Clauses</x:v>
      </x:c>
      <x:c r="E474" s="17" t="n">
        <x:v>2</x:v>
      </x:c>
      <x:c r="F474" s="21" t="str">
        <x:v>Add reviewer, reviewed date, decision note, and decision reason fields.</x:v>
      </x:c>
      <x:c r="G474" s="17" t="str">
        <x:v>Software implementation</x:v>
      </x:c>
      <x:c r="H474" s="17" t="str">
        <x:v>Planned</x:v>
      </x:c>
      <x:c r="I474" s="18" t="str">
        <x:v>Completed</x:v>
      </x:c>
      <x:c r="J474" s="17" t="str">
        <x:f>IF(OR(I474="Completed",I474="Not Applicable"),"No","Yes")</x:f>
        <x:v>No</x:v>
      </x:c>
      <x:c r="K474" s="17" t="str">
        <x:v>19.1 task 1</x:v>
      </x:c>
      <x:c r="L474" s="21" t="str">
        <x:v>Story-labeled commit 25c29fcd contains delivery and focused test/test-result files: feat: implement story 19.1 clause review states</x:v>
      </x:c>
      <x:c r="M474" s="17" t="str">
        <x:v>Implementation commit + focused test artifacts</x:v>
      </x:c>
      <x:c r="N474" s="21" t="str">
        <x:v>git commit 25c29fcd744545888127939661ae3f9562649464; /Users/devups/Development/CodexProjects/Gccs/docs/development-story-test-cases.md</x:v>
      </x:c>
      <x:c r="O474" s="19" t="n">
        <x:v>46190.940347222226</x:v>
      </x:c>
      <x:c r="P474" s="21" t="str">
        <x:v>5 acceptance criteria; 5 TC references; implementation=yes; smoke=yes; automated=no; Story-level regression template</x:v>
      </x:c>
      <x:c r="Q474" s="21" t="str"/>
      <x:c r="R474" s="21" t="str">
        <x:v>Retain traceability; rerun focused verification if the affected boundary changes.</x:v>
      </x:c>
      <x:c r="S474" s="18" t="str"/>
      <x:c r="T474" s="20"/>
      <x:c r="U474" s="21" t="str">
        <x:v>Completion is based on immutable repository evidence; tests were not rerun and current working-tree drift was not re-certified in this reporting-only task.</x:v>
      </x:c>
      <x:c r="V474" s="1"/>
    </x:row>
    <x:row r="475" ht="46" customHeight="1">
      <x:c r="A475" s="17" t="n">
        <x:v>471</x:v>
      </x:c>
      <x:c r="B475" s="17" t="str">
        <x:v>Phase 2</x:v>
      </x:c>
      <x:c r="C475" s="17" t="str">
        <x:v>19.1</x:v>
      </x:c>
      <x:c r="D475" s="21" t="str">
        <x:v>Review States For Extracted Clauses</x:v>
      </x:c>
      <x:c r="E475" s="17" t="n">
        <x:v>3</x:v>
      </x:c>
      <x:c r="F475" s="21" t="str">
        <x:v>Enforce allowed state transitions in application services.</x:v>
      </x:c>
      <x:c r="G475" s="17" t="str">
        <x:v>Software implementation</x:v>
      </x:c>
      <x:c r="H475" s="17" t="str">
        <x:v>Planned</x:v>
      </x:c>
      <x:c r="I475" s="18" t="str">
        <x:v>Completed</x:v>
      </x:c>
      <x:c r="J475" s="17" t="str">
        <x:f>IF(OR(I475="Completed",I475="Not Applicable"),"No","Yes")</x:f>
        <x:v>No</x:v>
      </x:c>
      <x:c r="K475" s="17" t="str">
        <x:v>19.1 task 2</x:v>
      </x:c>
      <x:c r="L475" s="21" t="str">
        <x:v>Story-labeled commit 25c29fcd contains delivery and focused test/test-result files: feat: implement story 19.1 clause review states</x:v>
      </x:c>
      <x:c r="M475" s="17" t="str">
        <x:v>Implementation commit + focused test artifacts</x:v>
      </x:c>
      <x:c r="N475" s="21" t="str">
        <x:v>git commit 25c29fcd744545888127939661ae3f9562649464; /Users/devups/Development/CodexProjects/Gccs/docs/development-story-test-cases.md</x:v>
      </x:c>
      <x:c r="O475" s="19" t="n">
        <x:v>46190.940347222226</x:v>
      </x:c>
      <x:c r="P475" s="21" t="str">
        <x:v>5 acceptance criteria; 5 TC references; implementation=yes; smoke=yes; automated=no; Story-level regression template</x:v>
      </x:c>
      <x:c r="Q475" s="21" t="str"/>
      <x:c r="R475" s="21" t="str">
        <x:v>Retain traceability; rerun focused verification if the affected boundary changes.</x:v>
      </x:c>
      <x:c r="S475" s="18" t="str"/>
      <x:c r="T475" s="20"/>
      <x:c r="U475" s="21" t="str">
        <x:v>Completion is based on immutable repository evidence; tests were not rerun and current working-tree drift was not re-certified in this reporting-only task.</x:v>
      </x:c>
      <x:c r="V475" s="1"/>
    </x:row>
    <x:row r="476" ht="46" customHeight="1">
      <x:c r="A476" s="17" t="n">
        <x:v>472</x:v>
      </x:c>
      <x:c r="B476" s="17" t="str">
        <x:v>Phase 2</x:v>
      </x:c>
      <x:c r="C476" s="17" t="str">
        <x:v>19.1</x:v>
      </x:c>
      <x:c r="D476" s="21" t="str">
        <x:v>Review States For Extracted Clauses</x:v>
      </x:c>
      <x:c r="E476" s="17" t="n">
        <x:v>4</x:v>
      </x:c>
      <x:c r="F476" s="21" t="str">
        <x:v>Add review status filters to extraction result screens.</x:v>
      </x:c>
      <x:c r="G476" s="17" t="str">
        <x:v>Software implementation</x:v>
      </x:c>
      <x:c r="H476" s="17" t="str">
        <x:v>Planned</x:v>
      </x:c>
      <x:c r="I476" s="18" t="str">
        <x:v>Completed</x:v>
      </x:c>
      <x:c r="J476" s="17" t="str">
        <x:f>IF(OR(I476="Completed",I476="Not Applicable"),"No","Yes")</x:f>
        <x:v>No</x:v>
      </x:c>
      <x:c r="K476" s="17" t="str">
        <x:v>19.1 task 3</x:v>
      </x:c>
      <x:c r="L476" s="21" t="str">
        <x:v>Story-labeled commit 25c29fcd contains delivery and focused test/test-result files: feat: implement story 19.1 clause review states</x:v>
      </x:c>
      <x:c r="M476" s="17" t="str">
        <x:v>Implementation commit + focused test artifacts</x:v>
      </x:c>
      <x:c r="N476" s="21" t="str">
        <x:v>git commit 25c29fcd744545888127939661ae3f9562649464; /Users/devups/Development/CodexProjects/Gccs/docs/development-story-test-cases.md</x:v>
      </x:c>
      <x:c r="O476" s="19" t="n">
        <x:v>46190.940347222226</x:v>
      </x:c>
      <x:c r="P476" s="21" t="str">
        <x:v>5 acceptance criteria; 5 TC references; implementation=yes; smoke=yes; automated=no; Story-level regression template</x:v>
      </x:c>
      <x:c r="Q476" s="21" t="str"/>
      <x:c r="R476" s="21" t="str">
        <x:v>Retain traceability; rerun focused verification if the affected boundary changes.</x:v>
      </x:c>
      <x:c r="S476" s="18" t="str"/>
      <x:c r="T476" s="20"/>
      <x:c r="U476" s="21" t="str">
        <x:v>Completion is based on immutable repository evidence; tests were not rerun and current working-tree drift was not re-certified in this reporting-only task.</x:v>
      </x:c>
      <x:c r="V476" s="1"/>
    </x:row>
    <x:row r="477" ht="46" customHeight="1">
      <x:c r="A477" s="17" t="n">
        <x:v>473</x:v>
      </x:c>
      <x:c r="B477" s="17" t="str">
        <x:v>Phase 2</x:v>
      </x:c>
      <x:c r="C477" s="17" t="str">
        <x:v>19.1</x:v>
      </x:c>
      <x:c r="D477" s="21" t="str">
        <x:v>Review States For Extracted Clauses</x:v>
      </x:c>
      <x:c r="E477" s="17" t="n">
        <x:v>5</x:v>
      </x:c>
      <x:c r="F477" s="21" t="str">
        <x:v>Add audit events for state transitions.</x:v>
      </x:c>
      <x:c r="G477" s="17" t="str">
        <x:v>Software implementation</x:v>
      </x:c>
      <x:c r="H477" s="17" t="str">
        <x:v>Planned</x:v>
      </x:c>
      <x:c r="I477" s="18" t="str">
        <x:v>Completed</x:v>
      </x:c>
      <x:c r="J477" s="17" t="str">
        <x:f>IF(OR(I477="Completed",I477="Not Applicable"),"No","Yes")</x:f>
        <x:v>No</x:v>
      </x:c>
      <x:c r="K477" s="17" t="str">
        <x:v>19.1 task 4</x:v>
      </x:c>
      <x:c r="L477" s="21" t="str">
        <x:v>Story-labeled commit 25c29fcd contains delivery and focused test/test-result files: feat: implement story 19.1 clause review states</x:v>
      </x:c>
      <x:c r="M477" s="17" t="str">
        <x:v>Implementation commit + focused test artifacts</x:v>
      </x:c>
      <x:c r="N477" s="21" t="str">
        <x:v>git commit 25c29fcd744545888127939661ae3f9562649464; /Users/devups/Development/CodexProjects/Gccs/docs/development-story-test-cases.md</x:v>
      </x:c>
      <x:c r="O477" s="19" t="n">
        <x:v>46190.940347222226</x:v>
      </x:c>
      <x:c r="P477" s="21" t="str">
        <x:v>5 acceptance criteria; 5 TC references; implementation=yes; smoke=yes; automated=no; Story-level regression template</x:v>
      </x:c>
      <x:c r="Q477" s="21" t="str"/>
      <x:c r="R477" s="21" t="str">
        <x:v>Retain traceability; rerun focused verification if the affected boundary changes.</x:v>
      </x:c>
      <x:c r="S477" s="18" t="str"/>
      <x:c r="T477" s="20"/>
      <x:c r="U477" s="21" t="str">
        <x:v>Completion is based on immutable repository evidence; tests were not rerun and current working-tree drift was not re-certified in this reporting-only task.</x:v>
      </x:c>
      <x:c r="V477" s="1"/>
    </x:row>
    <x:row r="478" ht="46" customHeight="1">
      <x:c r="A478" s="17" t="n">
        <x:v>474</x:v>
      </x:c>
      <x:c r="B478" s="17" t="str">
        <x:v>Phase 2</x:v>
      </x:c>
      <x:c r="C478" s="17" t="str">
        <x:v>19.2</x:v>
      </x:c>
      <x:c r="D478" s="21" t="str">
        <x:v>AI-Suggested Obligation Review</x:v>
      </x:c>
      <x:c r="E478" s="17" t="n">
        <x:v>1</x:v>
      </x:c>
      <x:c r="F478" s="21" t="str">
        <x:v>Model suggested obligations separately from approved obligations.</x:v>
      </x:c>
      <x:c r="G478" s="17" t="str">
        <x:v>Software implementation</x:v>
      </x:c>
      <x:c r="H478" s="17" t="str">
        <x:v>Planned</x:v>
      </x:c>
      <x:c r="I478" s="18" t="str">
        <x:v>Completed</x:v>
      </x:c>
      <x:c r="J478" s="17" t="str">
        <x:f>IF(OR(I478="Completed",I478="Not Applicable"),"No","Yes")</x:f>
        <x:v>No</x:v>
      </x:c>
      <x:c r="K478" s="17" t="str">
        <x:v>19.1</x:v>
      </x:c>
      <x:c r="L478" s="21" t="str">
        <x:v>Story-labeled commit acfa64ff contains delivery and focused test/test-result files: feat: implement story 19.2 suggested obligation review</x:v>
      </x:c>
      <x:c r="M478" s="17" t="str">
        <x:v>Implementation commit + focused test artifacts</x:v>
      </x:c>
      <x:c r="N478" s="21" t="str">
        <x:v>git commit acfa64ffd5b24066f5c8fa0b6979f4e22de6c67e; /Users/devups/Development/CodexProjects/Gccs/docs/development-story-test-cases.md</x:v>
      </x:c>
      <x:c r="O478" s="19" t="n">
        <x:v>46190.94420138889</x:v>
      </x:c>
      <x:c r="P478" s="21" t="str">
        <x:v>5 acceptance criteria; 5 TC references; implementation=yes; smoke=yes; automated=no; Story-level regression template</x:v>
      </x:c>
      <x:c r="Q478" s="21" t="str"/>
      <x:c r="R478" s="21" t="str">
        <x:v>Retain traceability; rerun focused verification if the affected boundary changes.</x:v>
      </x:c>
      <x:c r="S478" s="18" t="str"/>
      <x:c r="T478" s="20"/>
      <x:c r="U478" s="21" t="str">
        <x:v>Completion is based on immutable repository evidence; tests were not rerun and current working-tree drift was not re-certified in this reporting-only task.</x:v>
      </x:c>
      <x:c r="V478" s="1"/>
    </x:row>
    <x:row r="479" ht="46" customHeight="1">
      <x:c r="A479" s="17" t="n">
        <x:v>475</x:v>
      </x:c>
      <x:c r="B479" s="17" t="str">
        <x:v>Phase 2</x:v>
      </x:c>
      <x:c r="C479" s="17" t="str">
        <x:v>19.2</x:v>
      </x:c>
      <x:c r="D479" s="21" t="str">
        <x:v>AI-Suggested Obligation Review</x:v>
      </x:c>
      <x:c r="E479" s="17" t="n">
        <x:v>2</x:v>
      </x:c>
      <x:c r="F479" s="21" t="str">
        <x:v>Store generated summary, proposed owner, required actions, evidence suggestions, source citations, confidence, prompt version, model identifier, and retrieved source references.</x:v>
      </x:c>
      <x:c r="G479" s="17" t="str">
        <x:v>Software implementation</x:v>
      </x:c>
      <x:c r="H479" s="17" t="str">
        <x:v>Planned</x:v>
      </x:c>
      <x:c r="I479" s="18" t="str">
        <x:v>Completed</x:v>
      </x:c>
      <x:c r="J479" s="17" t="str">
        <x:f>IF(OR(I479="Completed",I479="Not Applicable"),"No","Yes")</x:f>
        <x:v>No</x:v>
      </x:c>
      <x:c r="K479" s="17" t="str">
        <x:v>19.2 task 1</x:v>
      </x:c>
      <x:c r="L479" s="21" t="str">
        <x:v>Story-labeled commit acfa64ff contains delivery and focused test/test-result files: feat: implement story 19.2 suggested obligation review</x:v>
      </x:c>
      <x:c r="M479" s="17" t="str">
        <x:v>Implementation commit + focused test artifacts</x:v>
      </x:c>
      <x:c r="N479" s="21" t="str">
        <x:v>git commit acfa64ffd5b24066f5c8fa0b6979f4e22de6c67e; /Users/devups/Development/CodexProjects/Gccs/docs/development-story-test-cases.md</x:v>
      </x:c>
      <x:c r="O479" s="19" t="n">
        <x:v>46190.94420138889</x:v>
      </x:c>
      <x:c r="P479" s="21" t="str">
        <x:v>5 acceptance criteria; 5 TC references; implementation=yes; smoke=yes; automated=no; Story-level regression template</x:v>
      </x:c>
      <x:c r="Q479" s="21" t="str"/>
      <x:c r="R479" s="21" t="str">
        <x:v>Retain traceability; rerun focused verification if the affected boundary changes.</x:v>
      </x:c>
      <x:c r="S479" s="18" t="str"/>
      <x:c r="T479" s="20"/>
      <x:c r="U479" s="21" t="str">
        <x:v>Completion is based on immutable repository evidence; tests were not rerun and current working-tree drift was not re-certified in this reporting-only task.</x:v>
      </x:c>
      <x:c r="V479" s="1"/>
    </x:row>
    <x:row r="480" ht="46" customHeight="1">
      <x:c r="A480" s="17" t="n">
        <x:v>476</x:v>
      </x:c>
      <x:c r="B480" s="17" t="str">
        <x:v>Phase 2</x:v>
      </x:c>
      <x:c r="C480" s="17" t="str">
        <x:v>19.2</x:v>
      </x:c>
      <x:c r="D480" s="21" t="str">
        <x:v>AI-Suggested Obligation Review</x:v>
      </x:c>
      <x:c r="E480" s="17" t="n">
        <x:v>3</x:v>
      </x:c>
      <x:c r="F480" s="21" t="str">
        <x:v>Add review workflow for approve, revise, reject, and send to expert review.</x:v>
      </x:c>
      <x:c r="G480" s="17" t="str">
        <x:v>Software implementation</x:v>
      </x:c>
      <x:c r="H480" s="17" t="str">
        <x:v>Planned</x:v>
      </x:c>
      <x:c r="I480" s="18" t="str">
        <x:v>Completed</x:v>
      </x:c>
      <x:c r="J480" s="17" t="str">
        <x:f>IF(OR(I480="Completed",I480="Not Applicable"),"No","Yes")</x:f>
        <x:v>No</x:v>
      </x:c>
      <x:c r="K480" s="17" t="str">
        <x:v>19.2 task 2</x:v>
      </x:c>
      <x:c r="L480" s="21" t="str">
        <x:v>Story-labeled commit acfa64ff contains delivery and focused test/test-result files: feat: implement story 19.2 suggested obligation review</x:v>
      </x:c>
      <x:c r="M480" s="17" t="str">
        <x:v>Implementation commit + focused test artifacts</x:v>
      </x:c>
      <x:c r="N480" s="21" t="str">
        <x:v>git commit acfa64ffd5b24066f5c8fa0b6979f4e22de6c67e; /Users/devups/Development/CodexProjects/Gccs/docs/development-story-test-cases.md</x:v>
      </x:c>
      <x:c r="O480" s="19" t="n">
        <x:v>46190.94420138889</x:v>
      </x:c>
      <x:c r="P480" s="21" t="str">
        <x:v>5 acceptance criteria; 5 TC references; implementation=yes; smoke=yes; automated=no; Story-level regression template</x:v>
      </x:c>
      <x:c r="Q480" s="21" t="str"/>
      <x:c r="R480" s="21" t="str">
        <x:v>Retain traceability; rerun focused verification if the affected boundary changes.</x:v>
      </x:c>
      <x:c r="S480" s="18" t="str"/>
      <x:c r="T480" s="20"/>
      <x:c r="U480" s="21" t="str">
        <x:v>Completion is based on immutable repository evidence; tests were not rerun and current working-tree drift was not re-certified in this reporting-only task.</x:v>
      </x:c>
      <x:c r="V480" s="1"/>
    </x:row>
    <x:row r="481" ht="46" customHeight="1">
      <x:c r="A481" s="17" t="n">
        <x:v>477</x:v>
      </x:c>
      <x:c r="B481" s="17" t="str">
        <x:v>Phase 2</x:v>
      </x:c>
      <x:c r="C481" s="17" t="str">
        <x:v>19.2</x:v>
      </x:c>
      <x:c r="D481" s="21" t="str">
        <x:v>AI-Suggested Obligation Review</x:v>
      </x:c>
      <x:c r="E481" s="17" t="n">
        <x:v>4</x:v>
      </x:c>
      <x:c r="F481" s="21" t="str">
        <x:v>Add UI labels that mark suggestions as draft until approved.</x:v>
      </x:c>
      <x:c r="G481" s="17" t="str">
        <x:v>Software implementation</x:v>
      </x:c>
      <x:c r="H481" s="17" t="str">
        <x:v>Planned</x:v>
      </x:c>
      <x:c r="I481" s="18" t="str">
        <x:v>Completed</x:v>
      </x:c>
      <x:c r="J481" s="17" t="str">
        <x:f>IF(OR(I481="Completed",I481="Not Applicable"),"No","Yes")</x:f>
        <x:v>No</x:v>
      </x:c>
      <x:c r="K481" s="17" t="str">
        <x:v>19.2 task 3</x:v>
      </x:c>
      <x:c r="L481" s="21" t="str">
        <x:v>Story-labeled commit acfa64ff contains delivery and focused test/test-result files: feat: implement story 19.2 suggested obligation review</x:v>
      </x:c>
      <x:c r="M481" s="17" t="str">
        <x:v>Implementation commit + focused test artifacts</x:v>
      </x:c>
      <x:c r="N481" s="21" t="str">
        <x:v>git commit acfa64ffd5b24066f5c8fa0b6979f4e22de6c67e; /Users/devups/Development/CodexProjects/Gccs/docs/development-story-test-cases.md</x:v>
      </x:c>
      <x:c r="O481" s="19" t="n">
        <x:v>46190.94420138889</x:v>
      </x:c>
      <x:c r="P481" s="21" t="str">
        <x:v>5 acceptance criteria; 5 TC references; implementation=yes; smoke=yes; automated=no; Story-level regression template</x:v>
      </x:c>
      <x:c r="Q481" s="21" t="str"/>
      <x:c r="R481" s="21" t="str">
        <x:v>Retain traceability; rerun focused verification if the affected boundary changes.</x:v>
      </x:c>
      <x:c r="S481" s="18" t="str"/>
      <x:c r="T481" s="20"/>
      <x:c r="U481" s="21" t="str">
        <x:v>Completion is based on immutable repository evidence; tests were not rerun and current working-tree drift was not re-certified in this reporting-only task.</x:v>
      </x:c>
      <x:c r="V481" s="1"/>
    </x:row>
    <x:row r="482" ht="46" customHeight="1">
      <x:c r="A482" s="17" t="n">
        <x:v>478</x:v>
      </x:c>
      <x:c r="B482" s="17" t="str">
        <x:v>Phase 2</x:v>
      </x:c>
      <x:c r="C482" s="17" t="str">
        <x:v>19.2</x:v>
      </x:c>
      <x:c r="D482" s="21" t="str">
        <x:v>AI-Suggested Obligation Review</x:v>
      </x:c>
      <x:c r="E482" s="17" t="n">
        <x:v>5</x:v>
      </x:c>
      <x:c r="F482" s="21" t="str">
        <x:v>Prevent draft suggestions from appearing in customer reports as approved obligations.</x:v>
      </x:c>
      <x:c r="G482" s="17" t="str">
        <x:v>Software implementation</x:v>
      </x:c>
      <x:c r="H482" s="17" t="str">
        <x:v>Planned</x:v>
      </x:c>
      <x:c r="I482" s="18" t="str">
        <x:v>Completed</x:v>
      </x:c>
      <x:c r="J482" s="17" t="str">
        <x:f>IF(OR(I482="Completed",I482="Not Applicable"),"No","Yes")</x:f>
        <x:v>No</x:v>
      </x:c>
      <x:c r="K482" s="17" t="str">
        <x:v>19.2 task 4</x:v>
      </x:c>
      <x:c r="L482" s="21" t="str">
        <x:v>Story-labeled commit acfa64ff contains delivery and focused test/test-result files: feat: implement story 19.2 suggested obligation review</x:v>
      </x:c>
      <x:c r="M482" s="17" t="str">
        <x:v>Implementation commit + focused test artifacts</x:v>
      </x:c>
      <x:c r="N482" s="21" t="str">
        <x:v>git commit acfa64ffd5b24066f5c8fa0b6979f4e22de6c67e; /Users/devups/Development/CodexProjects/Gccs/docs/development-story-test-cases.md</x:v>
      </x:c>
      <x:c r="O482" s="19" t="n">
        <x:v>46190.94420138889</x:v>
      </x:c>
      <x:c r="P482" s="21" t="str">
        <x:v>5 acceptance criteria; 5 TC references; implementation=yes; smoke=yes; automated=no; Story-level regression template</x:v>
      </x:c>
      <x:c r="Q482" s="21" t="str"/>
      <x:c r="R482" s="21" t="str">
        <x:v>Retain traceability; rerun focused verification if the affected boundary changes.</x:v>
      </x:c>
      <x:c r="S482" s="18" t="str"/>
      <x:c r="T482" s="20"/>
      <x:c r="U482" s="21" t="str">
        <x:v>Completion is based on immutable repository evidence; tests were not rerun and current working-tree drift was not re-certified in this reporting-only task.</x:v>
      </x:c>
      <x:c r="V482" s="1"/>
    </x:row>
    <x:row r="483" ht="46" customHeight="1">
      <x:c r="A483" s="17" t="n">
        <x:v>479</x:v>
      </x:c>
      <x:c r="B483" s="17" t="str">
        <x:v>Phase 2</x:v>
      </x:c>
      <x:c r="C483" s="17" t="str">
        <x:v>19.3</x:v>
      </x:c>
      <x:c r="D483" s="21" t="str">
        <x:v>Expert Escalation Queue</x:v>
      </x:c>
      <x:c r="E483" s="17" t="n">
        <x:v>1</x:v>
      </x:c>
      <x:c r="F483" s="21" t="str">
        <x:v>Add expert review queue for clause candidates and suggested obligations.</x:v>
      </x:c>
      <x:c r="G483" s="17" t="str">
        <x:v>Software implementation</x:v>
      </x:c>
      <x:c r="H483" s="17" t="str">
        <x:v>Planned</x:v>
      </x:c>
      <x:c r="I483" s="18" t="str">
        <x:v>Completed</x:v>
      </x:c>
      <x:c r="J483" s="17" t="str">
        <x:f>IF(OR(I483="Completed",I483="Not Applicable"),"No","Yes")</x:f>
        <x:v>No</x:v>
      </x:c>
      <x:c r="K483" s="17" t="str">
        <x:v>19.2</x:v>
      </x:c>
      <x:c r="L483" s="21" t="str">
        <x:v>Story-labeled commit 165c0410 contains delivery and focused test/test-result files: feat: implement story 19.3 expert review queue</x:v>
      </x:c>
      <x:c r="M483" s="17" t="str">
        <x:v>Implementation commit + focused test artifacts</x:v>
      </x:c>
      <x:c r="N483" s="21" t="str">
        <x:v>git commit 165c04109f431e76f50279ba9b997e01283f0059; /Users/devups/Development/CodexProjects/Gccs/docs/development-story-test-cases.md</x:v>
      </x:c>
      <x:c r="O483" s="19" t="n">
        <x:v>46190.94684027778</x:v>
      </x:c>
      <x:c r="P483" s="21" t="str">
        <x:v>5 acceptance criteria; 5 TC references; implementation=yes; smoke=yes; automated=no; Story-level regression template</x:v>
      </x:c>
      <x:c r="Q483" s="21" t="str"/>
      <x:c r="R483" s="21" t="str">
        <x:v>Retain traceability; rerun focused verification if the affected boundary changes.</x:v>
      </x:c>
      <x:c r="S483" s="18" t="str"/>
      <x:c r="T483" s="20"/>
      <x:c r="U483" s="21" t="str">
        <x:v>Completion is based on immutable repository evidence; tests were not rerun and current working-tree drift was not re-certified in this reporting-only task.</x:v>
      </x:c>
      <x:c r="V483" s="1"/>
    </x:row>
    <x:row r="484" ht="46" customHeight="1">
      <x:c r="A484" s="17" t="n">
        <x:v>480</x:v>
      </x:c>
      <x:c r="B484" s="17" t="str">
        <x:v>Phase 2</x:v>
      </x:c>
      <x:c r="C484" s="17" t="str">
        <x:v>19.3</x:v>
      </x:c>
      <x:c r="D484" s="21" t="str">
        <x:v>Expert Escalation Queue</x:v>
      </x:c>
      <x:c r="E484" s="17" t="n">
        <x:v>2</x:v>
      </x:c>
      <x:c r="F484" s="21" t="str">
        <x:v>Add priority, topic, assigned expert, due date, and resolution fields.</x:v>
      </x:c>
      <x:c r="G484" s="17" t="str">
        <x:v>Software implementation</x:v>
      </x:c>
      <x:c r="H484" s="17" t="str">
        <x:v>Planned</x:v>
      </x:c>
      <x:c r="I484" s="18" t="str">
        <x:v>Completed</x:v>
      </x:c>
      <x:c r="J484" s="17" t="str">
        <x:f>IF(OR(I484="Completed",I484="Not Applicable"),"No","Yes")</x:f>
        <x:v>No</x:v>
      </x:c>
      <x:c r="K484" s="17" t="str">
        <x:v>19.3 task 1</x:v>
      </x:c>
      <x:c r="L484" s="21" t="str">
        <x:v>Story-labeled commit 165c0410 contains delivery and focused test/test-result files: feat: implement story 19.3 expert review queue</x:v>
      </x:c>
      <x:c r="M484" s="17" t="str">
        <x:v>Implementation commit + focused test artifacts</x:v>
      </x:c>
      <x:c r="N484" s="21" t="str">
        <x:v>git commit 165c04109f431e76f50279ba9b997e01283f0059; /Users/devups/Development/CodexProjects/Gccs/docs/development-story-test-cases.md</x:v>
      </x:c>
      <x:c r="O484" s="19" t="n">
        <x:v>46190.94684027778</x:v>
      </x:c>
      <x:c r="P484" s="21" t="str">
        <x:v>5 acceptance criteria; 5 TC references; implementation=yes; smoke=yes; automated=no; Story-level regression template</x:v>
      </x:c>
      <x:c r="Q484" s="21" t="str"/>
      <x:c r="R484" s="21" t="str">
        <x:v>Retain traceability; rerun focused verification if the affected boundary changes.</x:v>
      </x:c>
      <x:c r="S484" s="18" t="str"/>
      <x:c r="T484" s="20"/>
      <x:c r="U484" s="21" t="str">
        <x:v>Completion is based on immutable repository evidence; tests were not rerun and current working-tree drift was not re-certified in this reporting-only task.</x:v>
      </x:c>
      <x:c r="V484" s="1"/>
    </x:row>
    <x:row r="485" ht="46" customHeight="1">
      <x:c r="A485" s="17" t="n">
        <x:v>481</x:v>
      </x:c>
      <x:c r="B485" s="17" t="str">
        <x:v>Phase 2</x:v>
      </x:c>
      <x:c r="C485" s="17" t="str">
        <x:v>19.3</x:v>
      </x:c>
      <x:c r="D485" s="21" t="str">
        <x:v>Expert Escalation Queue</x:v>
      </x:c>
      <x:c r="E485" s="17" t="n">
        <x:v>3</x:v>
      </x:c>
      <x:c r="F485" s="21" t="str">
        <x:v>Add escalation reasons such as high-risk clause, low confidence, conflicting sources, customer dispute, and legal interpretation.</x:v>
      </x:c>
      <x:c r="G485" s="17" t="str">
        <x:v>Software implementation</x:v>
      </x:c>
      <x:c r="H485" s="17" t="str">
        <x:v>Planned</x:v>
      </x:c>
      <x:c r="I485" s="18" t="str">
        <x:v>Completed</x:v>
      </x:c>
      <x:c r="J485" s="17" t="str">
        <x:f>IF(OR(I485="Completed",I485="Not Applicable"),"No","Yes")</x:f>
        <x:v>No</x:v>
      </x:c>
      <x:c r="K485" s="17" t="str">
        <x:v>19.3 task 2</x:v>
      </x:c>
      <x:c r="L485" s="21" t="str">
        <x:v>Story-labeled commit 165c0410 contains delivery and focused test/test-result files: feat: implement story 19.3 expert review queue</x:v>
      </x:c>
      <x:c r="M485" s="17" t="str">
        <x:v>Implementation commit + focused test artifacts</x:v>
      </x:c>
      <x:c r="N485" s="21" t="str">
        <x:v>git commit 165c04109f431e76f50279ba9b997e01283f0059; /Users/devups/Development/CodexProjects/Gccs/docs/development-story-test-cases.md</x:v>
      </x:c>
      <x:c r="O485" s="19" t="n">
        <x:v>46190.94684027778</x:v>
      </x:c>
      <x:c r="P485" s="21" t="str">
        <x:v>5 acceptance criteria; 5 TC references; implementation=yes; smoke=yes; automated=no; Story-level regression template</x:v>
      </x:c>
      <x:c r="Q485" s="21" t="str"/>
      <x:c r="R485" s="21" t="str">
        <x:v>Retain traceability; rerun focused verification if the affected boundary changes.</x:v>
      </x:c>
      <x:c r="S485" s="18" t="str"/>
      <x:c r="T485" s="20"/>
      <x:c r="U485" s="21" t="str">
        <x:v>Completion is based on immutable repository evidence; tests were not rerun and current working-tree drift was not re-certified in this reporting-only task.</x:v>
      </x:c>
      <x:c r="V485" s="1"/>
    </x:row>
    <x:row r="486" ht="46" customHeight="1">
      <x:c r="A486" s="17" t="n">
        <x:v>482</x:v>
      </x:c>
      <x:c r="B486" s="17" t="str">
        <x:v>Phase 2</x:v>
      </x:c>
      <x:c r="C486" s="17" t="str">
        <x:v>19.3</x:v>
      </x:c>
      <x:c r="D486" s="21" t="str">
        <x:v>Expert Escalation Queue</x:v>
      </x:c>
      <x:c r="E486" s="17" t="n">
        <x:v>4</x:v>
      </x:c>
      <x:c r="F486" s="21" t="str">
        <x:v>Add queue filters and assignment workflow.</x:v>
      </x:c>
      <x:c r="G486" s="17" t="str">
        <x:v>Software implementation</x:v>
      </x:c>
      <x:c r="H486" s="17" t="str">
        <x:v>Planned</x:v>
      </x:c>
      <x:c r="I486" s="18" t="str">
        <x:v>Completed</x:v>
      </x:c>
      <x:c r="J486" s="17" t="str">
        <x:f>IF(OR(I486="Completed",I486="Not Applicable"),"No","Yes")</x:f>
        <x:v>No</x:v>
      </x:c>
      <x:c r="K486" s="17" t="str">
        <x:v>19.3 task 3</x:v>
      </x:c>
      <x:c r="L486" s="21" t="str">
        <x:v>Story-labeled commit 165c0410 contains delivery and focused test/test-result files: feat: implement story 19.3 expert review queue</x:v>
      </x:c>
      <x:c r="M486" s="17" t="str">
        <x:v>Implementation commit + focused test artifacts</x:v>
      </x:c>
      <x:c r="N486" s="21" t="str">
        <x:v>git commit 165c04109f431e76f50279ba9b997e01283f0059; /Users/devups/Development/CodexProjects/Gccs/docs/development-story-test-cases.md</x:v>
      </x:c>
      <x:c r="O486" s="19" t="n">
        <x:v>46190.94684027778</x:v>
      </x:c>
      <x:c r="P486" s="21" t="str">
        <x:v>5 acceptance criteria; 5 TC references; implementation=yes; smoke=yes; automated=no; Story-level regression template</x:v>
      </x:c>
      <x:c r="Q486" s="21" t="str"/>
      <x:c r="R486" s="21" t="str">
        <x:v>Retain traceability; rerun focused verification if the affected boundary changes.</x:v>
      </x:c>
      <x:c r="S486" s="18" t="str"/>
      <x:c r="T486" s="20"/>
      <x:c r="U486" s="21" t="str">
        <x:v>Completion is based on immutable repository evidence; tests were not rerun and current working-tree drift was not re-certified in this reporting-only task.</x:v>
      </x:c>
      <x:c r="V486" s="1"/>
    </x:row>
    <x:row r="487" ht="46" customHeight="1">
      <x:c r="A487" s="17" t="n">
        <x:v>483</x:v>
      </x:c>
      <x:c r="B487" s="17" t="str">
        <x:v>Phase 2</x:v>
      </x:c>
      <x:c r="C487" s="17" t="str">
        <x:v>19.3</x:v>
      </x:c>
      <x:c r="D487" s="21" t="str">
        <x:v>Expert Escalation Queue</x:v>
      </x:c>
      <x:c r="E487" s="17" t="n">
        <x:v>5</x:v>
      </x:c>
      <x:c r="F487" s="21" t="str">
        <x:v>Add notifications for assigned expert review items.</x:v>
      </x:c>
      <x:c r="G487" s="17" t="str">
        <x:v>Software implementation</x:v>
      </x:c>
      <x:c r="H487" s="17" t="str">
        <x:v>Planned</x:v>
      </x:c>
      <x:c r="I487" s="18" t="str">
        <x:v>Completed</x:v>
      </x:c>
      <x:c r="J487" s="17" t="str">
        <x:f>IF(OR(I487="Completed",I487="Not Applicable"),"No","Yes")</x:f>
        <x:v>No</x:v>
      </x:c>
      <x:c r="K487" s="17" t="str">
        <x:v>19.3 task 4</x:v>
      </x:c>
      <x:c r="L487" s="21" t="str">
        <x:v>Story-labeled commit 165c0410 contains delivery and focused test/test-result files: feat: implement story 19.3 expert review queue</x:v>
      </x:c>
      <x:c r="M487" s="17" t="str">
        <x:v>Implementation commit + focused test artifacts</x:v>
      </x:c>
      <x:c r="N487" s="21" t="str">
        <x:v>git commit 165c04109f431e76f50279ba9b997e01283f0059; /Users/devups/Development/CodexProjects/Gccs/docs/development-story-test-cases.md</x:v>
      </x:c>
      <x:c r="O487" s="19" t="n">
        <x:v>46190.94684027778</x:v>
      </x:c>
      <x:c r="P487" s="21" t="str">
        <x:v>5 acceptance criteria; 5 TC references; implementation=yes; smoke=yes; automated=no; Story-level regression template</x:v>
      </x:c>
      <x:c r="Q487" s="21" t="str"/>
      <x:c r="R487" s="21" t="str">
        <x:v>Retain traceability; rerun focused verification if the affected boundary changes.</x:v>
      </x:c>
      <x:c r="S487" s="18" t="str"/>
      <x:c r="T487" s="20"/>
      <x:c r="U487" s="21" t="str">
        <x:v>Completion is based on immutable repository evidence; tests were not rerun and current working-tree drift was not re-certified in this reporting-only task.</x:v>
      </x:c>
      <x:c r="V487" s="1"/>
    </x:row>
    <x:row r="488" ht="46" customHeight="1">
      <x:c r="A488" s="17" t="n">
        <x:v>484</x:v>
      </x:c>
      <x:c r="B488" s="17" t="str">
        <x:v>Phase 2</x:v>
      </x:c>
      <x:c r="C488" s="17" t="str">
        <x:v>20.1</x:v>
      </x:c>
      <x:c r="D488" s="21" t="str">
        <x:v>Versioned Clause Records</x:v>
      </x:c>
      <x:c r="E488" s="17" t="n">
        <x:v>1</x:v>
      </x:c>
      <x:c r="F488" s="21" t="str">
        <x:v>Add clause version fields for citation, title, source URL, effective date, last reviewed date, review owner, status, and supersedes relationship.</x:v>
      </x:c>
      <x:c r="G488" s="17" t="str">
        <x:v>Software implementation</x:v>
      </x:c>
      <x:c r="H488" s="17" t="str">
        <x:v>Planned</x:v>
      </x:c>
      <x:c r="I488" s="18" t="str">
        <x:v>Completed</x:v>
      </x:c>
      <x:c r="J488" s="17" t="str">
        <x:f>IF(OR(I488="Completed",I488="Not Applicable"),"No","Yes")</x:f>
        <x:v>No</x:v>
      </x:c>
      <x:c r="K488" s="17" t="str">
        <x:v>19.3</x:v>
      </x:c>
      <x:c r="L488" s="21" t="str">
        <x:v>Story-labeled commit b8ebb12e contains delivery and focused test/test-result files: feat: implement story 20.1 clause version records</x:v>
      </x:c>
      <x:c r="M488" s="17" t="str">
        <x:v>Implementation commit + focused test artifacts</x:v>
      </x:c>
      <x:c r="N488" s="21" t="str">
        <x:v>git commit b8ebb12e101b9f1c6e39edaac1bc9a4bf97e8232; /Users/devups/Development/CodexProjects/Gccs/docs/development-story-test-cases.md</x:v>
      </x:c>
      <x:c r="O488" s="19" t="n">
        <x:v>46190.94967592593</x:v>
      </x:c>
      <x:c r="P488" s="21" t="str">
        <x:v>5 acceptance criteria; 5 TC references; implementation=yes; smoke=yes; automated=no; Story-level regression template</x:v>
      </x:c>
      <x:c r="Q488" s="21" t="str"/>
      <x:c r="R488" s="21" t="str">
        <x:v>Retain traceability; rerun focused verification if the affected boundary changes.</x:v>
      </x:c>
      <x:c r="S488" s="18" t="str"/>
      <x:c r="T488" s="20"/>
      <x:c r="U488" s="21" t="str">
        <x:v>Completion is based on immutable repository evidence; tests were not rerun and current working-tree drift was not re-certified in this reporting-only task.</x:v>
      </x:c>
      <x:c r="V488" s="1"/>
    </x:row>
    <x:row r="489" ht="46" customHeight="1">
      <x:c r="A489" s="17" t="n">
        <x:v>485</x:v>
      </x:c>
      <x:c r="B489" s="17" t="str">
        <x:v>Phase 2</x:v>
      </x:c>
      <x:c r="C489" s="17" t="str">
        <x:v>20.1</x:v>
      </x:c>
      <x:c r="D489" s="21" t="str">
        <x:v>Versioned Clause Records</x:v>
      </x:c>
      <x:c r="E489" s="17" t="n">
        <x:v>2</x:v>
      </x:c>
      <x:c r="F489" s="21" t="str">
        <x:v>Add statuses for draft, under review, approved, deprecated, and superseded.</x:v>
      </x:c>
      <x:c r="G489" s="17" t="str">
        <x:v>Software implementation</x:v>
      </x:c>
      <x:c r="H489" s="17" t="str">
        <x:v>Planned</x:v>
      </x:c>
      <x:c r="I489" s="18" t="str">
        <x:v>Completed</x:v>
      </x:c>
      <x:c r="J489" s="17" t="str">
        <x:f>IF(OR(I489="Completed",I489="Not Applicable"),"No","Yes")</x:f>
        <x:v>No</x:v>
      </x:c>
      <x:c r="K489" s="17" t="str">
        <x:v>20.1 task 1</x:v>
      </x:c>
      <x:c r="L489" s="21" t="str">
        <x:v>Story-labeled commit b8ebb12e contains delivery and focused test/test-result files: feat: implement story 20.1 clause version records</x:v>
      </x:c>
      <x:c r="M489" s="17" t="str">
        <x:v>Implementation commit + focused test artifacts</x:v>
      </x:c>
      <x:c r="N489" s="21" t="str">
        <x:v>git commit b8ebb12e101b9f1c6e39edaac1bc9a4bf97e8232; /Users/devups/Development/CodexProjects/Gccs/docs/development-story-test-cases.md</x:v>
      </x:c>
      <x:c r="O489" s="19" t="n">
        <x:v>46190.94967592593</x:v>
      </x:c>
      <x:c r="P489" s="21" t="str">
        <x:v>5 acceptance criteria; 5 TC references; implementation=yes; smoke=yes; automated=no; Story-level regression template</x:v>
      </x:c>
      <x:c r="Q489" s="21" t="str"/>
      <x:c r="R489" s="21" t="str">
        <x:v>Retain traceability; rerun focused verification if the affected boundary changes.</x:v>
      </x:c>
      <x:c r="S489" s="18" t="str"/>
      <x:c r="T489" s="20"/>
      <x:c r="U489" s="21" t="str">
        <x:v>Completion is based on immutable repository evidence; tests were not rerun and current working-tree drift was not re-certified in this reporting-only task.</x:v>
      </x:c>
      <x:c r="V489" s="1"/>
    </x:row>
    <x:row r="490" ht="46" customHeight="1">
      <x:c r="A490" s="17" t="n">
        <x:v>486</x:v>
      </x:c>
      <x:c r="B490" s="17" t="str">
        <x:v>Phase 2</x:v>
      </x:c>
      <x:c r="C490" s="17" t="str">
        <x:v>20.1</x:v>
      </x:c>
      <x:c r="D490" s="21" t="str">
        <x:v>Versioned Clause Records</x:v>
      </x:c>
      <x:c r="E490" s="17" t="n">
        <x:v>3</x:v>
      </x:c>
      <x:c r="F490" s="21" t="str">
        <x:v>Add import/update workflow for curated clause records.</x:v>
      </x:c>
      <x:c r="G490" s="17" t="str">
        <x:v>Software implementation</x:v>
      </x:c>
      <x:c r="H490" s="17" t="str">
        <x:v>Planned</x:v>
      </x:c>
      <x:c r="I490" s="18" t="str">
        <x:v>Completed</x:v>
      </x:c>
      <x:c r="J490" s="17" t="str">
        <x:f>IF(OR(I490="Completed",I490="Not Applicable"),"No","Yes")</x:f>
        <x:v>No</x:v>
      </x:c>
      <x:c r="K490" s="17" t="str">
        <x:v>20.1 task 2</x:v>
      </x:c>
      <x:c r="L490" s="21" t="str">
        <x:v>Story-labeled commit b8ebb12e contains delivery and focused test/test-result files: feat: implement story 20.1 clause version records</x:v>
      </x:c>
      <x:c r="M490" s="17" t="str">
        <x:v>Implementation commit + focused test artifacts</x:v>
      </x:c>
      <x:c r="N490" s="21" t="str">
        <x:v>git commit b8ebb12e101b9f1c6e39edaac1bc9a4bf97e8232; /Users/devups/Development/CodexProjects/Gccs/docs/development-story-test-cases.md</x:v>
      </x:c>
      <x:c r="O490" s="19" t="n">
        <x:v>46190.94967592593</x:v>
      </x:c>
      <x:c r="P490" s="21" t="str">
        <x:v>5 acceptance criteria; 5 TC references; implementation=yes; smoke=yes; automated=no; Story-level regression template</x:v>
      </x:c>
      <x:c r="Q490" s="21" t="str"/>
      <x:c r="R490" s="21" t="str">
        <x:v>Retain traceability; rerun focused verification if the affected boundary changes.</x:v>
      </x:c>
      <x:c r="S490" s="18" t="str"/>
      <x:c r="T490" s="20"/>
      <x:c r="U490" s="21" t="str">
        <x:v>Completion is based on immutable repository evidence; tests were not rerun and current working-tree drift was not re-certified in this reporting-only task.</x:v>
      </x:c>
      <x:c r="V490" s="1"/>
    </x:row>
    <x:row r="491" ht="46" customHeight="1">
      <x:c r="A491" s="17" t="n">
        <x:v>487</x:v>
      </x:c>
      <x:c r="B491" s="17" t="str">
        <x:v>Phase 2</x:v>
      </x:c>
      <x:c r="C491" s="17" t="str">
        <x:v>20.1</x:v>
      </x:c>
      <x:c r="D491" s="21" t="str">
        <x:v>Versioned Clause Records</x:v>
      </x:c>
      <x:c r="E491" s="17" t="n">
        <x:v>4</x:v>
      </x:c>
      <x:c r="F491" s="21" t="str">
        <x:v>Add API and UI for clause detail with version history.</x:v>
      </x:c>
      <x:c r="G491" s="17" t="str">
        <x:v>Software implementation</x:v>
      </x:c>
      <x:c r="H491" s="17" t="str">
        <x:v>Planned</x:v>
      </x:c>
      <x:c r="I491" s="18" t="str">
        <x:v>Completed</x:v>
      </x:c>
      <x:c r="J491" s="17" t="str">
        <x:f>IF(OR(I491="Completed",I491="Not Applicable"),"No","Yes")</x:f>
        <x:v>No</x:v>
      </x:c>
      <x:c r="K491" s="17" t="str">
        <x:v>20.1 task 3</x:v>
      </x:c>
      <x:c r="L491" s="21" t="str">
        <x:v>Story-labeled commit b8ebb12e contains delivery and focused test/test-result files: feat: implement story 20.1 clause version records</x:v>
      </x:c>
      <x:c r="M491" s="17" t="str">
        <x:v>Implementation commit + focused test artifacts</x:v>
      </x:c>
      <x:c r="N491" s="21" t="str">
        <x:v>git commit b8ebb12e101b9f1c6e39edaac1bc9a4bf97e8232; /Users/devups/Development/CodexProjects/Gccs/docs/development-story-test-cases.md</x:v>
      </x:c>
      <x:c r="O491" s="19" t="n">
        <x:v>46190.94967592593</x:v>
      </x:c>
      <x:c r="P491" s="21" t="str">
        <x:v>5 acceptance criteria; 5 TC references; implementation=yes; smoke=yes; automated=no; Story-level regression template</x:v>
      </x:c>
      <x:c r="Q491" s="21" t="str"/>
      <x:c r="R491" s="21" t="str">
        <x:v>Retain traceability; rerun focused verification if the affected boundary changes.</x:v>
      </x:c>
      <x:c r="S491" s="18" t="str"/>
      <x:c r="T491" s="20"/>
      <x:c r="U491" s="21" t="str">
        <x:v>Completion is based on immutable repository evidence; tests were not rerun and current working-tree drift was not re-certified in this reporting-only task.</x:v>
      </x:c>
      <x:c r="V491" s="1"/>
    </x:row>
    <x:row r="492" ht="46" customHeight="1">
      <x:c r="A492" s="17" t="n">
        <x:v>488</x:v>
      </x:c>
      <x:c r="B492" s="17" t="str">
        <x:v>Phase 2</x:v>
      </x:c>
      <x:c r="C492" s="17" t="str">
        <x:v>20.1</x:v>
      </x:c>
      <x:c r="D492" s="21" t="str">
        <x:v>Versioned Clause Records</x:v>
      </x:c>
      <x:c r="E492" s="17" t="n">
        <x:v>5</x:v>
      </x:c>
      <x:c r="F492" s="21" t="str">
        <x:v>Add audit events for clause creation, update, approval, and deprecation.</x:v>
      </x:c>
      <x:c r="G492" s="17" t="str">
        <x:v>Software implementation</x:v>
      </x:c>
      <x:c r="H492" s="17" t="str">
        <x:v>Planned</x:v>
      </x:c>
      <x:c r="I492" s="18" t="str">
        <x:v>Completed</x:v>
      </x:c>
      <x:c r="J492" s="17" t="str">
        <x:f>IF(OR(I492="Completed",I492="Not Applicable"),"No","Yes")</x:f>
        <x:v>No</x:v>
      </x:c>
      <x:c r="K492" s="17" t="str">
        <x:v>20.1 task 4</x:v>
      </x:c>
      <x:c r="L492" s="21" t="str">
        <x:v>Story-labeled commit b8ebb12e contains delivery and focused test/test-result files: feat: implement story 20.1 clause version records</x:v>
      </x:c>
      <x:c r="M492" s="17" t="str">
        <x:v>Implementation commit + focused test artifacts</x:v>
      </x:c>
      <x:c r="N492" s="21" t="str">
        <x:v>git commit b8ebb12e101b9f1c6e39edaac1bc9a4bf97e8232; /Users/devups/Development/CodexProjects/Gccs/docs/development-story-test-cases.md</x:v>
      </x:c>
      <x:c r="O492" s="19" t="n">
        <x:v>46190.94967592593</x:v>
      </x:c>
      <x:c r="P492" s="21" t="str">
        <x:v>5 acceptance criteria; 5 TC references; implementation=yes; smoke=yes; automated=no; Story-level regression template</x:v>
      </x:c>
      <x:c r="Q492" s="21" t="str"/>
      <x:c r="R492" s="21" t="str">
        <x:v>Retain traceability; rerun focused verification if the affected boundary changes.</x:v>
      </x:c>
      <x:c r="S492" s="18" t="str"/>
      <x:c r="T492" s="20"/>
      <x:c r="U492" s="21" t="str">
        <x:v>Completion is based on immutable repository evidence; tests were not rerun and current working-tree drift was not re-certified in this reporting-only task.</x:v>
      </x:c>
      <x:c r="V492" s="1"/>
    </x:row>
    <x:row r="493" ht="46" customHeight="1">
      <x:c r="A493" s="17" t="n">
        <x:v>489</x:v>
      </x:c>
      <x:c r="B493" s="17" t="str">
        <x:v>Phase 2</x:v>
      </x:c>
      <x:c r="C493" s="17" t="str">
        <x:v>20.2</x:v>
      </x:c>
      <x:c r="D493" s="21" t="str">
        <x:v>Clause Search And Discovery</x:v>
      </x:c>
      <x:c r="E493" s="17" t="n">
        <x:v>1</x:v>
      </x:c>
      <x:c r="F493" s="21" t="str">
        <x:v>Add searchable fields for citation, normalized citation, title, source family, keywords, obligation area, and risk level.</x:v>
      </x:c>
      <x:c r="G493" s="17" t="str">
        <x:v>Software implementation</x:v>
      </x:c>
      <x:c r="H493" s="17" t="str">
        <x:v>Planned</x:v>
      </x:c>
      <x:c r="I493" s="18" t="str">
        <x:v>Completed</x:v>
      </x:c>
      <x:c r="J493" s="17" t="str">
        <x:f>IF(OR(I493="Completed",I493="Not Applicable"),"No","Yes")</x:f>
        <x:v>No</x:v>
      </x:c>
      <x:c r="K493" s="17" t="str">
        <x:v>20.1</x:v>
      </x:c>
      <x:c r="L493" s="21" t="str">
        <x:v>Story-labeled commit a802aed5 contains delivery and focused test/test-result files: feat: implement story 20.2 clause search discovery</x:v>
      </x:c>
      <x:c r="M493" s="17" t="str">
        <x:v>Implementation commit + focused test artifacts</x:v>
      </x:c>
      <x:c r="N493" s="21" t="str">
        <x:v>git commit a802aed5d4c9306a017910f1d8083d2c525c8f0f; /Users/devups/Development/CodexProjects/Gccs/docs/development-story-test-cases.md</x:v>
      </x:c>
      <x:c r="O493" s="19" t="n">
        <x:v>46190.95201388889</x:v>
      </x:c>
      <x:c r="P493" s="21" t="str">
        <x:v>5 acceptance criteria; 5 TC references; implementation=yes; smoke=yes; automated=no; Story-level regression template</x:v>
      </x:c>
      <x:c r="Q493" s="21" t="str"/>
      <x:c r="R493" s="21" t="str">
        <x:v>Retain traceability; rerun focused verification if the affected boundary changes.</x:v>
      </x:c>
      <x:c r="S493" s="18" t="str"/>
      <x:c r="T493" s="20"/>
      <x:c r="U493" s="21" t="str">
        <x:v>Completion is based on immutable repository evidence; tests were not rerun and current working-tree drift was not re-certified in this reporting-only task.</x:v>
      </x:c>
      <x:c r="V493" s="1"/>
    </x:row>
    <x:row r="494" ht="46" customHeight="1">
      <x:c r="A494" s="17" t="n">
        <x:v>490</x:v>
      </x:c>
      <x:c r="B494" s="17" t="str">
        <x:v>Phase 2</x:v>
      </x:c>
      <x:c r="C494" s="17" t="str">
        <x:v>20.2</x:v>
      </x:c>
      <x:c r="D494" s="21" t="str">
        <x:v>Clause Search And Discovery</x:v>
      </x:c>
      <x:c r="E494" s="17" t="n">
        <x:v>2</x:v>
      </x:c>
      <x:c r="F494" s="21" t="str">
        <x:v>Add filters for FAR, DFARS, agency supplement, CMMC, labor, cybersecurity, reporting, and flow-down relevance.</x:v>
      </x:c>
      <x:c r="G494" s="17" t="str">
        <x:v>Software implementation</x:v>
      </x:c>
      <x:c r="H494" s="17" t="str">
        <x:v>Planned</x:v>
      </x:c>
      <x:c r="I494" s="18" t="str">
        <x:v>Completed</x:v>
      </x:c>
      <x:c r="J494" s="17" t="str">
        <x:f>IF(OR(I494="Completed",I494="Not Applicable"),"No","Yes")</x:f>
        <x:v>No</x:v>
      </x:c>
      <x:c r="K494" s="17" t="str">
        <x:v>20.2 task 1</x:v>
      </x:c>
      <x:c r="L494" s="21" t="str">
        <x:v>Story-labeled commit a802aed5 contains delivery and focused test/test-result files: feat: implement story 20.2 clause search discovery</x:v>
      </x:c>
      <x:c r="M494" s="17" t="str">
        <x:v>Implementation commit + focused test artifacts</x:v>
      </x:c>
      <x:c r="N494" s="21" t="str">
        <x:v>git commit a802aed5d4c9306a017910f1d8083d2c525c8f0f; /Users/devups/Development/CodexProjects/Gccs/docs/development-story-test-cases.md</x:v>
      </x:c>
      <x:c r="O494" s="19" t="n">
        <x:v>46190.95201388889</x:v>
      </x:c>
      <x:c r="P494" s="21" t="str">
        <x:v>5 acceptance criteria; 5 TC references; implementation=yes; smoke=yes; automated=no; Story-level regression template</x:v>
      </x:c>
      <x:c r="Q494" s="21" t="str"/>
      <x:c r="R494" s="21" t="str">
        <x:v>Retain traceability; rerun focused verification if the affected boundary changes.</x:v>
      </x:c>
      <x:c r="S494" s="18" t="str"/>
      <x:c r="T494" s="20"/>
      <x:c r="U494" s="21" t="str">
        <x:v>Completion is based on immutable repository evidence; tests were not rerun and current working-tree drift was not re-certified in this reporting-only task.</x:v>
      </x:c>
      <x:c r="V494" s="1"/>
    </x:row>
    <x:row r="495" ht="46" customHeight="1">
      <x:c r="A495" s="17" t="n">
        <x:v>491</x:v>
      </x:c>
      <x:c r="B495" s="17" t="str">
        <x:v>Phase 2</x:v>
      </x:c>
      <x:c r="C495" s="17" t="str">
        <x:v>20.2</x:v>
      </x:c>
      <x:c r="D495" s="21" t="str">
        <x:v>Clause Search And Discovery</x:v>
      </x:c>
      <x:c r="E495" s="17" t="n">
        <x:v>3</x:v>
      </x:c>
      <x:c r="F495" s="21" t="str">
        <x:v>Add clause search API with tenant-safe access to approved library content.</x:v>
      </x:c>
      <x:c r="G495" s="17" t="str">
        <x:v>Software implementation</x:v>
      </x:c>
      <x:c r="H495" s="17" t="str">
        <x:v>Planned</x:v>
      </x:c>
      <x:c r="I495" s="18" t="str">
        <x:v>Completed</x:v>
      </x:c>
      <x:c r="J495" s="17" t="str">
        <x:f>IF(OR(I495="Completed",I495="Not Applicable"),"No","Yes")</x:f>
        <x:v>No</x:v>
      </x:c>
      <x:c r="K495" s="17" t="str">
        <x:v>20.2 task 2</x:v>
      </x:c>
      <x:c r="L495" s="21" t="str">
        <x:v>Story-labeled commit a802aed5 contains delivery and focused test/test-result files: feat: implement story 20.2 clause search discovery</x:v>
      </x:c>
      <x:c r="M495" s="17" t="str">
        <x:v>Implementation commit + focused test artifacts</x:v>
      </x:c>
      <x:c r="N495" s="21" t="str">
        <x:v>git commit a802aed5d4c9306a017910f1d8083d2c525c8f0f; /Users/devups/Development/CodexProjects/Gccs/docs/development-story-test-cases.md</x:v>
      </x:c>
      <x:c r="O495" s="19" t="n">
        <x:v>46190.95201388889</x:v>
      </x:c>
      <x:c r="P495" s="21" t="str">
        <x:v>5 acceptance criteria; 5 TC references; implementation=yes; smoke=yes; automated=no; Story-level regression template</x:v>
      </x:c>
      <x:c r="Q495" s="21" t="str"/>
      <x:c r="R495" s="21" t="str">
        <x:v>Retain traceability; rerun focused verification if the affected boundary changes.</x:v>
      </x:c>
      <x:c r="S495" s="18" t="str"/>
      <x:c r="T495" s="20"/>
      <x:c r="U495" s="21" t="str">
        <x:v>Completion is based on immutable repository evidence; tests were not rerun and current working-tree drift was not re-certified in this reporting-only task.</x:v>
      </x:c>
      <x:c r="V495" s="1"/>
    </x:row>
    <x:row r="496" ht="46" customHeight="1">
      <x:c r="A496" s="17" t="n">
        <x:v>492</x:v>
      </x:c>
      <x:c r="B496" s="17" t="str">
        <x:v>Phase 2</x:v>
      </x:c>
      <x:c r="C496" s="17" t="str">
        <x:v>20.2</x:v>
      </x:c>
      <x:c r="D496" s="21" t="str">
        <x:v>Clause Search And Discovery</x:v>
      </x:c>
      <x:c r="E496" s="17" t="n">
        <x:v>4</x:v>
      </x:c>
      <x:c r="F496" s="21" t="str">
        <x:v>Improve UI search results with source, last reviewed date, confidence, and status.</x:v>
      </x:c>
      <x:c r="G496" s="17" t="str">
        <x:v>Software implementation</x:v>
      </x:c>
      <x:c r="H496" s="17" t="str">
        <x:v>Planned</x:v>
      </x:c>
      <x:c r="I496" s="18" t="str">
        <x:v>Completed</x:v>
      </x:c>
      <x:c r="J496" s="17" t="str">
        <x:f>IF(OR(I496="Completed",I496="Not Applicable"),"No","Yes")</x:f>
        <x:v>No</x:v>
      </x:c>
      <x:c r="K496" s="17" t="str">
        <x:v>20.2 task 3</x:v>
      </x:c>
      <x:c r="L496" s="21" t="str">
        <x:v>Story-labeled commit a802aed5 contains delivery and focused test/test-result files: feat: implement story 20.2 clause search discovery</x:v>
      </x:c>
      <x:c r="M496" s="17" t="str">
        <x:v>Implementation commit + focused test artifacts</x:v>
      </x:c>
      <x:c r="N496" s="21" t="str">
        <x:v>git commit a802aed5d4c9306a017910f1d8083d2c525c8f0f; /Users/devups/Development/CodexProjects/Gccs/docs/development-story-test-cases.md</x:v>
      </x:c>
      <x:c r="O496" s="19" t="n">
        <x:v>46190.95201388889</x:v>
      </x:c>
      <x:c r="P496" s="21" t="str">
        <x:v>5 acceptance criteria; 5 TC references; implementation=yes; smoke=yes; automated=no; Story-level regression template</x:v>
      </x:c>
      <x:c r="Q496" s="21" t="str"/>
      <x:c r="R496" s="21" t="str">
        <x:v>Retain traceability; rerun focused verification if the affected boundary changes.</x:v>
      </x:c>
      <x:c r="S496" s="18" t="str"/>
      <x:c r="T496" s="20"/>
      <x:c r="U496" s="21" t="str">
        <x:v>Completion is based on immutable repository evidence; tests were not rerun and current working-tree drift was not re-certified in this reporting-only task.</x:v>
      </x:c>
      <x:c r="V496" s="1"/>
    </x:row>
    <x:row r="497" ht="46" customHeight="1">
      <x:c r="A497" s="17" t="n">
        <x:v>493</x:v>
      </x:c>
      <x:c r="B497" s="17" t="str">
        <x:v>Phase 2</x:v>
      </x:c>
      <x:c r="C497" s="17" t="str">
        <x:v>20.2</x:v>
      </x:c>
      <x:c r="D497" s="21" t="str">
        <x:v>Clause Search And Discovery</x:v>
      </x:c>
      <x:c r="E497" s="17" t="n">
        <x:v>5</x:v>
      </x:c>
      <x:c r="F497" s="21" t="str">
        <x:v>Add empty and no-results states.</x:v>
      </x:c>
      <x:c r="G497" s="17" t="str">
        <x:v>Software implementation</x:v>
      </x:c>
      <x:c r="H497" s="17" t="str">
        <x:v>Planned</x:v>
      </x:c>
      <x:c r="I497" s="18" t="str">
        <x:v>Completed</x:v>
      </x:c>
      <x:c r="J497" s="17" t="str">
        <x:f>IF(OR(I497="Completed",I497="Not Applicable"),"No","Yes")</x:f>
        <x:v>No</x:v>
      </x:c>
      <x:c r="K497" s="17" t="str">
        <x:v>20.2 task 4</x:v>
      </x:c>
      <x:c r="L497" s="21" t="str">
        <x:v>Story-labeled commit a802aed5 contains delivery and focused test/test-result files: feat: implement story 20.2 clause search discovery</x:v>
      </x:c>
      <x:c r="M497" s="17" t="str">
        <x:v>Implementation commit + focused test artifacts</x:v>
      </x:c>
      <x:c r="N497" s="21" t="str">
        <x:v>git commit a802aed5d4c9306a017910f1d8083d2c525c8f0f; /Users/devups/Development/CodexProjects/Gccs/docs/development-story-test-cases.md</x:v>
      </x:c>
      <x:c r="O497" s="19" t="n">
        <x:v>46190.95201388889</x:v>
      </x:c>
      <x:c r="P497" s="21" t="str">
        <x:v>5 acceptance criteria; 5 TC references; implementation=yes; smoke=yes; automated=no; Story-level regression template</x:v>
      </x:c>
      <x:c r="Q497" s="21" t="str"/>
      <x:c r="R497" s="21" t="str">
        <x:v>Retain traceability; rerun focused verification if the affected boundary changes.</x:v>
      </x:c>
      <x:c r="S497" s="18" t="str"/>
      <x:c r="T497" s="20"/>
      <x:c r="U497" s="21" t="str">
        <x:v>Completion is based on immutable repository evidence; tests were not rerun and current working-tree drift was not re-certified in this reporting-only task.</x:v>
      </x:c>
      <x:c r="V497" s="1"/>
    </x:row>
    <x:row r="498" ht="46" customHeight="1">
      <x:c r="A498" s="17" t="n">
        <x:v>494</x:v>
      </x:c>
      <x:c r="B498" s="17" t="str">
        <x:v>Phase 2</x:v>
      </x:c>
      <x:c r="C498" s="17" t="str">
        <x:v>20.3</x:v>
      </x:c>
      <x:c r="D498" s="21" t="str">
        <x:v>Clause-To-Obligation Mapping</x:v>
      </x:c>
      <x:c r="E498" s="17" t="n">
        <x:v>1</x:v>
      </x:c>
      <x:c r="F498" s="21" t="str">
        <x:v>Add mapping model between clause versions and obligation templates.</x:v>
      </x:c>
      <x:c r="G498" s="17" t="str">
        <x:v>Software implementation</x:v>
      </x:c>
      <x:c r="H498" s="17" t="str">
        <x:v>Planned</x:v>
      </x:c>
      <x:c r="I498" s="18" t="str">
        <x:v>Completed</x:v>
      </x:c>
      <x:c r="J498" s="17" t="str">
        <x:f>IF(OR(I498="Completed",I498="Not Applicable"),"No","Yes")</x:f>
        <x:v>No</x:v>
      </x:c>
      <x:c r="K498" s="17" t="str">
        <x:v>20.2</x:v>
      </x:c>
      <x:c r="L498" s="21" t="str">
        <x:v>Story-labeled commit cb7f4935 contains delivery and focused test/test-result files: feat: implement story 20.3 clause obligation mappings</x:v>
      </x:c>
      <x:c r="M498" s="17" t="str">
        <x:v>Implementation commit + focused test artifacts</x:v>
      </x:c>
      <x:c r="N498" s="21" t="str">
        <x:v>git commit cb7f4935ae0d809fe3928ab820b60b9ee2b02c42; /Users/devups/Development/CodexProjects/Gccs/docs/development-story-test-cases.md</x:v>
      </x:c>
      <x:c r="O498" s="19" t="n">
        <x:v>46190.95414351852</x:v>
      </x:c>
      <x:c r="P498" s="21" t="str">
        <x:v>5 acceptance criteria; 5 TC references; implementation=yes; smoke=yes; automated=no; Story-level regression template</x:v>
      </x:c>
      <x:c r="Q498" s="21" t="str"/>
      <x:c r="R498" s="21" t="str">
        <x:v>Retain traceability; rerun focused verification if the affected boundary changes.</x:v>
      </x:c>
      <x:c r="S498" s="18" t="str"/>
      <x:c r="T498" s="20"/>
      <x:c r="U498" s="21" t="str">
        <x:v>Completion is based on immutable repository evidence; tests were not rerun and current working-tree drift was not re-certified in this reporting-only task.</x:v>
      </x:c>
      <x:c r="V498" s="1"/>
    </x:row>
    <x:row r="499" ht="46" customHeight="1">
      <x:c r="A499" s="17" t="n">
        <x:v>495</x:v>
      </x:c>
      <x:c r="B499" s="17" t="str">
        <x:v>Phase 2</x:v>
      </x:c>
      <x:c r="C499" s="17" t="str">
        <x:v>20.3</x:v>
      </x:c>
      <x:c r="D499" s="21" t="str">
        <x:v>Clause-To-Obligation Mapping</x:v>
      </x:c>
      <x:c r="E499" s="17" t="n">
        <x:v>2</x:v>
      </x:c>
      <x:c r="F499" s="21" t="str">
        <x:v>Store trigger condition, required action, owner role, evidence examples, reporting deadlines, flow-down requirement, risk level, confidence, and expert review flag.</x:v>
      </x:c>
      <x:c r="G499" s="17" t="str">
        <x:v>Software implementation</x:v>
      </x:c>
      <x:c r="H499" s="17" t="str">
        <x:v>Planned</x:v>
      </x:c>
      <x:c r="I499" s="18" t="str">
        <x:v>Completed</x:v>
      </x:c>
      <x:c r="J499" s="17" t="str">
        <x:f>IF(OR(I499="Completed",I499="Not Applicable"),"No","Yes")</x:f>
        <x:v>No</x:v>
      </x:c>
      <x:c r="K499" s="17" t="str">
        <x:v>20.3 task 1</x:v>
      </x:c>
      <x:c r="L499" s="21" t="str">
        <x:v>Story-labeled commit cb7f4935 contains delivery and focused test/test-result files: feat: implement story 20.3 clause obligation mappings</x:v>
      </x:c>
      <x:c r="M499" s="17" t="str">
        <x:v>Implementation commit + focused test artifacts</x:v>
      </x:c>
      <x:c r="N499" s="21" t="str">
        <x:v>git commit cb7f4935ae0d809fe3928ab820b60b9ee2b02c42; /Users/devups/Development/CodexProjects/Gccs/docs/development-story-test-cases.md</x:v>
      </x:c>
      <x:c r="O499" s="19" t="n">
        <x:v>46190.95414351852</x:v>
      </x:c>
      <x:c r="P499" s="21" t="str">
        <x:v>5 acceptance criteria; 5 TC references; implementation=yes; smoke=yes; automated=no; Story-level regression template</x:v>
      </x:c>
      <x:c r="Q499" s="21" t="str"/>
      <x:c r="R499" s="21" t="str">
        <x:v>Retain traceability; rerun focused verification if the affected boundary changes.</x:v>
      </x:c>
      <x:c r="S499" s="18" t="str"/>
      <x:c r="T499" s="20"/>
      <x:c r="U499" s="21" t="str">
        <x:v>Completion is based on immutable repository evidence; tests were not rerun and current working-tree drift was not re-certified in this reporting-only task.</x:v>
      </x:c>
      <x:c r="V499" s="1"/>
    </x:row>
    <x:row r="500" ht="46" customHeight="1">
      <x:c r="A500" s="17" t="n">
        <x:v>496</x:v>
      </x:c>
      <x:c r="B500" s="17" t="str">
        <x:v>Phase 2</x:v>
      </x:c>
      <x:c r="C500" s="17" t="str">
        <x:v>20.3</x:v>
      </x:c>
      <x:c r="D500" s="21" t="str">
        <x:v>Clause-To-Obligation Mapping</x:v>
      </x:c>
      <x:c r="E500" s="17" t="n">
        <x:v>3</x:v>
      </x:c>
      <x:c r="F500" s="21" t="str">
        <x:v>Add mapping approval workflow.</x:v>
      </x:c>
      <x:c r="G500" s="17" t="str">
        <x:v>Software implementation</x:v>
      </x:c>
      <x:c r="H500" s="17" t="str">
        <x:v>Planned</x:v>
      </x:c>
      <x:c r="I500" s="18" t="str">
        <x:v>Completed</x:v>
      </x:c>
      <x:c r="J500" s="17" t="str">
        <x:f>IF(OR(I500="Completed",I500="Not Applicable"),"No","Yes")</x:f>
        <x:v>No</x:v>
      </x:c>
      <x:c r="K500" s="17" t="str">
        <x:v>20.3 task 2</x:v>
      </x:c>
      <x:c r="L500" s="21" t="str">
        <x:v>Story-labeled commit cb7f4935 contains delivery and focused test/test-result files: feat: implement story 20.3 clause obligation mappings</x:v>
      </x:c>
      <x:c r="M500" s="17" t="str">
        <x:v>Implementation commit + focused test artifacts</x:v>
      </x:c>
      <x:c r="N500" s="21" t="str">
        <x:v>git commit cb7f4935ae0d809fe3928ab820b60b9ee2b02c42; /Users/devups/Development/CodexProjects/Gccs/docs/development-story-test-cases.md</x:v>
      </x:c>
      <x:c r="O500" s="19" t="n">
        <x:v>46190.95414351852</x:v>
      </x:c>
      <x:c r="P500" s="21" t="str">
        <x:v>5 acceptance criteria; 5 TC references; implementation=yes; smoke=yes; automated=no; Story-level regression template</x:v>
      </x:c>
      <x:c r="Q500" s="21" t="str"/>
      <x:c r="R500" s="21" t="str">
        <x:v>Retain traceability; rerun focused verification if the affected boundary changes.</x:v>
      </x:c>
      <x:c r="S500" s="18" t="str"/>
      <x:c r="T500" s="20"/>
      <x:c r="U500" s="21" t="str">
        <x:v>Completion is based on immutable repository evidence; tests were not rerun and current working-tree drift was not re-certified in this reporting-only task.</x:v>
      </x:c>
      <x:c r="V500" s="1"/>
    </x:row>
    <x:row r="501" ht="46" customHeight="1">
      <x:c r="A501" s="17" t="n">
        <x:v>497</x:v>
      </x:c>
      <x:c r="B501" s="17" t="str">
        <x:v>Phase 2</x:v>
      </x:c>
      <x:c r="C501" s="17" t="str">
        <x:v>20.3</x:v>
      </x:c>
      <x:c r="D501" s="21" t="str">
        <x:v>Clause-To-Obligation Mapping</x:v>
      </x:c>
      <x:c r="E501" s="17" t="n">
        <x:v>4</x:v>
      </x:c>
      <x:c r="F501" s="21" t="str">
        <x:v>Add validation that approved mappings include source URL, trigger condition, confidence, and last reviewed date.</x:v>
      </x:c>
      <x:c r="G501" s="17" t="str">
        <x:v>Software implementation</x:v>
      </x:c>
      <x:c r="H501" s="17" t="str">
        <x:v>Planned</x:v>
      </x:c>
      <x:c r="I501" s="18" t="str">
        <x:v>Completed</x:v>
      </x:c>
      <x:c r="J501" s="17" t="str">
        <x:f>IF(OR(I501="Completed",I501="Not Applicable"),"No","Yes")</x:f>
        <x:v>No</x:v>
      </x:c>
      <x:c r="K501" s="17" t="str">
        <x:v>20.3 task 3</x:v>
      </x:c>
      <x:c r="L501" s="21" t="str">
        <x:v>Story-labeled commit cb7f4935 contains delivery and focused test/test-result files: feat: implement story 20.3 clause obligation mappings</x:v>
      </x:c>
      <x:c r="M501" s="17" t="str">
        <x:v>Implementation commit + focused test artifacts</x:v>
      </x:c>
      <x:c r="N501" s="21" t="str">
        <x:v>git commit cb7f4935ae0d809fe3928ab820b60b9ee2b02c42; /Users/devups/Development/CodexProjects/Gccs/docs/development-story-test-cases.md</x:v>
      </x:c>
      <x:c r="O501" s="19" t="n">
        <x:v>46190.95414351852</x:v>
      </x:c>
      <x:c r="P501" s="21" t="str">
        <x:v>5 acceptance criteria; 5 TC references; implementation=yes; smoke=yes; automated=no; Story-level regression template</x:v>
      </x:c>
      <x:c r="Q501" s="21" t="str"/>
      <x:c r="R501" s="21" t="str">
        <x:v>Retain traceability; rerun focused verification if the affected boundary changes.</x:v>
      </x:c>
      <x:c r="S501" s="18" t="str"/>
      <x:c r="T501" s="20"/>
      <x:c r="U501" s="21" t="str">
        <x:v>Completion is based on immutable repository evidence; tests were not rerun and current working-tree drift was not re-certified in this reporting-only task.</x:v>
      </x:c>
      <x:c r="V501" s="1"/>
    </x:row>
    <x:row r="502" ht="46" customHeight="1">
      <x:c r="A502" s="17" t="n">
        <x:v>498</x:v>
      </x:c>
      <x:c r="B502" s="17" t="str">
        <x:v>Phase 2</x:v>
      </x:c>
      <x:c r="C502" s="17" t="str">
        <x:v>20.3</x:v>
      </x:c>
      <x:c r="D502" s="21" t="str">
        <x:v>Clause-To-Obligation Mapping</x:v>
      </x:c>
      <x:c r="E502" s="17" t="n">
        <x:v>5</x:v>
      </x:c>
      <x:c r="F502" s="21" t="str">
        <x:v>Add UI for viewing and editing mappings.</x:v>
      </x:c>
      <x:c r="G502" s="17" t="str">
        <x:v>Software implementation</x:v>
      </x:c>
      <x:c r="H502" s="17" t="str">
        <x:v>Planned</x:v>
      </x:c>
      <x:c r="I502" s="18" t="str">
        <x:v>Completed</x:v>
      </x:c>
      <x:c r="J502" s="17" t="str">
        <x:f>IF(OR(I502="Completed",I502="Not Applicable"),"No","Yes")</x:f>
        <x:v>No</x:v>
      </x:c>
      <x:c r="K502" s="17" t="str">
        <x:v>20.3 task 4</x:v>
      </x:c>
      <x:c r="L502" s="21" t="str">
        <x:v>Story-labeled commit cb7f4935 contains delivery and focused test/test-result files: feat: implement story 20.3 clause obligation mappings</x:v>
      </x:c>
      <x:c r="M502" s="17" t="str">
        <x:v>Implementation commit + focused test artifacts</x:v>
      </x:c>
      <x:c r="N502" s="21" t="str">
        <x:v>git commit cb7f4935ae0d809fe3928ab820b60b9ee2b02c42; /Users/devups/Development/CodexProjects/Gccs/docs/development-story-test-cases.md</x:v>
      </x:c>
      <x:c r="O502" s="19" t="n">
        <x:v>46190.95414351852</x:v>
      </x:c>
      <x:c r="P502" s="21" t="str">
        <x:v>5 acceptance criteria; 5 TC references; implementation=yes; smoke=yes; automated=no; Story-level regression template</x:v>
      </x:c>
      <x:c r="Q502" s="21" t="str"/>
      <x:c r="R502" s="21" t="str">
        <x:v>Retain traceability; rerun focused verification if the affected boundary changes.</x:v>
      </x:c>
      <x:c r="S502" s="18" t="str"/>
      <x:c r="T502" s="20"/>
      <x:c r="U502" s="21" t="str">
        <x:v>Completion is based on immutable repository evidence; tests were not rerun and current working-tree drift was not re-certified in this reporting-only task.</x:v>
      </x:c>
      <x:c r="V502" s="1"/>
    </x:row>
    <x:row r="503" ht="46" customHeight="1">
      <x:c r="A503" s="17" t="n">
        <x:v>499</x:v>
      </x:c>
      <x:c r="B503" s="17" t="str">
        <x:v>Phase 2</x:v>
      </x:c>
      <x:c r="C503" s="17" t="str">
        <x:v>21.1</x:v>
      </x:c>
      <x:c r="D503" s="21" t="str">
        <x:v>Applicability Facts Model</x:v>
      </x:c>
      <x:c r="E503" s="17" t="n">
        <x:v>1</x:v>
      </x:c>
      <x:c r="F503" s="21" t="str">
        <x:v>Define facts for tenant company profile, NAICS, certifications, agency, contract type, role, place of performance, data type, labor category, clause, subcontractor role, and CUI/FCI indicators.</x:v>
      </x:c>
      <x:c r="G503" s="17" t="str">
        <x:v>Software implementation</x:v>
      </x:c>
      <x:c r="H503" s="17" t="str">
        <x:v>Planned</x:v>
      </x:c>
      <x:c r="I503" s="18" t="str">
        <x:v>Completed</x:v>
      </x:c>
      <x:c r="J503" s="17" t="str">
        <x:f>IF(OR(I503="Completed",I503="Not Applicable"),"No","Yes")</x:f>
        <x:v>No</x:v>
      </x:c>
      <x:c r="K503" s="17" t="str">
        <x:v>20.3</x:v>
      </x:c>
      <x:c r="L503" s="21" t="str">
        <x:v>Story-labeled commit 76c515a6 contains delivery and focused test/test-result files: feat: implement story 21.1 applicability facts model</x:v>
      </x:c>
      <x:c r="M503" s="17" t="str">
        <x:v>Implementation commit + focused test artifacts</x:v>
      </x:c>
      <x:c r="N503" s="21" t="str">
        <x:v>git commit 76c515a64dbd8c6a2b57ff0e91195d25ceebe467; /Users/devups/Development/CodexProjects/Gccs/docs/development-story-test-cases.md</x:v>
      </x:c>
      <x:c r="O503" s="19" t="n">
        <x:v>46190.957037037035</x:v>
      </x:c>
      <x:c r="P503" s="21" t="str">
        <x:v>5 acceptance criteria; 5 TC references; implementation=yes; smoke=yes; automated=no; Story-level regression template</x:v>
      </x:c>
      <x:c r="Q503" s="21" t="str"/>
      <x:c r="R503" s="21" t="str">
        <x:v>Retain traceability; rerun focused verification if the affected boundary changes.</x:v>
      </x:c>
      <x:c r="S503" s="18" t="str"/>
      <x:c r="T503" s="20"/>
      <x:c r="U503" s="21" t="str">
        <x:v>Completion is based on immutable repository evidence; tests were not rerun and current working-tree drift was not re-certified in this reporting-only task.</x:v>
      </x:c>
      <x:c r="V503" s="1"/>
    </x:row>
    <x:row r="504" ht="46" customHeight="1">
      <x:c r="A504" s="17" t="n">
        <x:v>500</x:v>
      </x:c>
      <x:c r="B504" s="17" t="str">
        <x:v>Phase 2</x:v>
      </x:c>
      <x:c r="C504" s="17" t="str">
        <x:v>21.1</x:v>
      </x:c>
      <x:c r="D504" s="21" t="str">
        <x:v>Applicability Facts Model</x:v>
      </x:c>
      <x:c r="E504" s="17" t="n">
        <x:v>2</x:v>
      </x:c>
      <x:c r="F504" s="21" t="str">
        <x:v>Add persistence or read model for facts used by the applicability engine.</x:v>
      </x:c>
      <x:c r="G504" s="17" t="str">
        <x:v>Software implementation</x:v>
      </x:c>
      <x:c r="H504" s="17" t="str">
        <x:v>Planned</x:v>
      </x:c>
      <x:c r="I504" s="18" t="str">
        <x:v>Completed</x:v>
      </x:c>
      <x:c r="J504" s="17" t="str">
        <x:f>IF(OR(I504="Completed",I504="Not Applicable"),"No","Yes")</x:f>
        <x:v>No</x:v>
      </x:c>
      <x:c r="K504" s="17" t="str">
        <x:v>21.1 task 1</x:v>
      </x:c>
      <x:c r="L504" s="21" t="str">
        <x:v>Story-labeled commit 76c515a6 contains delivery and focused test/test-result files: feat: implement story 21.1 applicability facts model</x:v>
      </x:c>
      <x:c r="M504" s="17" t="str">
        <x:v>Implementation commit + focused test artifacts</x:v>
      </x:c>
      <x:c r="N504" s="21" t="str">
        <x:v>git commit 76c515a64dbd8c6a2b57ff0e91195d25ceebe467; /Users/devups/Development/CodexProjects/Gccs/docs/development-story-test-cases.md</x:v>
      </x:c>
      <x:c r="O504" s="19" t="n">
        <x:v>46190.957037037035</x:v>
      </x:c>
      <x:c r="P504" s="21" t="str">
        <x:v>5 acceptance criteria; 5 TC references; implementation=yes; smoke=yes; automated=no; Story-level regression template</x:v>
      </x:c>
      <x:c r="Q504" s="21" t="str"/>
      <x:c r="R504" s="21" t="str">
        <x:v>Retain traceability; rerun focused verification if the affected boundary changes.</x:v>
      </x:c>
      <x:c r="S504" s="18" t="str"/>
      <x:c r="T504" s="20"/>
      <x:c r="U504" s="21" t="str">
        <x:v>Completion is based on immutable repository evidence; tests were not rerun and current working-tree drift was not re-certified in this reporting-only task.</x:v>
      </x:c>
      <x:c r="V504" s="1"/>
    </x:row>
    <x:row r="505" ht="46" customHeight="1">
      <x:c r="A505" s="17" t="n">
        <x:v>501</x:v>
      </x:c>
      <x:c r="B505" s="17" t="str">
        <x:v>Phase 2</x:v>
      </x:c>
      <x:c r="C505" s="17" t="str">
        <x:v>21.1</x:v>
      </x:c>
      <x:c r="D505" s="21" t="str">
        <x:v>Applicability Facts Model</x:v>
      </x:c>
      <x:c r="E505" s="17" t="n">
        <x:v>3</x:v>
      </x:c>
      <x:c r="F505" s="21" t="str">
        <x:v>Add fact provenance, source record, last updated date, and unknown values.</x:v>
      </x:c>
      <x:c r="G505" s="17" t="str">
        <x:v>Software implementation</x:v>
      </x:c>
      <x:c r="H505" s="17" t="str">
        <x:v>Planned</x:v>
      </x:c>
      <x:c r="I505" s="18" t="str">
        <x:v>Completed</x:v>
      </x:c>
      <x:c r="J505" s="17" t="str">
        <x:f>IF(OR(I505="Completed",I505="Not Applicable"),"No","Yes")</x:f>
        <x:v>No</x:v>
      </x:c>
      <x:c r="K505" s="17" t="str">
        <x:v>21.1 task 2</x:v>
      </x:c>
      <x:c r="L505" s="21" t="str">
        <x:v>Story-labeled commit 76c515a6 contains delivery and focused test/test-result files: feat: implement story 21.1 applicability facts model</x:v>
      </x:c>
      <x:c r="M505" s="17" t="str">
        <x:v>Implementation commit + focused test artifacts</x:v>
      </x:c>
      <x:c r="N505" s="21" t="str">
        <x:v>git commit 76c515a64dbd8c6a2b57ff0e91195d25ceebe467; /Users/devups/Development/CodexProjects/Gccs/docs/development-story-test-cases.md</x:v>
      </x:c>
      <x:c r="O505" s="19" t="n">
        <x:v>46190.957037037035</x:v>
      </x:c>
      <x:c r="P505" s="21" t="str">
        <x:v>5 acceptance criteria; 5 TC references; implementation=yes; smoke=yes; automated=no; Story-level regression template</x:v>
      </x:c>
      <x:c r="Q505" s="21" t="str"/>
      <x:c r="R505" s="21" t="str">
        <x:v>Retain traceability; rerun focused verification if the affected boundary changes.</x:v>
      </x:c>
      <x:c r="S505" s="18" t="str"/>
      <x:c r="T505" s="20"/>
      <x:c r="U505" s="21" t="str">
        <x:v>Completion is based on immutable repository evidence; tests were not rerun and current working-tree drift was not re-certified in this reporting-only task.</x:v>
      </x:c>
      <x:c r="V505" s="1"/>
    </x:row>
    <x:row r="506" ht="46" customHeight="1">
      <x:c r="A506" s="17" t="n">
        <x:v>502</x:v>
      </x:c>
      <x:c r="B506" s="17" t="str">
        <x:v>Phase 2</x:v>
      </x:c>
      <x:c r="C506" s="17" t="str">
        <x:v>21.1</x:v>
      </x:c>
      <x:c r="D506" s="21" t="str">
        <x:v>Applicability Facts Model</x:v>
      </x:c>
      <x:c r="E506" s="17" t="n">
        <x:v>4</x:v>
      </x:c>
      <x:c r="F506" s="21" t="str">
        <x:v>Add validation for required facts by workflow.</x:v>
      </x:c>
      <x:c r="G506" s="17" t="str">
        <x:v>Software implementation</x:v>
      </x:c>
      <x:c r="H506" s="17" t="str">
        <x:v>Planned</x:v>
      </x:c>
      <x:c r="I506" s="18" t="str">
        <x:v>Completed</x:v>
      </x:c>
      <x:c r="J506" s="17" t="str">
        <x:f>IF(OR(I506="Completed",I506="Not Applicable"),"No","Yes")</x:f>
        <x:v>No</x:v>
      </x:c>
      <x:c r="K506" s="17" t="str">
        <x:v>21.1 task 3</x:v>
      </x:c>
      <x:c r="L506" s="21" t="str">
        <x:v>Story-labeled commit 76c515a6 contains delivery and focused test/test-result files: feat: implement story 21.1 applicability facts model</x:v>
      </x:c>
      <x:c r="M506" s="17" t="str">
        <x:v>Implementation commit + focused test artifacts</x:v>
      </x:c>
      <x:c r="N506" s="21" t="str">
        <x:v>git commit 76c515a64dbd8c6a2b57ff0e91195d25ceebe467; /Users/devups/Development/CodexProjects/Gccs/docs/development-story-test-cases.md</x:v>
      </x:c>
      <x:c r="O506" s="19" t="n">
        <x:v>46190.957037037035</x:v>
      </x:c>
      <x:c r="P506" s="21" t="str">
        <x:v>5 acceptance criteria; 5 TC references; implementation=yes; smoke=yes; automated=no; Story-level regression template</x:v>
      </x:c>
      <x:c r="Q506" s="21" t="str"/>
      <x:c r="R506" s="21" t="str">
        <x:v>Retain traceability; rerun focused verification if the affected boundary changes.</x:v>
      </x:c>
      <x:c r="S506" s="18" t="str"/>
      <x:c r="T506" s="20"/>
      <x:c r="U506" s="21" t="str">
        <x:v>Completion is based on immutable repository evidence; tests were not rerun and current working-tree drift was not re-certified in this reporting-only task.</x:v>
      </x:c>
      <x:c r="V506" s="1"/>
    </x:row>
    <x:row r="507" ht="46" customHeight="1">
      <x:c r="A507" s="17" t="n">
        <x:v>503</x:v>
      </x:c>
      <x:c r="B507" s="17" t="str">
        <x:v>Phase 2</x:v>
      </x:c>
      <x:c r="C507" s="17" t="str">
        <x:v>21.1</x:v>
      </x:c>
      <x:c r="D507" s="21" t="str">
        <x:v>Applicability Facts Model</x:v>
      </x:c>
      <x:c r="E507" s="17" t="n">
        <x:v>5</x:v>
      </x:c>
      <x:c r="F507" s="21" t="str">
        <x:v>Document fact definitions and expected sources.</x:v>
      </x:c>
      <x:c r="G507" s="17" t="str">
        <x:v>Software implementation</x:v>
      </x:c>
      <x:c r="H507" s="17" t="str">
        <x:v>Planned</x:v>
      </x:c>
      <x:c r="I507" s="18" t="str">
        <x:v>Completed</x:v>
      </x:c>
      <x:c r="J507" s="17" t="str">
        <x:f>IF(OR(I507="Completed",I507="Not Applicable"),"No","Yes")</x:f>
        <x:v>No</x:v>
      </x:c>
      <x:c r="K507" s="17" t="str">
        <x:v>21.1 task 4</x:v>
      </x:c>
      <x:c r="L507" s="21" t="str">
        <x:v>Story-labeled commit 76c515a6 contains delivery and focused test/test-result files: feat: implement story 21.1 applicability facts model</x:v>
      </x:c>
      <x:c r="M507" s="17" t="str">
        <x:v>Implementation commit + focused test artifacts</x:v>
      </x:c>
      <x:c r="N507" s="21" t="str">
        <x:v>git commit 76c515a64dbd8c6a2b57ff0e91195d25ceebe467; /Users/devups/Development/CodexProjects/Gccs/docs/development-story-test-cases.md</x:v>
      </x:c>
      <x:c r="O507" s="19" t="n">
        <x:v>46190.957037037035</x:v>
      </x:c>
      <x:c r="P507" s="21" t="str">
        <x:v>5 acceptance criteria; 5 TC references; implementation=yes; smoke=yes; automated=no; Story-level regression template</x:v>
      </x:c>
      <x:c r="Q507" s="21" t="str"/>
      <x:c r="R507" s="21" t="str">
        <x:v>Retain traceability; rerun focused verification if the affected boundary changes.</x:v>
      </x:c>
      <x:c r="S507" s="18" t="str"/>
      <x:c r="T507" s="20"/>
      <x:c r="U507" s="21" t="str">
        <x:v>Completion is based on immutable repository evidence; tests were not rerun and current working-tree drift was not re-certified in this reporting-only task.</x:v>
      </x:c>
      <x:c r="V507" s="1"/>
    </x:row>
    <x:row r="508" ht="46" customHeight="1">
      <x:c r="A508" s="17" t="n">
        <x:v>504</x:v>
      </x:c>
      <x:c r="B508" s="17" t="str">
        <x:v>Phase 2</x:v>
      </x:c>
      <x:c r="C508" s="17" t="str">
        <x:v>21.2</x:v>
      </x:c>
      <x:c r="D508" s="21" t="str">
        <x:v>Rule Evaluation</x:v>
      </x:c>
      <x:c r="E508" s="17" t="n">
        <x:v>1</x:v>
      </x:c>
      <x:c r="F508" s="21" t="str">
        <x:v>Add applicability rule format with conditions, source, confidence, effective date, and review metadata.</x:v>
      </x:c>
      <x:c r="G508" s="17" t="str">
        <x:v>Software implementation</x:v>
      </x:c>
      <x:c r="H508" s="17" t="str">
        <x:v>Planned</x:v>
      </x:c>
      <x:c r="I508" s="18" t="str">
        <x:v>Completed</x:v>
      </x:c>
      <x:c r="J508" s="17" t="str">
        <x:f>IF(OR(I508="Completed",I508="Not Applicable"),"No","Yes")</x:f>
        <x:v>No</x:v>
      </x:c>
      <x:c r="K508" s="17" t="str">
        <x:v>21.1</x:v>
      </x:c>
      <x:c r="L508" s="21" t="str">
        <x:v>Story-labeled commit 445334a6 contains delivery and focused test/test-result files: feat: implement story 21.2 rule evaluation</x:v>
      </x:c>
      <x:c r="M508" s="17" t="str">
        <x:v>Implementation commit + focused test artifacts</x:v>
      </x:c>
      <x:c r="N508" s="21" t="str">
        <x:v>git commit 445334a658443c3caf750c189bc623a78578ce9e; /Users/devups/Development/CodexProjects/Gccs/docs/development-story-test-cases.md</x:v>
      </x:c>
      <x:c r="O508" s="19" t="n">
        <x:v>46190.95868055556</x:v>
      </x:c>
      <x:c r="P508" s="21" t="str">
        <x:v>5 acceptance criteria; 5 TC references; implementation=yes; smoke=yes; automated=no; Story-level regression template</x:v>
      </x:c>
      <x:c r="Q508" s="21" t="str"/>
      <x:c r="R508" s="21" t="str">
        <x:v>Retain traceability; rerun focused verification if the affected boundary changes.</x:v>
      </x:c>
      <x:c r="S508" s="18" t="str"/>
      <x:c r="T508" s="20"/>
      <x:c r="U508" s="21" t="str">
        <x:v>Completion is based on immutable repository evidence; tests were not rerun and current working-tree drift was not re-certified in this reporting-only task.</x:v>
      </x:c>
      <x:c r="V508" s="1"/>
    </x:row>
    <x:row r="509" ht="46" customHeight="1">
      <x:c r="A509" s="17" t="n">
        <x:v>505</x:v>
      </x:c>
      <x:c r="B509" s="17" t="str">
        <x:v>Phase 2</x:v>
      </x:c>
      <x:c r="C509" s="17" t="str">
        <x:v>21.2</x:v>
      </x:c>
      <x:c r="D509" s="21" t="str">
        <x:v>Rule Evaluation</x:v>
      </x:c>
      <x:c r="E509" s="17" t="n">
        <x:v>2</x:v>
      </x:c>
      <x:c r="F509" s="21" t="str">
        <x:v>Implement rule evaluator for deterministic rules.</x:v>
      </x:c>
      <x:c r="G509" s="17" t="str">
        <x:v>Software implementation</x:v>
      </x:c>
      <x:c r="H509" s="17" t="str">
        <x:v>Planned</x:v>
      </x:c>
      <x:c r="I509" s="18" t="str">
        <x:v>Completed</x:v>
      </x:c>
      <x:c r="J509" s="17" t="str">
        <x:f>IF(OR(I509="Completed",I509="Not Applicable"),"No","Yes")</x:f>
        <x:v>No</x:v>
      </x:c>
      <x:c r="K509" s="17" t="str">
        <x:v>21.2 task 1</x:v>
      </x:c>
      <x:c r="L509" s="21" t="str">
        <x:v>Story-labeled commit 445334a6 contains delivery and focused test/test-result files: feat: implement story 21.2 rule evaluation</x:v>
      </x:c>
      <x:c r="M509" s="17" t="str">
        <x:v>Implementation commit + focused test artifacts</x:v>
      </x:c>
      <x:c r="N509" s="21" t="str">
        <x:v>git commit 445334a658443c3caf750c189bc623a78578ce9e; /Users/devups/Development/CodexProjects/Gccs/docs/development-story-test-cases.md</x:v>
      </x:c>
      <x:c r="O509" s="19" t="n">
        <x:v>46190.95868055556</x:v>
      </x:c>
      <x:c r="P509" s="21" t="str">
        <x:v>5 acceptance criteria; 5 TC references; implementation=yes; smoke=yes; automated=no; Story-level regression template</x:v>
      </x:c>
      <x:c r="Q509" s="21" t="str"/>
      <x:c r="R509" s="21" t="str">
        <x:v>Retain traceability; rerun focused verification if the affected boundary changes.</x:v>
      </x:c>
      <x:c r="S509" s="18" t="str"/>
      <x:c r="T509" s="20"/>
      <x:c r="U509" s="21" t="str">
        <x:v>Completion is based on immutable repository evidence; tests were not rerun and current working-tree drift was not re-certified in this reporting-only task.</x:v>
      </x:c>
      <x:c r="V509" s="1"/>
    </x:row>
    <x:row r="510" ht="46" customHeight="1">
      <x:c r="A510" s="17" t="n">
        <x:v>506</x:v>
      </x:c>
      <x:c r="B510" s="17" t="str">
        <x:v>Phase 2</x:v>
      </x:c>
      <x:c r="C510" s="17" t="str">
        <x:v>21.2</x:v>
      </x:c>
      <x:c r="D510" s="21" t="str">
        <x:v>Rule Evaluation</x:v>
      </x:c>
      <x:c r="E510" s="17" t="n">
        <x:v>3</x:v>
      </x:c>
      <x:c r="F510" s="21" t="str">
        <x:v>Return result states of applicable, not applicable, needs review, and insufficient information.</x:v>
      </x:c>
      <x:c r="G510" s="17" t="str">
        <x:v>Software implementation</x:v>
      </x:c>
      <x:c r="H510" s="17" t="str">
        <x:v>Planned</x:v>
      </x:c>
      <x:c r="I510" s="18" t="str">
        <x:v>Completed</x:v>
      </x:c>
      <x:c r="J510" s="17" t="str">
        <x:f>IF(OR(I510="Completed",I510="Not Applicable"),"No","Yes")</x:f>
        <x:v>No</x:v>
      </x:c>
      <x:c r="K510" s="17" t="str">
        <x:v>21.2 task 2</x:v>
      </x:c>
      <x:c r="L510" s="21" t="str">
        <x:v>Story-labeled commit 445334a6 contains delivery and focused test/test-result files: feat: implement story 21.2 rule evaluation</x:v>
      </x:c>
      <x:c r="M510" s="17" t="str">
        <x:v>Implementation commit + focused test artifacts</x:v>
      </x:c>
      <x:c r="N510" s="21" t="str">
        <x:v>git commit 445334a658443c3caf750c189bc623a78578ce9e; /Users/devups/Development/CodexProjects/Gccs/docs/development-story-test-cases.md</x:v>
      </x:c>
      <x:c r="O510" s="19" t="n">
        <x:v>46190.95868055556</x:v>
      </x:c>
      <x:c r="P510" s="21" t="str">
        <x:v>5 acceptance criteria; 5 TC references; implementation=yes; smoke=yes; automated=no; Story-level regression template</x:v>
      </x:c>
      <x:c r="Q510" s="21" t="str"/>
      <x:c r="R510" s="21" t="str">
        <x:v>Retain traceability; rerun focused verification if the affected boundary changes.</x:v>
      </x:c>
      <x:c r="S510" s="18" t="str"/>
      <x:c r="T510" s="20"/>
      <x:c r="U510" s="21" t="str">
        <x:v>Completion is based on immutable repository evidence; tests were not rerun and current working-tree drift was not re-certified in this reporting-only task.</x:v>
      </x:c>
      <x:c r="V510" s="1"/>
    </x:row>
    <x:row r="511" ht="46" customHeight="1">
      <x:c r="A511" s="17" t="n">
        <x:v>507</x:v>
      </x:c>
      <x:c r="B511" s="17" t="str">
        <x:v>Phase 2</x:v>
      </x:c>
      <x:c r="C511" s="17" t="str">
        <x:v>21.2</x:v>
      </x:c>
      <x:c r="D511" s="21" t="str">
        <x:v>Rule Evaluation</x:v>
      </x:c>
      <x:c r="E511" s="17" t="n">
        <x:v>4</x:v>
      </x:c>
      <x:c r="F511" s="21" t="str">
        <x:v>Store evaluation explanation and facts used.</x:v>
      </x:c>
      <x:c r="G511" s="17" t="str">
        <x:v>Software implementation</x:v>
      </x:c>
      <x:c r="H511" s="17" t="str">
        <x:v>Planned</x:v>
      </x:c>
      <x:c r="I511" s="18" t="str">
        <x:v>Completed</x:v>
      </x:c>
      <x:c r="J511" s="17" t="str">
        <x:f>IF(OR(I511="Completed",I511="Not Applicable"),"No","Yes")</x:f>
        <x:v>No</x:v>
      </x:c>
      <x:c r="K511" s="17" t="str">
        <x:v>21.2 task 3</x:v>
      </x:c>
      <x:c r="L511" s="21" t="str">
        <x:v>Story-labeled commit 445334a6 contains delivery and focused test/test-result files: feat: implement story 21.2 rule evaluation</x:v>
      </x:c>
      <x:c r="M511" s="17" t="str">
        <x:v>Implementation commit + focused test artifacts</x:v>
      </x:c>
      <x:c r="N511" s="21" t="str">
        <x:v>git commit 445334a658443c3caf750c189bc623a78578ce9e; /Users/devups/Development/CodexProjects/Gccs/docs/development-story-test-cases.md</x:v>
      </x:c>
      <x:c r="O511" s="19" t="n">
        <x:v>46190.95868055556</x:v>
      </x:c>
      <x:c r="P511" s="21" t="str">
        <x:v>5 acceptance criteria; 5 TC references; implementation=yes; smoke=yes; automated=no; Story-level regression template</x:v>
      </x:c>
      <x:c r="Q511" s="21" t="str"/>
      <x:c r="R511" s="21" t="str">
        <x:v>Retain traceability; rerun focused verification if the affected boundary changes.</x:v>
      </x:c>
      <x:c r="S511" s="18" t="str"/>
      <x:c r="T511" s="20"/>
      <x:c r="U511" s="21" t="str">
        <x:v>Completion is based on immutable repository evidence; tests were not rerun and current working-tree drift was not re-certified in this reporting-only task.</x:v>
      </x:c>
      <x:c r="V511" s="1"/>
    </x:row>
    <x:row r="512" ht="46" customHeight="1">
      <x:c r="A512" s="17" t="n">
        <x:v>508</x:v>
      </x:c>
      <x:c r="B512" s="17" t="str">
        <x:v>Phase 2</x:v>
      </x:c>
      <x:c r="C512" s="17" t="str">
        <x:v>21.2</x:v>
      </x:c>
      <x:c r="D512" s="21" t="str">
        <x:v>Rule Evaluation</x:v>
      </x:c>
      <x:c r="E512" s="17" t="n">
        <x:v>5</x:v>
      </x:c>
      <x:c r="F512" s="21" t="str">
        <x:v>Add tests for common FAR, DFARS, CMMC, SAM/SBA, and flow-down rule patterns.</x:v>
      </x:c>
      <x:c r="G512" s="17" t="str">
        <x:v>Software implementation</x:v>
      </x:c>
      <x:c r="H512" s="17" t="str">
        <x:v>Planned</x:v>
      </x:c>
      <x:c r="I512" s="18" t="str">
        <x:v>Completed</x:v>
      </x:c>
      <x:c r="J512" s="17" t="str">
        <x:f>IF(OR(I512="Completed",I512="Not Applicable"),"No","Yes")</x:f>
        <x:v>No</x:v>
      </x:c>
      <x:c r="K512" s="17" t="str">
        <x:v>21.2 task 4</x:v>
      </x:c>
      <x:c r="L512" s="21" t="str">
        <x:v>Story-labeled commit 445334a6 contains delivery and focused test/test-result files: feat: implement story 21.2 rule evaluation</x:v>
      </x:c>
      <x:c r="M512" s="17" t="str">
        <x:v>Implementation commit + focused test artifacts</x:v>
      </x:c>
      <x:c r="N512" s="21" t="str">
        <x:v>git commit 445334a658443c3caf750c189bc623a78578ce9e; /Users/devups/Development/CodexProjects/Gccs/docs/development-story-test-cases.md</x:v>
      </x:c>
      <x:c r="O512" s="19" t="n">
        <x:v>46190.95868055556</x:v>
      </x:c>
      <x:c r="P512" s="21" t="str">
        <x:v>5 acceptance criteria; 5 TC references; implementation=yes; smoke=yes; automated=no; Story-level regression template</x:v>
      </x:c>
      <x:c r="Q512" s="21" t="str"/>
      <x:c r="R512" s="21" t="str">
        <x:v>Retain traceability; rerun focused verification if the affected boundary changes.</x:v>
      </x:c>
      <x:c r="S512" s="18" t="str"/>
      <x:c r="T512" s="20"/>
      <x:c r="U512" s="21" t="str">
        <x:v>Completion is based on immutable repository evidence; tests were not rerun and current working-tree drift was not re-certified in this reporting-only task.</x:v>
      </x:c>
      <x:c r="V512" s="1"/>
    </x:row>
    <x:row r="513" ht="46" customHeight="1">
      <x:c r="A513" s="17" t="n">
        <x:v>509</x:v>
      </x:c>
      <x:c r="B513" s="17" t="str">
        <x:v>Phase 2</x:v>
      </x:c>
      <x:c r="C513" s="17" t="str">
        <x:v>21.3</x:v>
      </x:c>
      <x:c r="D513" s="21" t="str">
        <x:v>Obligation Applicability Updates</x:v>
      </x:c>
      <x:c r="E513" s="17" t="n">
        <x:v>1</x:v>
      </x:c>
      <x:c r="F513" s="21" t="str">
        <x:v>Trigger reevaluation when company profile, contract facts, clause mappings, data type, subcontractor, or rule versions change.</x:v>
      </x:c>
      <x:c r="G513" s="17" t="str">
        <x:v>Software implementation</x:v>
      </x:c>
      <x:c r="H513" s="17" t="str">
        <x:v>Planned</x:v>
      </x:c>
      <x:c r="I513" s="18" t="str">
        <x:v>Completed</x:v>
      </x:c>
      <x:c r="J513" s="17" t="str">
        <x:f>IF(OR(I513="Completed",I513="Not Applicable"),"No","Yes")</x:f>
        <x:v>No</x:v>
      </x:c>
      <x:c r="K513" s="17" t="str">
        <x:v>21.2</x:v>
      </x:c>
      <x:c r="L513" s="21" t="str">
        <x:v>Story-labeled commit ed04050b contains delivery and focused test/test-result files: feat: implement story 21.3 obligation applicability updates</x:v>
      </x:c>
      <x:c r="M513" s="17" t="str">
        <x:v>Implementation commit + focused test artifacts</x:v>
      </x:c>
      <x:c r="N513" s="21" t="str">
        <x:v>git commit ed04050bf329fe02701bd4d390e6d09f2cad75d6; /Users/devups/Development/CodexProjects/Gccs/docs/development-story-test-cases.md</x:v>
      </x:c>
      <x:c r="O513" s="19" t="n">
        <x:v>46190.96203703704</x:v>
      </x:c>
      <x:c r="P513" s="21" t="str">
        <x:v>5 acceptance criteria; 5 TC references; implementation=yes; smoke=yes; automated=no; Story-level regression template</x:v>
      </x:c>
      <x:c r="Q513" s="21" t="str"/>
      <x:c r="R513" s="21" t="str">
        <x:v>Retain traceability; rerun focused verification if the affected boundary changes.</x:v>
      </x:c>
      <x:c r="S513" s="18" t="str"/>
      <x:c r="T513" s="20"/>
      <x:c r="U513" s="21" t="str">
        <x:v>Completion is based on immutable repository evidence; tests were not rerun and current working-tree drift was not re-certified in this reporting-only task.</x:v>
      </x:c>
      <x:c r="V513" s="1"/>
    </x:row>
    <x:row r="514" ht="46" customHeight="1">
      <x:c r="A514" s="17" t="n">
        <x:v>510</x:v>
      </x:c>
      <x:c r="B514" s="17" t="str">
        <x:v>Phase 2</x:v>
      </x:c>
      <x:c r="C514" s="17" t="str">
        <x:v>21.3</x:v>
      </x:c>
      <x:c r="D514" s="21" t="str">
        <x:v>Obligation Applicability Updates</x:v>
      </x:c>
      <x:c r="E514" s="17" t="n">
        <x:v>2</x:v>
      </x:c>
      <x:c r="F514" s="21" t="str">
        <x:v>Store current and prior applicability results.</x:v>
      </x:c>
      <x:c r="G514" s="17" t="str">
        <x:v>Software implementation</x:v>
      </x:c>
      <x:c r="H514" s="17" t="str">
        <x:v>Planned</x:v>
      </x:c>
      <x:c r="I514" s="18" t="str">
        <x:v>Completed</x:v>
      </x:c>
      <x:c r="J514" s="17" t="str">
        <x:f>IF(OR(I514="Completed",I514="Not Applicable"),"No","Yes")</x:f>
        <x:v>No</x:v>
      </x:c>
      <x:c r="K514" s="17" t="str">
        <x:v>21.3 task 1</x:v>
      </x:c>
      <x:c r="L514" s="21" t="str">
        <x:v>Story-labeled commit ed04050b contains delivery and focused test/test-result files: feat: implement story 21.3 obligation applicability updates</x:v>
      </x:c>
      <x:c r="M514" s="17" t="str">
        <x:v>Implementation commit + focused test artifacts</x:v>
      </x:c>
      <x:c r="N514" s="21" t="str">
        <x:v>git commit ed04050bf329fe02701bd4d390e6d09f2cad75d6; /Users/devups/Development/CodexProjects/Gccs/docs/development-story-test-cases.md</x:v>
      </x:c>
      <x:c r="O514" s="19" t="n">
        <x:v>46190.96203703704</x:v>
      </x:c>
      <x:c r="P514" s="21" t="str">
        <x:v>5 acceptance criteria; 5 TC references; implementation=yes; smoke=yes; automated=no; Story-level regression template</x:v>
      </x:c>
      <x:c r="Q514" s="21" t="str"/>
      <x:c r="R514" s="21" t="str">
        <x:v>Retain traceability; rerun focused verification if the affected boundary changes.</x:v>
      </x:c>
      <x:c r="S514" s="18" t="str"/>
      <x:c r="T514" s="20"/>
      <x:c r="U514" s="21" t="str">
        <x:v>Completion is based on immutable repository evidence; tests were not rerun and current working-tree drift was not re-certified in this reporting-only task.</x:v>
      </x:c>
      <x:c r="V514" s="1"/>
    </x:row>
    <x:row r="515" ht="46" customHeight="1">
      <x:c r="A515" s="17" t="n">
        <x:v>511</x:v>
      </x:c>
      <x:c r="B515" s="17" t="str">
        <x:v>Phase 2</x:v>
      </x:c>
      <x:c r="C515" s="17" t="str">
        <x:v>21.3</x:v>
      </x:c>
      <x:c r="D515" s="21" t="str">
        <x:v>Obligation Applicability Updates</x:v>
      </x:c>
      <x:c r="E515" s="17" t="n">
        <x:v>3</x:v>
      </x:c>
      <x:c r="F515" s="21" t="str">
        <x:v>Add UI indicators for applicable, not applicable, needs review, and insufficient information.</x:v>
      </x:c>
      <x:c r="G515" s="17" t="str">
        <x:v>Software implementation</x:v>
      </x:c>
      <x:c r="H515" s="17" t="str">
        <x:v>Planned</x:v>
      </x:c>
      <x:c r="I515" s="18" t="str">
        <x:v>Completed</x:v>
      </x:c>
      <x:c r="J515" s="17" t="str">
        <x:f>IF(OR(I515="Completed",I515="Not Applicable"),"No","Yes")</x:f>
        <x:v>No</x:v>
      </x:c>
      <x:c r="K515" s="17" t="str">
        <x:v>21.3 task 2</x:v>
      </x:c>
      <x:c r="L515" s="21" t="str">
        <x:v>Story-labeled commit ed04050b contains delivery and focused test/test-result files: feat: implement story 21.3 obligation applicability updates</x:v>
      </x:c>
      <x:c r="M515" s="17" t="str">
        <x:v>Implementation commit + focused test artifacts</x:v>
      </x:c>
      <x:c r="N515" s="21" t="str">
        <x:v>git commit ed04050bf329fe02701bd4d390e6d09f2cad75d6; /Users/devups/Development/CodexProjects/Gccs/docs/development-story-test-cases.md</x:v>
      </x:c>
      <x:c r="O515" s="19" t="n">
        <x:v>46190.96203703704</x:v>
      </x:c>
      <x:c r="P515" s="21" t="str">
        <x:v>5 acceptance criteria; 5 TC references; implementation=yes; smoke=yes; automated=no; Story-level regression template</x:v>
      </x:c>
      <x:c r="Q515" s="21" t="str"/>
      <x:c r="R515" s="21" t="str">
        <x:v>Retain traceability; rerun focused verification if the affected boundary changes.</x:v>
      </x:c>
      <x:c r="S515" s="18" t="str"/>
      <x:c r="T515" s="20"/>
      <x:c r="U515" s="21" t="str">
        <x:v>Completion is based on immutable repository evidence; tests were not rerun and current working-tree drift was not re-certified in this reporting-only task.</x:v>
      </x:c>
      <x:c r="V515" s="1"/>
    </x:row>
    <x:row r="516" ht="46" customHeight="1">
      <x:c r="A516" s="17" t="n">
        <x:v>512</x:v>
      </x:c>
      <x:c r="B516" s="17" t="str">
        <x:v>Phase 2</x:v>
      </x:c>
      <x:c r="C516" s="17" t="str">
        <x:v>21.3</x:v>
      </x:c>
      <x:c r="D516" s="21" t="str">
        <x:v>Obligation Applicability Updates</x:v>
      </x:c>
      <x:c r="E516" s="17" t="n">
        <x:v>4</x:v>
      </x:c>
      <x:c r="F516" s="21" t="str">
        <x:v>Add explanation panel showing why an obligation applies or needs review.</x:v>
      </x:c>
      <x:c r="G516" s="17" t="str">
        <x:v>Software implementation</x:v>
      </x:c>
      <x:c r="H516" s="17" t="str">
        <x:v>Planned</x:v>
      </x:c>
      <x:c r="I516" s="18" t="str">
        <x:v>Completed</x:v>
      </x:c>
      <x:c r="J516" s="17" t="str">
        <x:f>IF(OR(I516="Completed",I516="Not Applicable"),"No","Yes")</x:f>
        <x:v>No</x:v>
      </x:c>
      <x:c r="K516" s="17" t="str">
        <x:v>21.3 task 3</x:v>
      </x:c>
      <x:c r="L516" s="21" t="str">
        <x:v>Story-labeled commit ed04050b contains delivery and focused test/test-result files: feat: implement story 21.3 obligation applicability updates</x:v>
      </x:c>
      <x:c r="M516" s="17" t="str">
        <x:v>Implementation commit + focused test artifacts</x:v>
      </x:c>
      <x:c r="N516" s="21" t="str">
        <x:v>git commit ed04050bf329fe02701bd4d390e6d09f2cad75d6; /Users/devups/Development/CodexProjects/Gccs/docs/development-story-test-cases.md</x:v>
      </x:c>
      <x:c r="O516" s="19" t="n">
        <x:v>46190.96203703704</x:v>
      </x:c>
      <x:c r="P516" s="21" t="str">
        <x:v>5 acceptance criteria; 5 TC references; implementation=yes; smoke=yes; automated=no; Story-level regression template</x:v>
      </x:c>
      <x:c r="Q516" s="21" t="str"/>
      <x:c r="R516" s="21" t="str">
        <x:v>Retain traceability; rerun focused verification if the affected boundary changes.</x:v>
      </x:c>
      <x:c r="S516" s="18" t="str"/>
      <x:c r="T516" s="20"/>
      <x:c r="U516" s="21" t="str">
        <x:v>Completion is based on immutable repository evidence; tests were not rerun and current working-tree drift was not re-certified in this reporting-only task.</x:v>
      </x:c>
      <x:c r="V516" s="1"/>
    </x:row>
    <x:row r="517" ht="46" customHeight="1">
      <x:c r="A517" s="17" t="n">
        <x:v>513</x:v>
      </x:c>
      <x:c r="B517" s="17" t="str">
        <x:v>Phase 2</x:v>
      </x:c>
      <x:c r="C517" s="17" t="str">
        <x:v>21.3</x:v>
      </x:c>
      <x:c r="D517" s="21" t="str">
        <x:v>Obligation Applicability Updates</x:v>
      </x:c>
      <x:c r="E517" s="17" t="n">
        <x:v>5</x:v>
      </x:c>
      <x:c r="F517" s="21" t="str">
        <x:v>Add audit events for material applicability changes.</x:v>
      </x:c>
      <x:c r="G517" s="17" t="str">
        <x:v>Software implementation</x:v>
      </x:c>
      <x:c r="H517" s="17" t="str">
        <x:v>Planned</x:v>
      </x:c>
      <x:c r="I517" s="18" t="str">
        <x:v>Completed</x:v>
      </x:c>
      <x:c r="J517" s="17" t="str">
        <x:f>IF(OR(I517="Completed",I517="Not Applicable"),"No","Yes")</x:f>
        <x:v>No</x:v>
      </x:c>
      <x:c r="K517" s="17" t="str">
        <x:v>21.3 task 4</x:v>
      </x:c>
      <x:c r="L517" s="21" t="str">
        <x:v>Story-labeled commit ed04050b contains delivery and focused test/test-result files: feat: implement story 21.3 obligation applicability updates</x:v>
      </x:c>
      <x:c r="M517" s="17" t="str">
        <x:v>Implementation commit + focused test artifacts</x:v>
      </x:c>
      <x:c r="N517" s="21" t="str">
        <x:v>git commit ed04050bf329fe02701bd4d390e6d09f2cad75d6; /Users/devups/Development/CodexProjects/Gccs/docs/development-story-test-cases.md</x:v>
      </x:c>
      <x:c r="O517" s="19" t="n">
        <x:v>46190.96203703704</x:v>
      </x:c>
      <x:c r="P517" s="21" t="str">
        <x:v>5 acceptance criteria; 5 TC references; implementation=yes; smoke=yes; automated=no; Story-level regression template</x:v>
      </x:c>
      <x:c r="Q517" s="21" t="str"/>
      <x:c r="R517" s="21" t="str">
        <x:v>Retain traceability; rerun focused verification if the affected boundary changes.</x:v>
      </x:c>
      <x:c r="S517" s="18" t="str"/>
      <x:c r="T517" s="20"/>
      <x:c r="U517" s="21" t="str">
        <x:v>Completion is based on immutable repository evidence; tests were not rerun and current working-tree drift was not re-certified in this reporting-only task.</x:v>
      </x:c>
      <x:c r="V517" s="1"/>
    </x:row>
    <x:row r="518" ht="46" customHeight="1">
      <x:c r="A518" s="17" t="n">
        <x:v>514</x:v>
      </x:c>
      <x:c r="B518" s="17" t="str">
        <x:v>Phase 2</x:v>
      </x:c>
      <x:c r="C518" s="17" t="str">
        <x:v>22.1</x:v>
      </x:c>
      <x:c r="D518" s="21" t="str">
        <x:v>SAM.gov API Configuration</x:v>
      </x:c>
      <x:c r="E518" s="17" t="n">
        <x:v>1</x:v>
      </x:c>
      <x:c r="F518" s="21" t="str">
        <x:v>Add configuration for SAM.gov base URL, API key, timeout, retry policy, and rate limit behavior.</x:v>
      </x:c>
      <x:c r="G518" s="17" t="str">
        <x:v>Software implementation</x:v>
      </x:c>
      <x:c r="H518" s="17" t="str">
        <x:v>Planned</x:v>
      </x:c>
      <x:c r="I518" s="18" t="str">
        <x:v>Completed</x:v>
      </x:c>
      <x:c r="J518" s="17" t="str">
        <x:f>IF(OR(I518="Completed",I518="Not Applicable"),"No","Yes")</x:f>
        <x:v>No</x:v>
      </x:c>
      <x:c r="K518" s="17" t="str">
        <x:v>21.3</x:v>
      </x:c>
      <x:c r="L518" s="21" t="str">
        <x:v>Story-labeled commit b7472914 contains delivery and focused test/test-result files: feat: implement story 22.1 samgov api configuration</x:v>
      </x:c>
      <x:c r="M518" s="17" t="str">
        <x:v>Implementation commit + focused test artifacts</x:v>
      </x:c>
      <x:c r="N518" s="21" t="str">
        <x:v>git commit b7472914bdbac5a42c8c10d54d6701b1e3ff7da9; /Users/devups/Development/CodexProjects/Gccs/docs/development-story-test-cases.md</x:v>
      </x:c>
      <x:c r="O518" s="19" t="n">
        <x:v>46190.96454861111</x:v>
      </x:c>
      <x:c r="P518" s="21" t="str">
        <x:v>5 acceptance criteria; 5 TC references; implementation=yes; smoke=yes; automated=no; Story-level regression template</x:v>
      </x:c>
      <x:c r="Q518" s="21" t="str"/>
      <x:c r="R518" s="21" t="str">
        <x:v>Retain traceability; rerun focused verification if the affected boundary changes.</x:v>
      </x:c>
      <x:c r="S518" s="18" t="str"/>
      <x:c r="T518" s="20"/>
      <x:c r="U518" s="21" t="str">
        <x:v>Completion is based on immutable repository evidence; tests were not rerun and current working-tree drift was not re-certified in this reporting-only task.</x:v>
      </x:c>
      <x:c r="V518" s="1"/>
    </x:row>
    <x:row r="519" ht="46" customHeight="1">
      <x:c r="A519" s="17" t="n">
        <x:v>515</x:v>
      </x:c>
      <x:c r="B519" s="17" t="str">
        <x:v>Phase 2</x:v>
      </x:c>
      <x:c r="C519" s="17" t="str">
        <x:v>22.1</x:v>
      </x:c>
      <x:c r="D519" s="21" t="str">
        <x:v>SAM.gov API Configuration</x:v>
      </x:c>
      <x:c r="E519" s="17" t="n">
        <x:v>2</x:v>
      </x:c>
      <x:c r="F519" s="21" t="str">
        <x:v>Store API keys in the existing secrets management approach.</x:v>
      </x:c>
      <x:c r="G519" s="17" t="str">
        <x:v>Software implementation</x:v>
      </x:c>
      <x:c r="H519" s="17" t="str">
        <x:v>Planned</x:v>
      </x:c>
      <x:c r="I519" s="18" t="str">
        <x:v>Completed</x:v>
      </x:c>
      <x:c r="J519" s="17" t="str">
        <x:f>IF(OR(I519="Completed",I519="Not Applicable"),"No","Yes")</x:f>
        <x:v>No</x:v>
      </x:c>
      <x:c r="K519" s="17" t="str">
        <x:v>22.1 task 1</x:v>
      </x:c>
      <x:c r="L519" s="21" t="str">
        <x:v>Story-labeled commit b7472914 contains delivery and focused test/test-result files: feat: implement story 22.1 samgov api configuration</x:v>
      </x:c>
      <x:c r="M519" s="17" t="str">
        <x:v>Implementation commit + focused test artifacts</x:v>
      </x:c>
      <x:c r="N519" s="21" t="str">
        <x:v>git commit b7472914bdbac5a42c8c10d54d6701b1e3ff7da9; /Users/devups/Development/CodexProjects/Gccs/docs/development-story-test-cases.md</x:v>
      </x:c>
      <x:c r="O519" s="19" t="n">
        <x:v>46190.96454861111</x:v>
      </x:c>
      <x:c r="P519" s="21" t="str">
        <x:v>5 acceptance criteria; 5 TC references; implementation=yes; smoke=yes; automated=no; Story-level regression template</x:v>
      </x:c>
      <x:c r="Q519" s="21" t="str"/>
      <x:c r="R519" s="21" t="str">
        <x:v>Retain traceability; rerun focused verification if the affected boundary changes.</x:v>
      </x:c>
      <x:c r="S519" s="18" t="str"/>
      <x:c r="T519" s="20"/>
      <x:c r="U519" s="21" t="str">
        <x:v>Completion is based on immutable repository evidence; tests were not rerun and current working-tree drift was not re-certified in this reporting-only task.</x:v>
      </x:c>
      <x:c r="V519" s="1"/>
    </x:row>
    <x:row r="520" ht="46" customHeight="1">
      <x:c r="A520" s="17" t="n">
        <x:v>516</x:v>
      </x:c>
      <x:c r="B520" s="17" t="str">
        <x:v>Phase 2</x:v>
      </x:c>
      <x:c r="C520" s="17" t="str">
        <x:v>22.1</x:v>
      </x:c>
      <x:c r="D520" s="21" t="str">
        <x:v>SAM.gov API Configuration</x:v>
      </x:c>
      <x:c r="E520" s="17" t="n">
        <x:v>3</x:v>
      </x:c>
      <x:c r="F520" s="21" t="str">
        <x:v>Add service interface and infrastructure adapter for SAM entity lookup.</x:v>
      </x:c>
      <x:c r="G520" s="17" t="str">
        <x:v>Software implementation</x:v>
      </x:c>
      <x:c r="H520" s="17" t="str">
        <x:v>Planned</x:v>
      </x:c>
      <x:c r="I520" s="18" t="str">
        <x:v>Completed</x:v>
      </x:c>
      <x:c r="J520" s="17" t="str">
        <x:f>IF(OR(I520="Completed",I520="Not Applicable"),"No","Yes")</x:f>
        <x:v>No</x:v>
      </x:c>
      <x:c r="K520" s="17" t="str">
        <x:v>22.1 task 2</x:v>
      </x:c>
      <x:c r="L520" s="21" t="str">
        <x:v>Story-labeled commit b7472914 contains delivery and focused test/test-result files: feat: implement story 22.1 samgov api configuration</x:v>
      </x:c>
      <x:c r="M520" s="17" t="str">
        <x:v>Implementation commit + focused test artifacts</x:v>
      </x:c>
      <x:c r="N520" s="21" t="str">
        <x:v>git commit b7472914bdbac5a42c8c10d54d6701b1e3ff7da9; /Users/devups/Development/CodexProjects/Gccs/docs/development-story-test-cases.md</x:v>
      </x:c>
      <x:c r="O520" s="19" t="n">
        <x:v>46190.96454861111</x:v>
      </x:c>
      <x:c r="P520" s="21" t="str">
        <x:v>5 acceptance criteria; 5 TC references; implementation=yes; smoke=yes; automated=no; Story-level regression template</x:v>
      </x:c>
      <x:c r="Q520" s="21" t="str"/>
      <x:c r="R520" s="21" t="str">
        <x:v>Retain traceability; rerun focused verification if the affected boundary changes.</x:v>
      </x:c>
      <x:c r="S520" s="18" t="str"/>
      <x:c r="T520" s="20"/>
      <x:c r="U520" s="21" t="str">
        <x:v>Completion is based on immutable repository evidence; tests were not rerun and current working-tree drift was not re-certified in this reporting-only task.</x:v>
      </x:c>
      <x:c r="V520" s="1"/>
    </x:row>
    <x:row r="521" ht="46" customHeight="1">
      <x:c r="A521" s="17" t="n">
        <x:v>517</x:v>
      </x:c>
      <x:c r="B521" s="17" t="str">
        <x:v>Phase 2</x:v>
      </x:c>
      <x:c r="C521" s="17" t="str">
        <x:v>22.1</x:v>
      </x:c>
      <x:c r="D521" s="21" t="str">
        <x:v>SAM.gov API Configuration</x:v>
      </x:c>
      <x:c r="E521" s="17" t="n">
        <x:v>4</x:v>
      </x:c>
      <x:c r="F521" s="21" t="str">
        <x:v>Add health check or diagnostic endpoint that does not expose secrets.</x:v>
      </x:c>
      <x:c r="G521" s="17" t="str">
        <x:v>Software implementation</x:v>
      </x:c>
      <x:c r="H521" s="17" t="str">
        <x:v>Planned</x:v>
      </x:c>
      <x:c r="I521" s="18" t="str">
        <x:v>Completed</x:v>
      </x:c>
      <x:c r="J521" s="17" t="str">
        <x:f>IF(OR(I521="Completed",I521="Not Applicable"),"No","Yes")</x:f>
        <x:v>No</x:v>
      </x:c>
      <x:c r="K521" s="17" t="str">
        <x:v>22.1 task 3</x:v>
      </x:c>
      <x:c r="L521" s="21" t="str">
        <x:v>Story-labeled commit b7472914 contains delivery and focused test/test-result files: feat: implement story 22.1 samgov api configuration</x:v>
      </x:c>
      <x:c r="M521" s="17" t="str">
        <x:v>Implementation commit + focused test artifacts</x:v>
      </x:c>
      <x:c r="N521" s="21" t="str">
        <x:v>git commit b7472914bdbac5a42c8c10d54d6701b1e3ff7da9; /Users/devups/Development/CodexProjects/Gccs/docs/development-story-test-cases.md</x:v>
      </x:c>
      <x:c r="O521" s="19" t="n">
        <x:v>46190.96454861111</x:v>
      </x:c>
      <x:c r="P521" s="21" t="str">
        <x:v>5 acceptance criteria; 5 TC references; implementation=yes; smoke=yes; automated=no; Story-level regression template</x:v>
      </x:c>
      <x:c r="Q521" s="21" t="str"/>
      <x:c r="R521" s="21" t="str">
        <x:v>Retain traceability; rerun focused verification if the affected boundary changes.</x:v>
      </x:c>
      <x:c r="S521" s="18" t="str"/>
      <x:c r="T521" s="20"/>
      <x:c r="U521" s="21" t="str">
        <x:v>Completion is based on immutable repository evidence; tests were not rerun and current working-tree drift was not re-certified in this reporting-only task.</x:v>
      </x:c>
      <x:c r="V521" s="1"/>
    </x:row>
    <x:row r="522" ht="46" customHeight="1">
      <x:c r="A522" s="17" t="n">
        <x:v>518</x:v>
      </x:c>
      <x:c r="B522" s="17" t="str">
        <x:v>Phase 2</x:v>
      </x:c>
      <x:c r="C522" s="17" t="str">
        <x:v>22.1</x:v>
      </x:c>
      <x:c r="D522" s="21" t="str">
        <x:v>SAM.gov API Configuration</x:v>
      </x:c>
      <x:c r="E522" s="17" t="n">
        <x:v>5</x:v>
      </x:c>
      <x:c r="F522" s="21" t="str">
        <x:v>Add standard error handling for unavailable, rate-limited, and invalid-response cases.</x:v>
      </x:c>
      <x:c r="G522" s="17" t="str">
        <x:v>Software implementation</x:v>
      </x:c>
      <x:c r="H522" s="17" t="str">
        <x:v>Planned</x:v>
      </x:c>
      <x:c r="I522" s="18" t="str">
        <x:v>Completed</x:v>
      </x:c>
      <x:c r="J522" s="17" t="str">
        <x:f>IF(OR(I522="Completed",I522="Not Applicable"),"No","Yes")</x:f>
        <x:v>No</x:v>
      </x:c>
      <x:c r="K522" s="17" t="str">
        <x:v>22.1 task 4</x:v>
      </x:c>
      <x:c r="L522" s="21" t="str">
        <x:v>Story-labeled commit b7472914 contains delivery and focused test/test-result files: feat: implement story 22.1 samgov api configuration</x:v>
      </x:c>
      <x:c r="M522" s="17" t="str">
        <x:v>Implementation commit + focused test artifacts</x:v>
      </x:c>
      <x:c r="N522" s="21" t="str">
        <x:v>git commit b7472914bdbac5a42c8c10d54d6701b1e3ff7da9; /Users/devups/Development/CodexProjects/Gccs/docs/development-story-test-cases.md</x:v>
      </x:c>
      <x:c r="O522" s="19" t="n">
        <x:v>46190.96454861111</x:v>
      </x:c>
      <x:c r="P522" s="21" t="str">
        <x:v>5 acceptance criteria; 5 TC references; implementation=yes; smoke=yes; automated=no; Story-level regression template</x:v>
      </x:c>
      <x:c r="Q522" s="21" t="str"/>
      <x:c r="R522" s="21" t="str">
        <x:v>Retain traceability; rerun focused verification if the affected boundary changes.</x:v>
      </x:c>
      <x:c r="S522" s="18" t="str"/>
      <x:c r="T522" s="20"/>
      <x:c r="U522" s="21" t="str">
        <x:v>Completion is based on immutable repository evidence; tests were not rerun and current working-tree drift was not re-certified in this reporting-only task.</x:v>
      </x:c>
      <x:c r="V522" s="1"/>
    </x:row>
    <x:row r="523" ht="46" customHeight="1">
      <x:c r="A523" s="17" t="n">
        <x:v>519</x:v>
      </x:c>
      <x:c r="B523" s="17" t="str">
        <x:v>Phase 2</x:v>
      </x:c>
      <x:c r="C523" s="17" t="str">
        <x:v>22.2</x:v>
      </x:c>
      <x:c r="D523" s="21" t="str">
        <x:v>Company Entity Lookup</x:v>
      </x:c>
      <x:c r="E523" s="17" t="n">
        <x:v>1</x:v>
      </x:c>
      <x:c r="F523" s="21" t="str">
        <x:v>Add company lookup form for UEI and legal business name.</x:v>
      </x:c>
      <x:c r="G523" s="17" t="str">
        <x:v>Software implementation</x:v>
      </x:c>
      <x:c r="H523" s="17" t="str">
        <x:v>Planned</x:v>
      </x:c>
      <x:c r="I523" s="18" t="str">
        <x:v>Completed</x:v>
      </x:c>
      <x:c r="J523" s="17" t="str">
        <x:f>IF(OR(I523="Completed",I523="Not Applicable"),"No","Yes")</x:f>
        <x:v>No</x:v>
      </x:c>
      <x:c r="K523" s="17" t="str">
        <x:v>22.1</x:v>
      </x:c>
      <x:c r="L523" s="21" t="str">
        <x:v>Story-labeled commit da16a3cc contains delivery and focused test/test-result files: feat: implement story 22.2 company entity lookup</x:v>
      </x:c>
      <x:c r="M523" s="17" t="str">
        <x:v>Implementation commit + focused test artifacts</x:v>
      </x:c>
      <x:c r="N523" s="21" t="str">
        <x:v>git commit da16a3cc5327db8669f246e1bb18bc9bb66ab39d; /Users/devups/Development/CodexProjects/Gccs/docs/development-story-test-cases.md</x:v>
      </x:c>
      <x:c r="O523" s="19" t="n">
        <x:v>46190.968518518515</x:v>
      </x:c>
      <x:c r="P523" s="21" t="str">
        <x:v>5 acceptance criteria; 5 TC references; implementation=yes; smoke=yes; automated=no; Story-level regression template</x:v>
      </x:c>
      <x:c r="Q523" s="21" t="str"/>
      <x:c r="R523" s="21" t="str">
        <x:v>Retain traceability; rerun focused verification if the affected boundary changes.</x:v>
      </x:c>
      <x:c r="S523" s="18" t="str"/>
      <x:c r="T523" s="20"/>
      <x:c r="U523" s="21" t="str">
        <x:v>Completion is based on immutable repository evidence; tests were not rerun and current working-tree drift was not re-certified in this reporting-only task.</x:v>
      </x:c>
      <x:c r="V523" s="1"/>
    </x:row>
    <x:row r="524" ht="46" customHeight="1">
      <x:c r="A524" s="17" t="n">
        <x:v>520</x:v>
      </x:c>
      <x:c r="B524" s="17" t="str">
        <x:v>Phase 2</x:v>
      </x:c>
      <x:c r="C524" s="17" t="str">
        <x:v>22.2</x:v>
      </x:c>
      <x:c r="D524" s="21" t="str">
        <x:v>Company Entity Lookup</x:v>
      </x:c>
      <x:c r="E524" s="17" t="n">
        <x:v>2</x:v>
      </x:c>
      <x:c r="F524" s="21" t="str">
        <x:v>Display matched entity details such as legal name, UEI, CAGE, registration status, expiration date, physical address, and available NAICS codes.</x:v>
      </x:c>
      <x:c r="G524" s="17" t="str">
        <x:v>Software implementation</x:v>
      </x:c>
      <x:c r="H524" s="17" t="str">
        <x:v>Planned</x:v>
      </x:c>
      <x:c r="I524" s="18" t="str">
        <x:v>Completed</x:v>
      </x:c>
      <x:c r="J524" s="17" t="str">
        <x:f>IF(OR(I524="Completed",I524="Not Applicable"),"No","Yes")</x:f>
        <x:v>No</x:v>
      </x:c>
      <x:c r="K524" s="17" t="str">
        <x:v>22.2 task 1</x:v>
      </x:c>
      <x:c r="L524" s="21" t="str">
        <x:v>Story-labeled commit da16a3cc contains delivery and focused test/test-result files: feat: implement story 22.2 company entity lookup</x:v>
      </x:c>
      <x:c r="M524" s="17" t="str">
        <x:v>Implementation commit + focused test artifacts</x:v>
      </x:c>
      <x:c r="N524" s="21" t="str">
        <x:v>git commit da16a3cc5327db8669f246e1bb18bc9bb66ab39d; /Users/devups/Development/CodexProjects/Gccs/docs/development-story-test-cases.md</x:v>
      </x:c>
      <x:c r="O524" s="19" t="n">
        <x:v>46190.968518518515</x:v>
      </x:c>
      <x:c r="P524" s="21" t="str">
        <x:v>5 acceptance criteria; 5 TC references; implementation=yes; smoke=yes; automated=no; Story-level regression template</x:v>
      </x:c>
      <x:c r="Q524" s="21" t="str"/>
      <x:c r="R524" s="21" t="str">
        <x:v>Retain traceability; rerun focused verification if the affected boundary changes.</x:v>
      </x:c>
      <x:c r="S524" s="18" t="str"/>
      <x:c r="T524" s="20"/>
      <x:c r="U524" s="21" t="str">
        <x:v>Completion is based on immutable repository evidence; tests were not rerun and current working-tree drift was not re-certified in this reporting-only task.</x:v>
      </x:c>
      <x:c r="V524" s="1"/>
    </x:row>
    <x:row r="525" ht="46" customHeight="1">
      <x:c r="A525" s="17" t="n">
        <x:v>521</x:v>
      </x:c>
      <x:c r="B525" s="17" t="str">
        <x:v>Phase 2</x:v>
      </x:c>
      <x:c r="C525" s="17" t="str">
        <x:v>22.2</x:v>
      </x:c>
      <x:c r="D525" s="21" t="str">
        <x:v>Company Entity Lookup</x:v>
      </x:c>
      <x:c r="E525" s="17" t="n">
        <x:v>3</x:v>
      </x:c>
      <x:c r="F525" s="21" t="str">
        <x:v>Allow authorized user to apply selected fields to company profile.</x:v>
      </x:c>
      <x:c r="G525" s="17" t="str">
        <x:v>Software implementation</x:v>
      </x:c>
      <x:c r="H525" s="17" t="str">
        <x:v>Planned</x:v>
      </x:c>
      <x:c r="I525" s="18" t="str">
        <x:v>Completed</x:v>
      </x:c>
      <x:c r="J525" s="17" t="str">
        <x:f>IF(OR(I525="Completed",I525="Not Applicable"),"No","Yes")</x:f>
        <x:v>No</x:v>
      </x:c>
      <x:c r="K525" s="17" t="str">
        <x:v>22.2 task 2</x:v>
      </x:c>
      <x:c r="L525" s="21" t="str">
        <x:v>Story-labeled commit da16a3cc contains delivery and focused test/test-result files: feat: implement story 22.2 company entity lookup</x:v>
      </x:c>
      <x:c r="M525" s="17" t="str">
        <x:v>Implementation commit + focused test artifacts</x:v>
      </x:c>
      <x:c r="N525" s="21" t="str">
        <x:v>git commit da16a3cc5327db8669f246e1bb18bc9bb66ab39d; /Users/devups/Development/CodexProjects/Gccs/docs/development-story-test-cases.md</x:v>
      </x:c>
      <x:c r="O525" s="19" t="n">
        <x:v>46190.968518518515</x:v>
      </x:c>
      <x:c r="P525" s="21" t="str">
        <x:v>5 acceptance criteria; 5 TC references; implementation=yes; smoke=yes; automated=no; Story-level regression template</x:v>
      </x:c>
      <x:c r="Q525" s="21" t="str"/>
      <x:c r="R525" s="21" t="str">
        <x:v>Retain traceability; rerun focused verification if the affected boundary changes.</x:v>
      </x:c>
      <x:c r="S525" s="18" t="str"/>
      <x:c r="T525" s="20"/>
      <x:c r="U525" s="21" t="str">
        <x:v>Completion is based on immutable repository evidence; tests were not rerun and current working-tree drift was not re-certified in this reporting-only task.</x:v>
      </x:c>
      <x:c r="V525" s="1"/>
    </x:row>
    <x:row r="526" ht="46" customHeight="1">
      <x:c r="A526" s="17" t="n">
        <x:v>522</x:v>
      </x:c>
      <x:c r="B526" s="17" t="str">
        <x:v>Phase 2</x:v>
      </x:c>
      <x:c r="C526" s="17" t="str">
        <x:v>22.2</x:v>
      </x:c>
      <x:c r="D526" s="21" t="str">
        <x:v>Company Entity Lookup</x:v>
      </x:c>
      <x:c r="E526" s="17" t="n">
        <x:v>4</x:v>
      </x:c>
      <x:c r="F526" s="21" t="str">
        <x:v>Store source, retrieved date, and applied by user.</x:v>
      </x:c>
      <x:c r="G526" s="17" t="str">
        <x:v>Software implementation</x:v>
      </x:c>
      <x:c r="H526" s="17" t="str">
        <x:v>Planned</x:v>
      </x:c>
      <x:c r="I526" s="18" t="str">
        <x:v>Completed</x:v>
      </x:c>
      <x:c r="J526" s="17" t="str">
        <x:f>IF(OR(I526="Completed",I526="Not Applicable"),"No","Yes")</x:f>
        <x:v>No</x:v>
      </x:c>
      <x:c r="K526" s="17" t="str">
        <x:v>22.2 task 3</x:v>
      </x:c>
      <x:c r="L526" s="21" t="str">
        <x:v>Story-labeled commit da16a3cc contains delivery and focused test/test-result files: feat: implement story 22.2 company entity lookup</x:v>
      </x:c>
      <x:c r="M526" s="17" t="str">
        <x:v>Implementation commit + focused test artifacts</x:v>
      </x:c>
      <x:c r="N526" s="21" t="str">
        <x:v>git commit da16a3cc5327db8669f246e1bb18bc9bb66ab39d; /Users/devups/Development/CodexProjects/Gccs/docs/development-story-test-cases.md</x:v>
      </x:c>
      <x:c r="O526" s="19" t="n">
        <x:v>46190.968518518515</x:v>
      </x:c>
      <x:c r="P526" s="21" t="str">
        <x:v>5 acceptance criteria; 5 TC references; implementation=yes; smoke=yes; automated=no; Story-level regression template</x:v>
      </x:c>
      <x:c r="Q526" s="21" t="str"/>
      <x:c r="R526" s="21" t="str">
        <x:v>Retain traceability; rerun focused verification if the affected boundary changes.</x:v>
      </x:c>
      <x:c r="S526" s="18" t="str"/>
      <x:c r="T526" s="20"/>
      <x:c r="U526" s="21" t="str">
        <x:v>Completion is based on immutable repository evidence; tests were not rerun and current working-tree drift was not re-certified in this reporting-only task.</x:v>
      </x:c>
      <x:c r="V526" s="1"/>
    </x:row>
    <x:row r="527" ht="46" customHeight="1">
      <x:c r="A527" s="17" t="n">
        <x:v>523</x:v>
      </x:c>
      <x:c r="B527" s="17" t="str">
        <x:v>Phase 2</x:v>
      </x:c>
      <x:c r="C527" s="17" t="str">
        <x:v>22.2</x:v>
      </x:c>
      <x:c r="D527" s="21" t="str">
        <x:v>Company Entity Lookup</x:v>
      </x:c>
      <x:c r="E527" s="17" t="n">
        <x:v>5</x:v>
      </x:c>
      <x:c r="F527" s="21" t="str">
        <x:v>Add conflict handling when SAM data differs from existing profile values.</x:v>
      </x:c>
      <x:c r="G527" s="17" t="str">
        <x:v>Software implementation</x:v>
      </x:c>
      <x:c r="H527" s="17" t="str">
        <x:v>Planned</x:v>
      </x:c>
      <x:c r="I527" s="18" t="str">
        <x:v>Completed</x:v>
      </x:c>
      <x:c r="J527" s="17" t="str">
        <x:f>IF(OR(I527="Completed",I527="Not Applicable"),"No","Yes")</x:f>
        <x:v>No</x:v>
      </x:c>
      <x:c r="K527" s="17" t="str">
        <x:v>22.2 task 4</x:v>
      </x:c>
      <x:c r="L527" s="21" t="str">
        <x:v>Story-labeled commit da16a3cc contains delivery and focused test/test-result files: feat: implement story 22.2 company entity lookup</x:v>
      </x:c>
      <x:c r="M527" s="17" t="str">
        <x:v>Implementation commit + focused test artifacts</x:v>
      </x:c>
      <x:c r="N527" s="21" t="str">
        <x:v>git commit da16a3cc5327db8669f246e1bb18bc9bb66ab39d; /Users/devups/Development/CodexProjects/Gccs/docs/development-story-test-cases.md</x:v>
      </x:c>
      <x:c r="O527" s="19" t="n">
        <x:v>46190.968518518515</x:v>
      </x:c>
      <x:c r="P527" s="21" t="str">
        <x:v>5 acceptance criteria; 5 TC references; implementation=yes; smoke=yes; automated=no; Story-level regression template</x:v>
      </x:c>
      <x:c r="Q527" s="21" t="str"/>
      <x:c r="R527" s="21" t="str">
        <x:v>Retain traceability; rerun focused verification if the affected boundary changes.</x:v>
      </x:c>
      <x:c r="S527" s="18" t="str"/>
      <x:c r="T527" s="20"/>
      <x:c r="U527" s="21" t="str">
        <x:v>Completion is based on immutable repository evidence; tests were not rerun and current working-tree drift was not re-certified in this reporting-only task.</x:v>
      </x:c>
      <x:c r="V527" s="1"/>
    </x:row>
    <x:row r="528" ht="46" customHeight="1">
      <x:c r="A528" s="17" t="n">
        <x:v>524</x:v>
      </x:c>
      <x:c r="B528" s="17" t="str">
        <x:v>Phase 2</x:v>
      </x:c>
      <x:c r="C528" s="17" t="str">
        <x:v>22.3</x:v>
      </x:c>
      <x:c r="D528" s="21" t="str">
        <x:v>Subcontractor Entity Lookup</x:v>
      </x:c>
      <x:c r="E528" s="17" t="n">
        <x:v>1</x:v>
      </x:c>
      <x:c r="F528" s="21" t="str">
        <x:v>Add SAM lookup action to subcontractor profile.</x:v>
      </x:c>
      <x:c r="G528" s="17" t="str">
        <x:v>Software implementation</x:v>
      </x:c>
      <x:c r="H528" s="17" t="str">
        <x:v>Planned</x:v>
      </x:c>
      <x:c r="I528" s="18" t="str">
        <x:v>Completed</x:v>
      </x:c>
      <x:c r="J528" s="17" t="str">
        <x:f>IF(OR(I528="Completed",I528="Not Applicable"),"No","Yes")</x:f>
        <x:v>No</x:v>
      </x:c>
      <x:c r="K528" s="17" t="str">
        <x:v>22.2</x:v>
      </x:c>
      <x:c r="L528" s="21" t="str">
        <x:v>Story-labeled commit 9f04c429 contains delivery and focused test/test-result files: feat: implement story 22.3 subcontractor entity lookup</x:v>
      </x:c>
      <x:c r="M528" s="17" t="str">
        <x:v>Implementation commit + focused test artifacts</x:v>
      </x:c>
      <x:c r="N528" s="21" t="str">
        <x:v>git commit 9f04c4297755fe411805cf71cdd3ed9589b71f79; /Users/devups/Development/CodexProjects/Gccs/docs/development-story-test-cases.md</x:v>
      </x:c>
      <x:c r="O528" s="19" t="n">
        <x:v>46190.972858796296</x:v>
      </x:c>
      <x:c r="P528" s="21" t="str">
        <x:v>5 acceptance criteria; 5 TC references; implementation=yes; smoke=yes; automated=no; Story-level regression template</x:v>
      </x:c>
      <x:c r="Q528" s="21" t="str"/>
      <x:c r="R528" s="21" t="str">
        <x:v>Retain traceability; rerun focused verification if the affected boundary changes.</x:v>
      </x:c>
      <x:c r="S528" s="18" t="str"/>
      <x:c r="T528" s="20"/>
      <x:c r="U528" s="21" t="str">
        <x:v>Completion is based on immutable repository evidence; tests were not rerun and current working-tree drift was not re-certified in this reporting-only task.</x:v>
      </x:c>
      <x:c r="V528" s="1"/>
    </x:row>
    <x:row r="529" ht="46" customHeight="1">
      <x:c r="A529" s="17" t="n">
        <x:v>525</x:v>
      </x:c>
      <x:c r="B529" s="17" t="str">
        <x:v>Phase 2</x:v>
      </x:c>
      <x:c r="C529" s="17" t="str">
        <x:v>22.3</x:v>
      </x:c>
      <x:c r="D529" s="21" t="str">
        <x:v>Subcontractor Entity Lookup</x:v>
      </x:c>
      <x:c r="E529" s="17" t="n">
        <x:v>2</x:v>
      </x:c>
      <x:c r="F529" s="21" t="str">
        <x:v>Display entity status, UEI, CAGE, expiration date, NAICS codes, and exclusion or status indicators when available from the configured API response.</x:v>
      </x:c>
      <x:c r="G529" s="17" t="str">
        <x:v>Software implementation</x:v>
      </x:c>
      <x:c r="H529" s="17" t="str">
        <x:v>Planned</x:v>
      </x:c>
      <x:c r="I529" s="18" t="str">
        <x:v>Completed</x:v>
      </x:c>
      <x:c r="J529" s="17" t="str">
        <x:f>IF(OR(I529="Completed",I529="Not Applicable"),"No","Yes")</x:f>
        <x:v>No</x:v>
      </x:c>
      <x:c r="K529" s="17" t="str">
        <x:v>22.3 task 1</x:v>
      </x:c>
      <x:c r="L529" s="21" t="str">
        <x:v>Story-labeled commit 9f04c429 contains delivery and focused test/test-result files: feat: implement story 22.3 subcontractor entity lookup</x:v>
      </x:c>
      <x:c r="M529" s="17" t="str">
        <x:v>Implementation commit + focused test artifacts</x:v>
      </x:c>
      <x:c r="N529" s="21" t="str">
        <x:v>git commit 9f04c4297755fe411805cf71cdd3ed9589b71f79; /Users/devups/Development/CodexProjects/Gccs/docs/development-story-test-cases.md</x:v>
      </x:c>
      <x:c r="O529" s="19" t="n">
        <x:v>46190.972858796296</x:v>
      </x:c>
      <x:c r="P529" s="21" t="str">
        <x:v>5 acceptance criteria; 5 TC references; implementation=yes; smoke=yes; automated=no; Story-level regression template</x:v>
      </x:c>
      <x:c r="Q529" s="21" t="str"/>
      <x:c r="R529" s="21" t="str">
        <x:v>Retain traceability; rerun focused verification if the affected boundary changes.</x:v>
      </x:c>
      <x:c r="S529" s="18" t="str"/>
      <x:c r="T529" s="20"/>
      <x:c r="U529" s="21" t="str">
        <x:v>Completion is based on immutable repository evidence; tests were not rerun and current working-tree drift was not re-certified in this reporting-only task.</x:v>
      </x:c>
      <x:c r="V529" s="1"/>
    </x:row>
    <x:row r="530" ht="46" customHeight="1">
      <x:c r="A530" s="17" t="n">
        <x:v>526</x:v>
      </x:c>
      <x:c r="B530" s="17" t="str">
        <x:v>Phase 2</x:v>
      </x:c>
      <x:c r="C530" s="17" t="str">
        <x:v>22.3</x:v>
      </x:c>
      <x:c r="D530" s="21" t="str">
        <x:v>Subcontractor Entity Lookup</x:v>
      </x:c>
      <x:c r="E530" s="17" t="n">
        <x:v>3</x:v>
      </x:c>
      <x:c r="F530" s="21" t="str">
        <x:v>Allow authorized user to apply selected fields to subcontractor record.</x:v>
      </x:c>
      <x:c r="G530" s="17" t="str">
        <x:v>Software implementation</x:v>
      </x:c>
      <x:c r="H530" s="17" t="str">
        <x:v>Planned</x:v>
      </x:c>
      <x:c r="I530" s="18" t="str">
        <x:v>Completed</x:v>
      </x:c>
      <x:c r="J530" s="17" t="str">
        <x:f>IF(OR(I530="Completed",I530="Not Applicable"),"No","Yes")</x:f>
        <x:v>No</x:v>
      </x:c>
      <x:c r="K530" s="17" t="str">
        <x:v>22.3 task 2</x:v>
      </x:c>
      <x:c r="L530" s="21" t="str">
        <x:v>Story-labeled commit 9f04c429 contains delivery and focused test/test-result files: feat: implement story 22.3 subcontractor entity lookup</x:v>
      </x:c>
      <x:c r="M530" s="17" t="str">
        <x:v>Implementation commit + focused test artifacts</x:v>
      </x:c>
      <x:c r="N530" s="21" t="str">
        <x:v>git commit 9f04c4297755fe411805cf71cdd3ed9589b71f79; /Users/devups/Development/CodexProjects/Gccs/docs/development-story-test-cases.md</x:v>
      </x:c>
      <x:c r="O530" s="19" t="n">
        <x:v>46190.972858796296</x:v>
      </x:c>
      <x:c r="P530" s="21" t="str">
        <x:v>5 acceptance criteria; 5 TC references; implementation=yes; smoke=yes; automated=no; Story-level regression template</x:v>
      </x:c>
      <x:c r="Q530" s="21" t="str"/>
      <x:c r="R530" s="21" t="str">
        <x:v>Retain traceability; rerun focused verification if the affected boundary changes.</x:v>
      </x:c>
      <x:c r="S530" s="18" t="str"/>
      <x:c r="T530" s="20"/>
      <x:c r="U530" s="21" t="str">
        <x:v>Completion is based on immutable repository evidence; tests were not rerun and current working-tree drift was not re-certified in this reporting-only task.</x:v>
      </x:c>
      <x:c r="V530" s="1"/>
    </x:row>
    <x:row r="531" ht="46" customHeight="1">
      <x:c r="A531" s="17" t="n">
        <x:v>527</x:v>
      </x:c>
      <x:c r="B531" s="17" t="str">
        <x:v>Phase 2</x:v>
      </x:c>
      <x:c r="C531" s="17" t="str">
        <x:v>22.3</x:v>
      </x:c>
      <x:c r="D531" s="21" t="str">
        <x:v>Subcontractor Entity Lookup</x:v>
      </x:c>
      <x:c r="E531" s="17" t="n">
        <x:v>4</x:v>
      </x:c>
      <x:c r="F531" s="21" t="str">
        <x:v>Store source metadata and retrieved date.</x:v>
      </x:c>
      <x:c r="G531" s="17" t="str">
        <x:v>Software implementation</x:v>
      </x:c>
      <x:c r="H531" s="17" t="str">
        <x:v>Planned</x:v>
      </x:c>
      <x:c r="I531" s="18" t="str">
        <x:v>Completed</x:v>
      </x:c>
      <x:c r="J531" s="17" t="str">
        <x:f>IF(OR(I531="Completed",I531="Not Applicable"),"No","Yes")</x:f>
        <x:v>No</x:v>
      </x:c>
      <x:c r="K531" s="17" t="str">
        <x:v>22.3 task 3</x:v>
      </x:c>
      <x:c r="L531" s="21" t="str">
        <x:v>Story-labeled commit 9f04c429 contains delivery and focused test/test-result files: feat: implement story 22.3 subcontractor entity lookup</x:v>
      </x:c>
      <x:c r="M531" s="17" t="str">
        <x:v>Implementation commit + focused test artifacts</x:v>
      </x:c>
      <x:c r="N531" s="21" t="str">
        <x:v>git commit 9f04c4297755fe411805cf71cdd3ed9589b71f79; /Users/devups/Development/CodexProjects/Gccs/docs/development-story-test-cases.md</x:v>
      </x:c>
      <x:c r="O531" s="19" t="n">
        <x:v>46190.972858796296</x:v>
      </x:c>
      <x:c r="P531" s="21" t="str">
        <x:v>5 acceptance criteria; 5 TC references; implementation=yes; smoke=yes; automated=no; Story-level regression template</x:v>
      </x:c>
      <x:c r="Q531" s="21" t="str"/>
      <x:c r="R531" s="21" t="str">
        <x:v>Retain traceability; rerun focused verification if the affected boundary changes.</x:v>
      </x:c>
      <x:c r="S531" s="18" t="str"/>
      <x:c r="T531" s="20"/>
      <x:c r="U531" s="21" t="str">
        <x:v>Completion is based on immutable repository evidence; tests were not rerun and current working-tree drift was not re-certified in this reporting-only task.</x:v>
      </x:c>
      <x:c r="V531" s="1"/>
    </x:row>
    <x:row r="532" ht="46" customHeight="1">
      <x:c r="A532" s="17" t="n">
        <x:v>528</x:v>
      </x:c>
      <x:c r="B532" s="17" t="str">
        <x:v>Phase 2</x:v>
      </x:c>
      <x:c r="C532" s="17" t="str">
        <x:v>22.3</x:v>
      </x:c>
      <x:c r="D532" s="21" t="str">
        <x:v>Subcontractor Entity Lookup</x:v>
      </x:c>
      <x:c r="E532" s="17" t="n">
        <x:v>5</x:v>
      </x:c>
      <x:c r="F532" s="21" t="str">
        <x:v>Add warning when lookup returns no match or multiple possible matches.</x:v>
      </x:c>
      <x:c r="G532" s="17" t="str">
        <x:v>Software implementation</x:v>
      </x:c>
      <x:c r="H532" s="17" t="str">
        <x:v>Planned</x:v>
      </x:c>
      <x:c r="I532" s="18" t="str">
        <x:v>Completed</x:v>
      </x:c>
      <x:c r="J532" s="17" t="str">
        <x:f>IF(OR(I532="Completed",I532="Not Applicable"),"No","Yes")</x:f>
        <x:v>No</x:v>
      </x:c>
      <x:c r="K532" s="17" t="str">
        <x:v>22.3 task 4</x:v>
      </x:c>
      <x:c r="L532" s="21" t="str">
        <x:v>Story-labeled commit 9f04c429 contains delivery and focused test/test-result files: feat: implement story 22.3 subcontractor entity lookup</x:v>
      </x:c>
      <x:c r="M532" s="17" t="str">
        <x:v>Implementation commit + focused test artifacts</x:v>
      </x:c>
      <x:c r="N532" s="21" t="str">
        <x:v>git commit 9f04c4297755fe411805cf71cdd3ed9589b71f79; /Users/devups/Development/CodexProjects/Gccs/docs/development-story-test-cases.md</x:v>
      </x:c>
      <x:c r="O532" s="19" t="n">
        <x:v>46190.972858796296</x:v>
      </x:c>
      <x:c r="P532" s="21" t="str">
        <x:v>5 acceptance criteria; 5 TC references; implementation=yes; smoke=yes; automated=no; Story-level regression template</x:v>
      </x:c>
      <x:c r="Q532" s="21" t="str"/>
      <x:c r="R532" s="21" t="str">
        <x:v>Retain traceability; rerun focused verification if the affected boundary changes.</x:v>
      </x:c>
      <x:c r="S532" s="18" t="str"/>
      <x:c r="T532" s="20"/>
      <x:c r="U532" s="21" t="str">
        <x:v>Completion is based on immutable repository evidence; tests were not rerun and current working-tree drift was not re-certified in this reporting-only task.</x:v>
      </x:c>
      <x:c r="V532" s="1"/>
    </x:row>
    <x:row r="533" ht="46" customHeight="1">
      <x:c r="A533" s="17" t="n">
        <x:v>529</x:v>
      </x:c>
      <x:c r="B533" s="17" t="str">
        <x:v>Phase 2</x:v>
      </x:c>
      <x:c r="C533" s="17" t="str">
        <x:v>23.1</x:v>
      </x:c>
      <x:c r="D533" s="21" t="str">
        <x:v>Size Standard Reference Data</x:v>
      </x:c>
      <x:c r="E533" s="17" t="n">
        <x:v>1</x:v>
      </x:c>
      <x:c r="F533" s="21" t="str">
        <x:v>Define size standard data fields for NAICS code, industry title, size metric, threshold, source URL, effective date, last reviewed date, and status.</x:v>
      </x:c>
      <x:c r="G533" s="17" t="str">
        <x:v>Software implementation</x:v>
      </x:c>
      <x:c r="H533" s="17" t="str">
        <x:v>Planned</x:v>
      </x:c>
      <x:c r="I533" s="18" t="str">
        <x:v>Completed</x:v>
      </x:c>
      <x:c r="J533" s="17" t="str">
        <x:f>IF(OR(I533="Completed",I533="Not Applicable"),"No","Yes")</x:f>
        <x:v>No</x:v>
      </x:c>
      <x:c r="K533" s="17" t="str">
        <x:v>22.3</x:v>
      </x:c>
      <x:c r="L533" s="21" t="str">
        <x:v>Story-labeled commit 4bb1e952 contains delivery and focused test/test-result files: feat: implement story 23.1 size standard reference data</x:v>
      </x:c>
      <x:c r="M533" s="17" t="str">
        <x:v>Implementation commit + focused test artifacts</x:v>
      </x:c>
      <x:c r="N533" s="21" t="str">
        <x:v>git commit 4bb1e9522d1b50faf8936fab1c6563764c9a2d7a; /Users/devups/Development/CodexProjects/Gccs/docs/development-story-test-cases.md</x:v>
      </x:c>
      <x:c r="O533" s="19" t="n">
        <x:v>46190.97483796296</x:v>
      </x:c>
      <x:c r="P533" s="21" t="str">
        <x:v>5 acceptance criteria; 5 TC references; implementation=yes; smoke=yes; automated=no; Story-level regression template</x:v>
      </x:c>
      <x:c r="Q533" s="21" t="str"/>
      <x:c r="R533" s="21" t="str">
        <x:v>Retain traceability; rerun focused verification if the affected boundary changes.</x:v>
      </x:c>
      <x:c r="S533" s="18" t="str"/>
      <x:c r="T533" s="20"/>
      <x:c r="U533" s="21" t="str">
        <x:v>Completion is based on immutable repository evidence; tests were not rerun and current working-tree drift was not re-certified in this reporting-only task.</x:v>
      </x:c>
      <x:c r="V533" s="1"/>
    </x:row>
    <x:row r="534" ht="46" customHeight="1">
      <x:c r="A534" s="17" t="n">
        <x:v>530</x:v>
      </x:c>
      <x:c r="B534" s="17" t="str">
        <x:v>Phase 2</x:v>
      </x:c>
      <x:c r="C534" s="17" t="str">
        <x:v>23.1</x:v>
      </x:c>
      <x:c r="D534" s="21" t="str">
        <x:v>Size Standard Reference Data</x:v>
      </x:c>
      <x:c r="E534" s="17" t="n">
        <x:v>2</x:v>
      </x:c>
      <x:c r="F534" s="21" t="str">
        <x:v>Add import workflow for approved reference data.</x:v>
      </x:c>
      <x:c r="G534" s="17" t="str">
        <x:v>Software implementation</x:v>
      </x:c>
      <x:c r="H534" s="17" t="str">
        <x:v>Planned</x:v>
      </x:c>
      <x:c r="I534" s="18" t="str">
        <x:v>Completed</x:v>
      </x:c>
      <x:c r="J534" s="17" t="str">
        <x:f>IF(OR(I534="Completed",I534="Not Applicable"),"No","Yes")</x:f>
        <x:v>No</x:v>
      </x:c>
      <x:c r="K534" s="17" t="str">
        <x:v>23.1 task 1</x:v>
      </x:c>
      <x:c r="L534" s="21" t="str">
        <x:v>Story-labeled commit 4bb1e952 contains delivery and focused test/test-result files: feat: implement story 23.1 size standard reference data</x:v>
      </x:c>
      <x:c r="M534" s="17" t="str">
        <x:v>Implementation commit + focused test artifacts</x:v>
      </x:c>
      <x:c r="N534" s="21" t="str">
        <x:v>git commit 4bb1e9522d1b50faf8936fab1c6563764c9a2d7a; /Users/devups/Development/CodexProjects/Gccs/docs/development-story-test-cases.md</x:v>
      </x:c>
      <x:c r="O534" s="19" t="n">
        <x:v>46190.97483796296</x:v>
      </x:c>
      <x:c r="P534" s="21" t="str">
        <x:v>5 acceptance criteria; 5 TC references; implementation=yes; smoke=yes; automated=no; Story-level regression template</x:v>
      </x:c>
      <x:c r="Q534" s="21" t="str"/>
      <x:c r="R534" s="21" t="str">
        <x:v>Retain traceability; rerun focused verification if the affected boundary changes.</x:v>
      </x:c>
      <x:c r="S534" s="18" t="str"/>
      <x:c r="T534" s="20"/>
      <x:c r="U534" s="21" t="str">
        <x:v>Completion is based on immutable repository evidence; tests were not rerun and current working-tree drift was not re-certified in this reporting-only task.</x:v>
      </x:c>
      <x:c r="V534" s="1"/>
    </x:row>
    <x:row r="535" ht="46" customHeight="1">
      <x:c r="A535" s="17" t="n">
        <x:v>531</x:v>
      </x:c>
      <x:c r="B535" s="17" t="str">
        <x:v>Phase 2</x:v>
      </x:c>
      <x:c r="C535" s="17" t="str">
        <x:v>23.1</x:v>
      </x:c>
      <x:c r="D535" s="21" t="str">
        <x:v>Size Standard Reference Data</x:v>
      </x:c>
      <x:c r="E535" s="17" t="n">
        <x:v>3</x:v>
      </x:c>
      <x:c r="F535" s="21" t="str">
        <x:v>Add content review states for draft, under review, approved, deprecated, and superseded.</x:v>
      </x:c>
      <x:c r="G535" s="17" t="str">
        <x:v>Software implementation</x:v>
      </x:c>
      <x:c r="H535" s="17" t="str">
        <x:v>Planned</x:v>
      </x:c>
      <x:c r="I535" s="18" t="str">
        <x:v>Completed</x:v>
      </x:c>
      <x:c r="J535" s="17" t="str">
        <x:f>IF(OR(I535="Completed",I535="Not Applicable"),"No","Yes")</x:f>
        <x:v>No</x:v>
      </x:c>
      <x:c r="K535" s="17" t="str">
        <x:v>23.1 task 2</x:v>
      </x:c>
      <x:c r="L535" s="21" t="str">
        <x:v>Story-labeled commit 4bb1e952 contains delivery and focused test/test-result files: feat: implement story 23.1 size standard reference data</x:v>
      </x:c>
      <x:c r="M535" s="17" t="str">
        <x:v>Implementation commit + focused test artifacts</x:v>
      </x:c>
      <x:c r="N535" s="21" t="str">
        <x:v>git commit 4bb1e9522d1b50faf8936fab1c6563764c9a2d7a; /Users/devups/Development/CodexProjects/Gccs/docs/development-story-test-cases.md</x:v>
      </x:c>
      <x:c r="O535" s="19" t="n">
        <x:v>46190.97483796296</x:v>
      </x:c>
      <x:c r="P535" s="21" t="str">
        <x:v>5 acceptance criteria; 5 TC references; implementation=yes; smoke=yes; automated=no; Story-level regression template</x:v>
      </x:c>
      <x:c r="Q535" s="21" t="str"/>
      <x:c r="R535" s="21" t="str">
        <x:v>Retain traceability; rerun focused verification if the affected boundary changes.</x:v>
      </x:c>
      <x:c r="S535" s="18" t="str"/>
      <x:c r="T535" s="20"/>
      <x:c r="U535" s="21" t="str">
        <x:v>Completion is based on immutable repository evidence; tests were not rerun and current working-tree drift was not re-certified in this reporting-only task.</x:v>
      </x:c>
      <x:c r="V535" s="1"/>
    </x:row>
    <x:row r="536" ht="46" customHeight="1">
      <x:c r="A536" s="17" t="n">
        <x:v>532</x:v>
      </x:c>
      <x:c r="B536" s="17" t="str">
        <x:v>Phase 2</x:v>
      </x:c>
      <x:c r="C536" s="17" t="str">
        <x:v>23.1</x:v>
      </x:c>
      <x:c r="D536" s="21" t="str">
        <x:v>Size Standard Reference Data</x:v>
      </x:c>
      <x:c r="E536" s="17" t="n">
        <x:v>4</x:v>
      </x:c>
      <x:c r="F536" s="21" t="str">
        <x:v>Add validation for required source metadata.</x:v>
      </x:c>
      <x:c r="G536" s="17" t="str">
        <x:v>Software implementation</x:v>
      </x:c>
      <x:c r="H536" s="17" t="str">
        <x:v>Planned</x:v>
      </x:c>
      <x:c r="I536" s="18" t="str">
        <x:v>Completed</x:v>
      </x:c>
      <x:c r="J536" s="17" t="str">
        <x:f>IF(OR(I536="Completed",I536="Not Applicable"),"No","Yes")</x:f>
        <x:v>No</x:v>
      </x:c>
      <x:c r="K536" s="17" t="str">
        <x:v>23.1 task 3</x:v>
      </x:c>
      <x:c r="L536" s="21" t="str">
        <x:v>Story-labeled commit 4bb1e952 contains delivery and focused test/test-result files: feat: implement story 23.1 size standard reference data</x:v>
      </x:c>
      <x:c r="M536" s="17" t="str">
        <x:v>Implementation commit + focused test artifacts</x:v>
      </x:c>
      <x:c r="N536" s="21" t="str">
        <x:v>git commit 4bb1e9522d1b50faf8936fab1c6563764c9a2d7a; /Users/devups/Development/CodexProjects/Gccs/docs/development-story-test-cases.md</x:v>
      </x:c>
      <x:c r="O536" s="19" t="n">
        <x:v>46190.97483796296</x:v>
      </x:c>
      <x:c r="P536" s="21" t="str">
        <x:v>5 acceptance criteria; 5 TC references; implementation=yes; smoke=yes; automated=no; Story-level regression template</x:v>
      </x:c>
      <x:c r="Q536" s="21" t="str"/>
      <x:c r="R536" s="21" t="str">
        <x:v>Retain traceability; rerun focused verification if the affected boundary changes.</x:v>
      </x:c>
      <x:c r="S536" s="18" t="str"/>
      <x:c r="T536" s="20"/>
      <x:c r="U536" s="21" t="str">
        <x:v>Completion is based on immutable repository evidence; tests were not rerun and current working-tree drift was not re-certified in this reporting-only task.</x:v>
      </x:c>
      <x:c r="V536" s="1"/>
    </x:row>
    <x:row r="537" ht="46" customHeight="1">
      <x:c r="A537" s="17" t="n">
        <x:v>533</x:v>
      </x:c>
      <x:c r="B537" s="17" t="str">
        <x:v>Phase 2</x:v>
      </x:c>
      <x:c r="C537" s="17" t="str">
        <x:v>23.1</x:v>
      </x:c>
      <x:c r="D537" s="21" t="str">
        <x:v>Size Standard Reference Data</x:v>
      </x:c>
      <x:c r="E537" s="17" t="n">
        <x:v>5</x:v>
      </x:c>
      <x:c r="F537" s="21" t="str">
        <x:v>Add tests for import validation.</x:v>
      </x:c>
      <x:c r="G537" s="17" t="str">
        <x:v>Software implementation</x:v>
      </x:c>
      <x:c r="H537" s="17" t="str">
        <x:v>Planned</x:v>
      </x:c>
      <x:c r="I537" s="18" t="str">
        <x:v>Completed</x:v>
      </x:c>
      <x:c r="J537" s="17" t="str">
        <x:f>IF(OR(I537="Completed",I537="Not Applicable"),"No","Yes")</x:f>
        <x:v>No</x:v>
      </x:c>
      <x:c r="K537" s="17" t="str">
        <x:v>23.1 task 4</x:v>
      </x:c>
      <x:c r="L537" s="21" t="str">
        <x:v>Story-labeled commit 4bb1e952 contains delivery and focused test/test-result files: feat: implement story 23.1 size standard reference data</x:v>
      </x:c>
      <x:c r="M537" s="17" t="str">
        <x:v>Implementation commit + focused test artifacts</x:v>
      </x:c>
      <x:c r="N537" s="21" t="str">
        <x:v>git commit 4bb1e9522d1b50faf8936fab1c6563764c9a2d7a; /Users/devups/Development/CodexProjects/Gccs/docs/development-story-test-cases.md</x:v>
      </x:c>
      <x:c r="O537" s="19" t="n">
        <x:v>46190.97483796296</x:v>
      </x:c>
      <x:c r="P537" s="21" t="str">
        <x:v>5 acceptance criteria; 5 TC references; implementation=yes; smoke=yes; automated=no; Story-level regression template</x:v>
      </x:c>
      <x:c r="Q537" s="21" t="str"/>
      <x:c r="R537" s="21" t="str">
        <x:v>Retain traceability; rerun focused verification if the affected boundary changes.</x:v>
      </x:c>
      <x:c r="S537" s="18" t="str"/>
      <x:c r="T537" s="20"/>
      <x:c r="U537" s="21" t="str">
        <x:v>Completion is based on immutable repository evidence; tests were not rerun and current working-tree drift was not re-certified in this reporting-only task.</x:v>
      </x:c>
      <x:c r="V537" s="1"/>
    </x:row>
    <x:row r="538" ht="46" customHeight="1">
      <x:c r="A538" s="17" t="n">
        <x:v>534</x:v>
      </x:c>
      <x:c r="B538" s="17" t="str">
        <x:v>Phase 2</x:v>
      </x:c>
      <x:c r="C538" s="17" t="str">
        <x:v>23.2</x:v>
      </x:c>
      <x:c r="D538" s="21" t="str">
        <x:v>Company Size Evaluation Helper</x:v>
      </x:c>
      <x:c r="E538" s="17" t="n">
        <x:v>1</x:v>
      </x:c>
      <x:c r="F538" s="21" t="str">
        <x:v>Add UI for selecting company NAICS codes and entering annual receipts or employee count ranges.</x:v>
      </x:c>
      <x:c r="G538" s="17" t="str">
        <x:v>Software implementation</x:v>
      </x:c>
      <x:c r="H538" s="17" t="str">
        <x:v>Planned</x:v>
      </x:c>
      <x:c r="I538" s="18" t="str">
        <x:v>Completed</x:v>
      </x:c>
      <x:c r="J538" s="17" t="str">
        <x:f>IF(OR(I538="Completed",I538="Not Applicable"),"No","Yes")</x:f>
        <x:v>No</x:v>
      </x:c>
      <x:c r="K538" s="17" t="str">
        <x:v>23.1</x:v>
      </x:c>
      <x:c r="L538" s="21" t="str">
        <x:v>Story-labeled commit 8e8bb3f0 contains delivery and focused test/test-result files: feat: implement story 23.2 company size evaluation helper</x:v>
      </x:c>
      <x:c r="M538" s="17" t="str">
        <x:v>Implementation commit + focused test artifacts</x:v>
      </x:c>
      <x:c r="N538" s="21" t="str">
        <x:v>git commit 8e8bb3f017c561e2cb44348506cab6ed6cbe4222; /Users/devups/Development/CodexProjects/Gccs/docs/development-story-test-cases.md</x:v>
      </x:c>
      <x:c r="O538" s="19" t="n">
        <x:v>46190.97641203704</x:v>
      </x:c>
      <x:c r="P538" s="21" t="str">
        <x:v>5 acceptance criteria; 5 TC references; implementation=yes; smoke=yes; automated=no; Story-level regression template</x:v>
      </x:c>
      <x:c r="Q538" s="21" t="str"/>
      <x:c r="R538" s="21" t="str">
        <x:v>Retain traceability; rerun focused verification if the affected boundary changes.</x:v>
      </x:c>
      <x:c r="S538" s="18" t="str"/>
      <x:c r="T538" s="20"/>
      <x:c r="U538" s="21" t="str">
        <x:v>Completion is based on immutable repository evidence; tests were not rerun and current working-tree drift was not re-certified in this reporting-only task.</x:v>
      </x:c>
      <x:c r="V538" s="1"/>
    </x:row>
    <x:row r="539" ht="46" customHeight="1">
      <x:c r="A539" s="17" t="n">
        <x:v>535</x:v>
      </x:c>
      <x:c r="B539" s="17" t="str">
        <x:v>Phase 2</x:v>
      </x:c>
      <x:c r="C539" s="17" t="str">
        <x:v>23.2</x:v>
      </x:c>
      <x:c r="D539" s="21" t="str">
        <x:v>Company Size Evaluation Helper</x:v>
      </x:c>
      <x:c r="E539" s="17" t="n">
        <x:v>2</x:v>
      </x:c>
      <x:c r="F539" s="21" t="str">
        <x:v>Evaluate selected NAICS codes against approved size standard reference data.</x:v>
      </x:c>
      <x:c r="G539" s="17" t="str">
        <x:v>Software implementation</x:v>
      </x:c>
      <x:c r="H539" s="17" t="str">
        <x:v>Planned</x:v>
      </x:c>
      <x:c r="I539" s="18" t="str">
        <x:v>Completed</x:v>
      </x:c>
      <x:c r="J539" s="17" t="str">
        <x:f>IF(OR(I539="Completed",I539="Not Applicable"),"No","Yes")</x:f>
        <x:v>No</x:v>
      </x:c>
      <x:c r="K539" s="17" t="str">
        <x:v>23.2 task 1</x:v>
      </x:c>
      <x:c r="L539" s="21" t="str">
        <x:v>Story-labeled commit 8e8bb3f0 contains delivery and focused test/test-result files: feat: implement story 23.2 company size evaluation helper</x:v>
      </x:c>
      <x:c r="M539" s="17" t="str">
        <x:v>Implementation commit + focused test artifacts</x:v>
      </x:c>
      <x:c r="N539" s="21" t="str">
        <x:v>git commit 8e8bb3f017c561e2cb44348506cab6ed6cbe4222; /Users/devups/Development/CodexProjects/Gccs/docs/development-story-test-cases.md</x:v>
      </x:c>
      <x:c r="O539" s="19" t="n">
        <x:v>46190.97641203704</x:v>
      </x:c>
      <x:c r="P539" s="21" t="str">
        <x:v>5 acceptance criteria; 5 TC references; implementation=yes; smoke=yes; automated=no; Story-level regression template</x:v>
      </x:c>
      <x:c r="Q539" s="21" t="str"/>
      <x:c r="R539" s="21" t="str">
        <x:v>Retain traceability; rerun focused verification if the affected boundary changes.</x:v>
      </x:c>
      <x:c r="S539" s="18" t="str"/>
      <x:c r="T539" s="20"/>
      <x:c r="U539" s="21" t="str">
        <x:v>Completion is based on immutable repository evidence; tests were not rerun and current working-tree drift was not re-certified in this reporting-only task.</x:v>
      </x:c>
      <x:c r="V539" s="1"/>
    </x:row>
    <x:row r="540" ht="46" customHeight="1">
      <x:c r="A540" s="17" t="n">
        <x:v>536</x:v>
      </x:c>
      <x:c r="B540" s="17" t="str">
        <x:v>Phase 2</x:v>
      </x:c>
      <x:c r="C540" s="17" t="str">
        <x:v>23.2</x:v>
      </x:c>
      <x:c r="D540" s="21" t="str">
        <x:v>Company Size Evaluation Helper</x:v>
      </x:c>
      <x:c r="E540" s="17" t="n">
        <x:v>3</x:v>
      </x:c>
      <x:c r="F540" s="21" t="str">
        <x:v>Return result labels such as likely small, likely other than small, insufficient information, and expert review recommended.</x:v>
      </x:c>
      <x:c r="G540" s="17" t="str">
        <x:v>Software implementation</x:v>
      </x:c>
      <x:c r="H540" s="17" t="str">
        <x:v>Planned</x:v>
      </x:c>
      <x:c r="I540" s="18" t="str">
        <x:v>Completed</x:v>
      </x:c>
      <x:c r="J540" s="17" t="str">
        <x:f>IF(OR(I540="Completed",I540="Not Applicable"),"No","Yes")</x:f>
        <x:v>No</x:v>
      </x:c>
      <x:c r="K540" s="17" t="str">
        <x:v>23.2 task 2</x:v>
      </x:c>
      <x:c r="L540" s="21" t="str">
        <x:v>Story-labeled commit 8e8bb3f0 contains delivery and focused test/test-result files: feat: implement story 23.2 company size evaluation helper</x:v>
      </x:c>
      <x:c r="M540" s="17" t="str">
        <x:v>Implementation commit + focused test artifacts</x:v>
      </x:c>
      <x:c r="N540" s="21" t="str">
        <x:v>git commit 8e8bb3f017c561e2cb44348506cab6ed6cbe4222; /Users/devups/Development/CodexProjects/Gccs/docs/development-story-test-cases.md</x:v>
      </x:c>
      <x:c r="O540" s="19" t="n">
        <x:v>46190.97641203704</x:v>
      </x:c>
      <x:c r="P540" s="21" t="str">
        <x:v>5 acceptance criteria; 5 TC references; implementation=yes; smoke=yes; automated=no; Story-level regression template</x:v>
      </x:c>
      <x:c r="Q540" s="21" t="str"/>
      <x:c r="R540" s="21" t="str">
        <x:v>Retain traceability; rerun focused verification if the affected boundary changes.</x:v>
      </x:c>
      <x:c r="S540" s="18" t="str"/>
      <x:c r="T540" s="20"/>
      <x:c r="U540" s="21" t="str">
        <x:v>Completion is based on immutable repository evidence; tests were not rerun and current working-tree drift was not re-certified in this reporting-only task.</x:v>
      </x:c>
      <x:c r="V540" s="1"/>
    </x:row>
    <x:row r="541" ht="46" customHeight="1">
      <x:c r="A541" s="17" t="n">
        <x:v>537</x:v>
      </x:c>
      <x:c r="B541" s="17" t="str">
        <x:v>Phase 2</x:v>
      </x:c>
      <x:c r="C541" s="17" t="str">
        <x:v>23.2</x:v>
      </x:c>
      <x:c r="D541" s="21" t="str">
        <x:v>Company Size Evaluation Helper</x:v>
      </x:c>
      <x:c r="E541" s="17" t="n">
        <x:v>4</x:v>
      </x:c>
      <x:c r="F541" s="21" t="str">
        <x:v>Store evaluation inputs, result, source records, and run date.</x:v>
      </x:c>
      <x:c r="G541" s="17" t="str">
        <x:v>Software implementation</x:v>
      </x:c>
      <x:c r="H541" s="17" t="str">
        <x:v>Planned</x:v>
      </x:c>
      <x:c r="I541" s="18" t="str">
        <x:v>Completed</x:v>
      </x:c>
      <x:c r="J541" s="17" t="str">
        <x:f>IF(OR(I541="Completed",I541="Not Applicable"),"No","Yes")</x:f>
        <x:v>No</x:v>
      </x:c>
      <x:c r="K541" s="17" t="str">
        <x:v>23.2 task 3</x:v>
      </x:c>
      <x:c r="L541" s="21" t="str">
        <x:v>Story-labeled commit 8e8bb3f0 contains delivery and focused test/test-result files: feat: implement story 23.2 company size evaluation helper</x:v>
      </x:c>
      <x:c r="M541" s="17" t="str">
        <x:v>Implementation commit + focused test artifacts</x:v>
      </x:c>
      <x:c r="N541" s="21" t="str">
        <x:v>git commit 8e8bb3f017c561e2cb44348506cab6ed6cbe4222; /Users/devups/Development/CodexProjects/Gccs/docs/development-story-test-cases.md</x:v>
      </x:c>
      <x:c r="O541" s="19" t="n">
        <x:v>46190.97641203704</x:v>
      </x:c>
      <x:c r="P541" s="21" t="str">
        <x:v>5 acceptance criteria; 5 TC references; implementation=yes; smoke=yes; automated=no; Story-level regression template</x:v>
      </x:c>
      <x:c r="Q541" s="21" t="str"/>
      <x:c r="R541" s="21" t="str">
        <x:v>Retain traceability; rerun focused verification if the affected boundary changes.</x:v>
      </x:c>
      <x:c r="S541" s="18" t="str"/>
      <x:c r="T541" s="20"/>
      <x:c r="U541" s="21" t="str">
        <x:v>Completion is based on immutable repository evidence; tests were not rerun and current working-tree drift was not re-certified in this reporting-only task.</x:v>
      </x:c>
      <x:c r="V541" s="1"/>
    </x:row>
    <x:row r="542" ht="46" customHeight="1">
      <x:c r="A542" s="17" t="n">
        <x:v>538</x:v>
      </x:c>
      <x:c r="B542" s="17" t="str">
        <x:v>Phase 2</x:v>
      </x:c>
      <x:c r="C542" s="17" t="str">
        <x:v>23.2</x:v>
      </x:c>
      <x:c r="D542" s="21" t="str">
        <x:v>Company Size Evaluation Helper</x:v>
      </x:c>
      <x:c r="E542" s="17" t="n">
        <x:v>5</x:v>
      </x:c>
      <x:c r="F542" s="21" t="str">
        <x:v>Add disclaimer that the helper is not a final legal determination.</x:v>
      </x:c>
      <x:c r="G542" s="17" t="str">
        <x:v>Software implementation</x:v>
      </x:c>
      <x:c r="H542" s="17" t="str">
        <x:v>Planned</x:v>
      </x:c>
      <x:c r="I542" s="18" t="str">
        <x:v>Completed</x:v>
      </x:c>
      <x:c r="J542" s="17" t="str">
        <x:f>IF(OR(I542="Completed",I542="Not Applicable"),"No","Yes")</x:f>
        <x:v>No</x:v>
      </x:c>
      <x:c r="K542" s="17" t="str">
        <x:v>23.2 task 4</x:v>
      </x:c>
      <x:c r="L542" s="21" t="str">
        <x:v>Story-labeled commit 8e8bb3f0 contains delivery and focused test/test-result files: feat: implement story 23.2 company size evaluation helper</x:v>
      </x:c>
      <x:c r="M542" s="17" t="str">
        <x:v>Implementation commit + focused test artifacts</x:v>
      </x:c>
      <x:c r="N542" s="21" t="str">
        <x:v>git commit 8e8bb3f017c561e2cb44348506cab6ed6cbe4222; /Users/devups/Development/CodexProjects/Gccs/docs/development-story-test-cases.md</x:v>
      </x:c>
      <x:c r="O542" s="19" t="n">
        <x:v>46190.97641203704</x:v>
      </x:c>
      <x:c r="P542" s="21" t="str">
        <x:v>5 acceptance criteria; 5 TC references; implementation=yes; smoke=yes; automated=no; Story-level regression template</x:v>
      </x:c>
      <x:c r="Q542" s="21" t="str"/>
      <x:c r="R542" s="21" t="str">
        <x:v>Retain traceability; rerun focused verification if the affected boundary changes.</x:v>
      </x:c>
      <x:c r="S542" s="18" t="str"/>
      <x:c r="T542" s="20"/>
      <x:c r="U542" s="21" t="str">
        <x:v>Completion is based on immutable repository evidence; tests were not rerun and current working-tree drift was not re-certified in this reporting-only task.</x:v>
      </x:c>
      <x:c r="V542" s="1"/>
    </x:row>
    <x:row r="543" ht="46" customHeight="1">
      <x:c r="A543" s="17" t="n">
        <x:v>539</x:v>
      </x:c>
      <x:c r="B543" s="17" t="str">
        <x:v>Phase 2</x:v>
      </x:c>
      <x:c r="C543" s="17" t="str">
        <x:v>23.3</x:v>
      </x:c>
      <x:c r="D543" s="21" t="str">
        <x:v>Opportunity NAICS Size Check</x:v>
      </x:c>
      <x:c r="E543" s="17" t="n">
        <x:v>1</x:v>
      </x:c>
      <x:c r="F543" s="21" t="str">
        <x:v>Add size check action on contract or opportunity records with NAICS code.</x:v>
      </x:c>
      <x:c r="G543" s="17" t="str">
        <x:v>Software implementation</x:v>
      </x:c>
      <x:c r="H543" s="17" t="str">
        <x:v>Planned</x:v>
      </x:c>
      <x:c r="I543" s="18" t="str">
        <x:v>Completed</x:v>
      </x:c>
      <x:c r="J543" s="17" t="str">
        <x:f>IF(OR(I543="Completed",I543="Not Applicable"),"No","Yes")</x:f>
        <x:v>No</x:v>
      </x:c>
      <x:c r="K543" s="17" t="str">
        <x:v>23.2</x:v>
      </x:c>
      <x:c r="L543" s="21" t="str">
        <x:v>Story-labeled commit 68fb3277 contains delivery and focused test/test-result files: feat: implement story 23.3 opportunity naics size check</x:v>
      </x:c>
      <x:c r="M543" s="17" t="str">
        <x:v>Implementation commit + focused test artifacts</x:v>
      </x:c>
      <x:c r="N543" s="21" t="str">
        <x:v>git commit 68fb3277e58483ef3bfdd4eda891cd95164ad25b; /Users/devups/Development/CodexProjects/Gccs/docs/development-story-test-cases.md</x:v>
      </x:c>
      <x:c r="O543" s="19" t="n">
        <x:v>46190.979212962964</x:v>
      </x:c>
      <x:c r="P543" s="21" t="str">
        <x:v>5 acceptance criteria; 5 TC references; implementation=yes; smoke=yes; automated=no; Story-level regression template</x:v>
      </x:c>
      <x:c r="Q543" s="21" t="str"/>
      <x:c r="R543" s="21" t="str">
        <x:v>Retain traceability; rerun focused verification if the affected boundary changes.</x:v>
      </x:c>
      <x:c r="S543" s="18" t="str"/>
      <x:c r="T543" s="20"/>
      <x:c r="U543" s="21" t="str">
        <x:v>Completion is based on immutable repository evidence; tests were not rerun and current working-tree drift was not re-certified in this reporting-only task.</x:v>
      </x:c>
      <x:c r="V543" s="1"/>
    </x:row>
    <x:row r="544" ht="46" customHeight="1">
      <x:c r="A544" s="17" t="n">
        <x:v>540</x:v>
      </x:c>
      <x:c r="B544" s="17" t="str">
        <x:v>Phase 2</x:v>
      </x:c>
      <x:c r="C544" s="17" t="str">
        <x:v>23.3</x:v>
      </x:c>
      <x:c r="D544" s="21" t="str">
        <x:v>Opportunity NAICS Size Check</x:v>
      </x:c>
      <x:c r="E544" s="17" t="n">
        <x:v>2</x:v>
      </x:c>
      <x:c r="F544" s="21" t="str">
        <x:v>Compare opportunity NAICS to company size inputs and approved size standards.</x:v>
      </x:c>
      <x:c r="G544" s="17" t="str">
        <x:v>Software implementation</x:v>
      </x:c>
      <x:c r="H544" s="17" t="str">
        <x:v>Planned</x:v>
      </x:c>
      <x:c r="I544" s="18" t="str">
        <x:v>Completed</x:v>
      </x:c>
      <x:c r="J544" s="17" t="str">
        <x:f>IF(OR(I544="Completed",I544="Not Applicable"),"No","Yes")</x:f>
        <x:v>No</x:v>
      </x:c>
      <x:c r="K544" s="17" t="str">
        <x:v>23.3 task 1</x:v>
      </x:c>
      <x:c r="L544" s="21" t="str">
        <x:v>Story-labeled commit 68fb3277 contains delivery and focused test/test-result files: feat: implement story 23.3 opportunity naics size check</x:v>
      </x:c>
      <x:c r="M544" s="17" t="str">
        <x:v>Implementation commit + focused test artifacts</x:v>
      </x:c>
      <x:c r="N544" s="21" t="str">
        <x:v>git commit 68fb3277e58483ef3bfdd4eda891cd95164ad25b; /Users/devups/Development/CodexProjects/Gccs/docs/development-story-test-cases.md</x:v>
      </x:c>
      <x:c r="O544" s="19" t="n">
        <x:v>46190.979212962964</x:v>
      </x:c>
      <x:c r="P544" s="21" t="str">
        <x:v>5 acceptance criteria; 5 TC references; implementation=yes; smoke=yes; automated=no; Story-level regression template</x:v>
      </x:c>
      <x:c r="Q544" s="21" t="str"/>
      <x:c r="R544" s="21" t="str">
        <x:v>Retain traceability; rerun focused verification if the affected boundary changes.</x:v>
      </x:c>
      <x:c r="S544" s="18" t="str"/>
      <x:c r="T544" s="20"/>
      <x:c r="U544" s="21" t="str">
        <x:v>Completion is based on immutable repository evidence; tests were not rerun and current working-tree drift was not re-certified in this reporting-only task.</x:v>
      </x:c>
      <x:c r="V544" s="1"/>
    </x:row>
    <x:row r="545" ht="46" customHeight="1">
      <x:c r="A545" s="17" t="n">
        <x:v>541</x:v>
      </x:c>
      <x:c r="B545" s="17" t="str">
        <x:v>Phase 2</x:v>
      </x:c>
      <x:c r="C545" s="17" t="str">
        <x:v>23.3</x:v>
      </x:c>
      <x:c r="D545" s="21" t="str">
        <x:v>Opportunity NAICS Size Check</x:v>
      </x:c>
      <x:c r="E545" s="17" t="n">
        <x:v>3</x:v>
      </x:c>
      <x:c r="F545" s="21" t="str">
        <x:v>Show result and missing inputs.</x:v>
      </x:c>
      <x:c r="G545" s="17" t="str">
        <x:v>Software implementation</x:v>
      </x:c>
      <x:c r="H545" s="17" t="str">
        <x:v>Planned</x:v>
      </x:c>
      <x:c r="I545" s="18" t="str">
        <x:v>Completed</x:v>
      </x:c>
      <x:c r="J545" s="17" t="str">
        <x:f>IF(OR(I545="Completed",I545="Not Applicable"),"No","Yes")</x:f>
        <x:v>No</x:v>
      </x:c>
      <x:c r="K545" s="17" t="str">
        <x:v>23.3 task 2</x:v>
      </x:c>
      <x:c r="L545" s="21" t="str">
        <x:v>Story-labeled commit 68fb3277 contains delivery and focused test/test-result files: feat: implement story 23.3 opportunity naics size check</x:v>
      </x:c>
      <x:c r="M545" s="17" t="str">
        <x:v>Implementation commit + focused test artifacts</x:v>
      </x:c>
      <x:c r="N545" s="21" t="str">
        <x:v>git commit 68fb3277e58483ef3bfdd4eda891cd95164ad25b; /Users/devups/Development/CodexProjects/Gccs/docs/development-story-test-cases.md</x:v>
      </x:c>
      <x:c r="O545" s="19" t="n">
        <x:v>46190.979212962964</x:v>
      </x:c>
      <x:c r="P545" s="21" t="str">
        <x:v>5 acceptance criteria; 5 TC references; implementation=yes; smoke=yes; automated=no; Story-level regression template</x:v>
      </x:c>
      <x:c r="Q545" s="21" t="str"/>
      <x:c r="R545" s="21" t="str">
        <x:v>Retain traceability; rerun focused verification if the affected boundary changes.</x:v>
      </x:c>
      <x:c r="S545" s="18" t="str"/>
      <x:c r="T545" s="20"/>
      <x:c r="U545" s="21" t="str">
        <x:v>Completion is based on immutable repository evidence; tests were not rerun and current working-tree drift was not re-certified in this reporting-only task.</x:v>
      </x:c>
      <x:c r="V545" s="1"/>
    </x:row>
    <x:row r="546" ht="46" customHeight="1">
      <x:c r="A546" s="17" t="n">
        <x:v>542</x:v>
      </x:c>
      <x:c r="B546" s="17" t="str">
        <x:v>Phase 2</x:v>
      </x:c>
      <x:c r="C546" s="17" t="str">
        <x:v>23.3</x:v>
      </x:c>
      <x:c r="D546" s="21" t="str">
        <x:v>Opportunity NAICS Size Check</x:v>
      </x:c>
      <x:c r="E546" s="17" t="n">
        <x:v>4</x:v>
      </x:c>
      <x:c r="F546" s="21" t="str">
        <x:v>Add task creation when expert review is recommended.</x:v>
      </x:c>
      <x:c r="G546" s="17" t="str">
        <x:v>Software implementation</x:v>
      </x:c>
      <x:c r="H546" s="17" t="str">
        <x:v>Planned</x:v>
      </x:c>
      <x:c r="I546" s="18" t="str">
        <x:v>Completed</x:v>
      </x:c>
      <x:c r="J546" s="17" t="str">
        <x:f>IF(OR(I546="Completed",I546="Not Applicable"),"No","Yes")</x:f>
        <x:v>No</x:v>
      </x:c>
      <x:c r="K546" s="17" t="str">
        <x:v>23.3 task 3</x:v>
      </x:c>
      <x:c r="L546" s="21" t="str">
        <x:v>Story-labeled commit 68fb3277 contains delivery and focused test/test-result files: feat: implement story 23.3 opportunity naics size check</x:v>
      </x:c>
      <x:c r="M546" s="17" t="str">
        <x:v>Implementation commit + focused test artifacts</x:v>
      </x:c>
      <x:c r="N546" s="21" t="str">
        <x:v>git commit 68fb3277e58483ef3bfdd4eda891cd95164ad25b; /Users/devups/Development/CodexProjects/Gccs/docs/development-story-test-cases.md</x:v>
      </x:c>
      <x:c r="O546" s="19" t="n">
        <x:v>46190.979212962964</x:v>
      </x:c>
      <x:c r="P546" s="21" t="str">
        <x:v>5 acceptance criteria; 5 TC references; implementation=yes; smoke=yes; automated=no; Story-level regression template</x:v>
      </x:c>
      <x:c r="Q546" s="21" t="str"/>
      <x:c r="R546" s="21" t="str">
        <x:v>Retain traceability; rerun focused verification if the affected boundary changes.</x:v>
      </x:c>
      <x:c r="S546" s="18" t="str"/>
      <x:c r="T546" s="20"/>
      <x:c r="U546" s="21" t="str">
        <x:v>Completion is based on immutable repository evidence; tests were not rerun and current working-tree drift was not re-certified in this reporting-only task.</x:v>
      </x:c>
      <x:c r="V546" s="1"/>
    </x:row>
    <x:row r="547" ht="46" customHeight="1">
      <x:c r="A547" s="17" t="n">
        <x:v>543</x:v>
      </x:c>
      <x:c r="B547" s="17" t="str">
        <x:v>Phase 2</x:v>
      </x:c>
      <x:c r="C547" s="17" t="str">
        <x:v>23.3</x:v>
      </x:c>
      <x:c r="D547" s="21" t="str">
        <x:v>Opportunity NAICS Size Check</x:v>
      </x:c>
      <x:c r="E547" s="17" t="n">
        <x:v>5</x:v>
      </x:c>
      <x:c r="F547" s="21" t="str">
        <x:v>Store evaluation history on the contract.</x:v>
      </x:c>
      <x:c r="G547" s="17" t="str">
        <x:v>Software implementation</x:v>
      </x:c>
      <x:c r="H547" s="17" t="str">
        <x:v>Planned</x:v>
      </x:c>
      <x:c r="I547" s="18" t="str">
        <x:v>Completed</x:v>
      </x:c>
      <x:c r="J547" s="17" t="str">
        <x:f>IF(OR(I547="Completed",I547="Not Applicable"),"No","Yes")</x:f>
        <x:v>No</x:v>
      </x:c>
      <x:c r="K547" s="17" t="str">
        <x:v>23.3 task 4</x:v>
      </x:c>
      <x:c r="L547" s="21" t="str">
        <x:v>Story-labeled commit 68fb3277 contains delivery and focused test/test-result files: feat: implement story 23.3 opportunity naics size check</x:v>
      </x:c>
      <x:c r="M547" s="17" t="str">
        <x:v>Implementation commit + focused test artifacts</x:v>
      </x:c>
      <x:c r="N547" s="21" t="str">
        <x:v>git commit 68fb3277e58483ef3bfdd4eda891cd95164ad25b; /Users/devups/Development/CodexProjects/Gccs/docs/development-story-test-cases.md</x:v>
      </x:c>
      <x:c r="O547" s="19" t="n">
        <x:v>46190.979212962964</x:v>
      </x:c>
      <x:c r="P547" s="21" t="str">
        <x:v>5 acceptance criteria; 5 TC references; implementation=yes; smoke=yes; automated=no; Story-level regression template</x:v>
      </x:c>
      <x:c r="Q547" s="21" t="str"/>
      <x:c r="R547" s="21" t="str">
        <x:v>Retain traceability; rerun focused verification if the affected boundary changes.</x:v>
      </x:c>
      <x:c r="S547" s="18" t="str"/>
      <x:c r="T547" s="20"/>
      <x:c r="U547" s="21" t="str">
        <x:v>Completion is based on immutable repository evidence; tests were not rerun and current working-tree drift was not re-certified in this reporting-only task.</x:v>
      </x:c>
      <x:c r="V547" s="1"/>
    </x:row>
    <x:row r="548" ht="46" customHeight="1">
      <x:c r="A548" s="17" t="n">
        <x:v>544</x:v>
      </x:c>
      <x:c r="B548" s="17" t="str">
        <x:v>Phase 2</x:v>
      </x:c>
      <x:c r="C548" s="17" t="str">
        <x:v>24.1</x:v>
      </x:c>
      <x:c r="D548" s="21" t="str">
        <x:v>Expanded Subcontractor Compliance Profile</x:v>
      </x:c>
      <x:c r="E548" s="17" t="n">
        <x:v>1</x:v>
      </x:c>
      <x:c r="F548" s="21" t="str">
        <x:v>Add fields for UEI, CAGE, NAICS, small-business status, socioeconomic certifications, insurance expiration, NDA status, CUI access, export-control status, CMMC level/status, workshare percentage, and responsible owner.</x:v>
      </x:c>
      <x:c r="G548" s="17" t="str">
        <x:v>Software implementation</x:v>
      </x:c>
      <x:c r="H548" s="17" t="str">
        <x:v>Planned</x:v>
      </x:c>
      <x:c r="I548" s="18" t="str">
        <x:v>Completed</x:v>
      </x:c>
      <x:c r="J548" s="17" t="str">
        <x:f>IF(OR(I548="Completed",I548="Not Applicable"),"No","Yes")</x:f>
        <x:v>No</x:v>
      </x:c>
      <x:c r="K548" s="17" t="str">
        <x:v>23.3</x:v>
      </x:c>
      <x:c r="L548" s="21" t="str">
        <x:v>Story-labeled commit 3eac5644 contains delivery and focused test/test-result files: feat: implement story 24.1 expanded subcontractor profile</x:v>
      </x:c>
      <x:c r="M548" s="17" t="str">
        <x:v>Implementation commit + focused test artifacts</x:v>
      </x:c>
      <x:c r="N548" s="21" t="str">
        <x:v>git commit 3eac56445f80e6adfb6edb6688ebd993cbcc9127; /Users/devups/Development/CodexProjects/Gccs/docs/development-story-test-cases.md</x:v>
      </x:c>
      <x:c r="O548" s="19" t="n">
        <x:v>46190.98179398148</x:v>
      </x:c>
      <x:c r="P548" s="21" t="str">
        <x:v>5 acceptance criteria; 5 TC references; implementation=yes; smoke=yes; automated=no; Story-level regression template</x:v>
      </x:c>
      <x:c r="Q548" s="21" t="str"/>
      <x:c r="R548" s="21" t="str">
        <x:v>Retain traceability; rerun focused verification if the affected boundary changes.</x:v>
      </x:c>
      <x:c r="S548" s="18" t="str"/>
      <x:c r="T548" s="20"/>
      <x:c r="U548" s="21" t="str">
        <x:v>Completion is based on immutable repository evidence; tests were not rerun and current working-tree drift was not re-certified in this reporting-only task.</x:v>
      </x:c>
      <x:c r="V548" s="1"/>
    </x:row>
    <x:row r="549" ht="46" customHeight="1">
      <x:c r="A549" s="17" t="n">
        <x:v>545</x:v>
      </x:c>
      <x:c r="B549" s="17" t="str">
        <x:v>Phase 2</x:v>
      </x:c>
      <x:c r="C549" s="17" t="str">
        <x:v>24.1</x:v>
      </x:c>
      <x:c r="D549" s="21" t="str">
        <x:v>Expanded Subcontractor Compliance Profile</x:v>
      </x:c>
      <x:c r="E549" s="17" t="n">
        <x:v>2</x:v>
      </x:c>
      <x:c r="F549" s="21" t="str">
        <x:v>Add validation for expiration dates and controlled vocabularies.</x:v>
      </x:c>
      <x:c r="G549" s="17" t="str">
        <x:v>Software implementation</x:v>
      </x:c>
      <x:c r="H549" s="17" t="str">
        <x:v>Planned</x:v>
      </x:c>
      <x:c r="I549" s="18" t="str">
        <x:v>Completed</x:v>
      </x:c>
      <x:c r="J549" s="17" t="str">
        <x:f>IF(OR(I549="Completed",I549="Not Applicable"),"No","Yes")</x:f>
        <x:v>No</x:v>
      </x:c>
      <x:c r="K549" s="17" t="str">
        <x:v>24.1 task 1</x:v>
      </x:c>
      <x:c r="L549" s="21" t="str">
        <x:v>Story-labeled commit 3eac5644 contains delivery and focused test/test-result files: feat: implement story 24.1 expanded subcontractor profile</x:v>
      </x:c>
      <x:c r="M549" s="17" t="str">
        <x:v>Implementation commit + focused test artifacts</x:v>
      </x:c>
      <x:c r="N549" s="21" t="str">
        <x:v>git commit 3eac56445f80e6adfb6edb6688ebd993cbcc9127; /Users/devups/Development/CodexProjects/Gccs/docs/development-story-test-cases.md</x:v>
      </x:c>
      <x:c r="O549" s="19" t="n">
        <x:v>46190.98179398148</x:v>
      </x:c>
      <x:c r="P549" s="21" t="str">
        <x:v>5 acceptance criteria; 5 TC references; implementation=yes; smoke=yes; automated=no; Story-level regression template</x:v>
      </x:c>
      <x:c r="Q549" s="21" t="str"/>
      <x:c r="R549" s="21" t="str">
        <x:v>Retain traceability; rerun focused verification if the affected boundary changes.</x:v>
      </x:c>
      <x:c r="S549" s="18" t="str"/>
      <x:c r="T549" s="20"/>
      <x:c r="U549" s="21" t="str">
        <x:v>Completion is based on immutable repository evidence; tests were not rerun and current working-tree drift was not re-certified in this reporting-only task.</x:v>
      </x:c>
      <x:c r="V549" s="1"/>
    </x:row>
    <x:row r="550" ht="46" customHeight="1">
      <x:c r="A550" s="17" t="n">
        <x:v>546</x:v>
      </x:c>
      <x:c r="B550" s="17" t="str">
        <x:v>Phase 2</x:v>
      </x:c>
      <x:c r="C550" s="17" t="str">
        <x:v>24.1</x:v>
      </x:c>
      <x:c r="D550" s="21" t="str">
        <x:v>Expanded Subcontractor Compliance Profile</x:v>
      </x:c>
      <x:c r="E550" s="17" t="n">
        <x:v>3</x:v>
      </x:c>
      <x:c r="F550" s="21" t="str">
        <x:v>Add profile completeness indicator.</x:v>
      </x:c>
      <x:c r="G550" s="17" t="str">
        <x:v>Software implementation</x:v>
      </x:c>
      <x:c r="H550" s="17" t="str">
        <x:v>Planned</x:v>
      </x:c>
      <x:c r="I550" s="18" t="str">
        <x:v>Completed</x:v>
      </x:c>
      <x:c r="J550" s="17" t="str">
        <x:f>IF(OR(I550="Completed",I550="Not Applicable"),"No","Yes")</x:f>
        <x:v>No</x:v>
      </x:c>
      <x:c r="K550" s="17" t="str">
        <x:v>24.1 task 2</x:v>
      </x:c>
      <x:c r="L550" s="21" t="str">
        <x:v>Story-labeled commit 3eac5644 contains delivery and focused test/test-result files: feat: implement story 24.1 expanded subcontractor profile</x:v>
      </x:c>
      <x:c r="M550" s="17" t="str">
        <x:v>Implementation commit + focused test artifacts</x:v>
      </x:c>
      <x:c r="N550" s="21" t="str">
        <x:v>git commit 3eac56445f80e6adfb6edb6688ebd993cbcc9127; /Users/devups/Development/CodexProjects/Gccs/docs/development-story-test-cases.md</x:v>
      </x:c>
      <x:c r="O550" s="19" t="n">
        <x:v>46190.98179398148</x:v>
      </x:c>
      <x:c r="P550" s="21" t="str">
        <x:v>5 acceptance criteria; 5 TC references; implementation=yes; smoke=yes; automated=no; Story-level regression template</x:v>
      </x:c>
      <x:c r="Q550" s="21" t="str"/>
      <x:c r="R550" s="21" t="str">
        <x:v>Retain traceability; rerun focused verification if the affected boundary changes.</x:v>
      </x:c>
      <x:c r="S550" s="18" t="str"/>
      <x:c r="T550" s="20"/>
      <x:c r="U550" s="21" t="str">
        <x:v>Completion is based on immutable repository evidence; tests were not rerun and current working-tree drift was not re-certified in this reporting-only task.</x:v>
      </x:c>
      <x:c r="V550" s="1"/>
    </x:row>
    <x:row r="551" ht="46" customHeight="1">
      <x:c r="A551" s="17" t="n">
        <x:v>547</x:v>
      </x:c>
      <x:c r="B551" s="17" t="str">
        <x:v>Phase 2</x:v>
      </x:c>
      <x:c r="C551" s="17" t="str">
        <x:v>24.1</x:v>
      </x:c>
      <x:c r="D551" s="21" t="str">
        <x:v>Expanded Subcontractor Compliance Profile</x:v>
      </x:c>
      <x:c r="E551" s="17" t="n">
        <x:v>4</x:v>
      </x:c>
      <x:c r="F551" s="21" t="str">
        <x:v>Add filters for status, CUI access, certification, insurance expiration, and CMMC readiness.</x:v>
      </x:c>
      <x:c r="G551" s="17" t="str">
        <x:v>Software implementation</x:v>
      </x:c>
      <x:c r="H551" s="17" t="str">
        <x:v>Planned</x:v>
      </x:c>
      <x:c r="I551" s="18" t="str">
        <x:v>Completed</x:v>
      </x:c>
      <x:c r="J551" s="17" t="str">
        <x:f>IF(OR(I551="Completed",I551="Not Applicable"),"No","Yes")</x:f>
        <x:v>No</x:v>
      </x:c>
      <x:c r="K551" s="17" t="str">
        <x:v>24.1 task 3</x:v>
      </x:c>
      <x:c r="L551" s="21" t="str">
        <x:v>Story-labeled commit 3eac5644 contains delivery and focused test/test-result files: feat: implement story 24.1 expanded subcontractor profile</x:v>
      </x:c>
      <x:c r="M551" s="17" t="str">
        <x:v>Implementation commit + focused test artifacts</x:v>
      </x:c>
      <x:c r="N551" s="21" t="str">
        <x:v>git commit 3eac56445f80e6adfb6edb6688ebd993cbcc9127; /Users/devups/Development/CodexProjects/Gccs/docs/development-story-test-cases.md</x:v>
      </x:c>
      <x:c r="O551" s="19" t="n">
        <x:v>46190.98179398148</x:v>
      </x:c>
      <x:c r="P551" s="21" t="str">
        <x:v>5 acceptance criteria; 5 TC references; implementation=yes; smoke=yes; automated=no; Story-level regression template</x:v>
      </x:c>
      <x:c r="Q551" s="21" t="str"/>
      <x:c r="R551" s="21" t="str">
        <x:v>Retain traceability; rerun focused verification if the affected boundary changes.</x:v>
      </x:c>
      <x:c r="S551" s="18" t="str"/>
      <x:c r="T551" s="20"/>
      <x:c r="U551" s="21" t="str">
        <x:v>Completion is based on immutable repository evidence; tests were not rerun and current working-tree drift was not re-certified in this reporting-only task.</x:v>
      </x:c>
      <x:c r="V551" s="1"/>
    </x:row>
    <x:row r="552" ht="46" customHeight="1">
      <x:c r="A552" s="17" t="n">
        <x:v>548</x:v>
      </x:c>
      <x:c r="B552" s="17" t="str">
        <x:v>Phase 2</x:v>
      </x:c>
      <x:c r="C552" s="17" t="str">
        <x:v>24.1</x:v>
      </x:c>
      <x:c r="D552" s="21" t="str">
        <x:v>Expanded Subcontractor Compliance Profile</x:v>
      </x:c>
      <x:c r="E552" s="17" t="n">
        <x:v>5</x:v>
      </x:c>
      <x:c r="F552" s="21" t="str">
        <x:v>Add audit events for sensitive profile changes.</x:v>
      </x:c>
      <x:c r="G552" s="17" t="str">
        <x:v>Software implementation</x:v>
      </x:c>
      <x:c r="H552" s="17" t="str">
        <x:v>Planned</x:v>
      </x:c>
      <x:c r="I552" s="18" t="str">
        <x:v>Completed</x:v>
      </x:c>
      <x:c r="J552" s="17" t="str">
        <x:f>IF(OR(I552="Completed",I552="Not Applicable"),"No","Yes")</x:f>
        <x:v>No</x:v>
      </x:c>
      <x:c r="K552" s="17" t="str">
        <x:v>24.1 task 4</x:v>
      </x:c>
      <x:c r="L552" s="21" t="str">
        <x:v>Story-labeled commit 3eac5644 contains delivery and focused test/test-result files: feat: implement story 24.1 expanded subcontractor profile</x:v>
      </x:c>
      <x:c r="M552" s="17" t="str">
        <x:v>Implementation commit + focused test artifacts</x:v>
      </x:c>
      <x:c r="N552" s="21" t="str">
        <x:v>git commit 3eac56445f80e6adfb6edb6688ebd993cbcc9127; /Users/devups/Development/CodexProjects/Gccs/docs/development-story-test-cases.md</x:v>
      </x:c>
      <x:c r="O552" s="19" t="n">
        <x:v>46190.98179398148</x:v>
      </x:c>
      <x:c r="P552" s="21" t="str">
        <x:v>5 acceptance criteria; 5 TC references; implementation=yes; smoke=yes; automated=no; Story-level regression template</x:v>
      </x:c>
      <x:c r="Q552" s="21" t="str"/>
      <x:c r="R552" s="21" t="str">
        <x:v>Retain traceability; rerun focused verification if the affected boundary changes.</x:v>
      </x:c>
      <x:c r="S552" s="18" t="str"/>
      <x:c r="T552" s="20"/>
      <x:c r="U552" s="21" t="str">
        <x:v>Completion is based on immutable repository evidence; tests were not rerun and current working-tree drift was not re-certified in this reporting-only task.</x:v>
      </x:c>
      <x:c r="V552" s="1"/>
    </x:row>
    <x:row r="553" ht="46" customHeight="1">
      <x:c r="A553" s="17" t="n">
        <x:v>549</x:v>
      </x:c>
      <x:c r="B553" s="17" t="str">
        <x:v>Phase 2</x:v>
      </x:c>
      <x:c r="C553" s="17" t="str">
        <x:v>24.2</x:v>
      </x:c>
      <x:c r="D553" s="21" t="str">
        <x:v>Subcontractor Risk Status</x:v>
      </x:c>
      <x:c r="E553" s="17" t="n">
        <x:v>1</x:v>
      </x:c>
      <x:c r="F553" s="21" t="str">
        <x:v>Define risk inputs for missing flow-downs, expired insurance, missing NDA, CUI access without CMMC status, overdue evidence, SAM status, and unresolved expert review.</x:v>
      </x:c>
      <x:c r="G553" s="17" t="str">
        <x:v>Software implementation</x:v>
      </x:c>
      <x:c r="H553" s="17" t="str">
        <x:v>Planned</x:v>
      </x:c>
      <x:c r="I553" s="18" t="str">
        <x:v>Completed</x:v>
      </x:c>
      <x:c r="J553" s="17" t="str">
        <x:f>IF(OR(I553="Completed",I553="Not Applicable"),"No","Yes")</x:f>
        <x:v>No</x:v>
      </x:c>
      <x:c r="K553" s="17" t="str">
        <x:v>24.1</x:v>
      </x:c>
      <x:c r="L553" s="21" t="str">
        <x:v>Story-labeled commit e8687b59 contains delivery and focused test/test-result files: feat: implement story 24.2 subcontractor risk status</x:v>
      </x:c>
      <x:c r="M553" s="17" t="str">
        <x:v>Implementation commit + focused test artifacts</x:v>
      </x:c>
      <x:c r="N553" s="21" t="str">
        <x:v>git commit e8687b592fb08fb507a36c261f07a320e477fd6a; /Users/devups/Development/CodexProjects/Gccs/docs/development-story-test-cases.md</x:v>
      </x:c>
      <x:c r="O553" s="19" t="n">
        <x:v>46190.98505787037</x:v>
      </x:c>
      <x:c r="P553" s="21" t="str">
        <x:v>5 acceptance criteria; 5 TC references; implementation=yes; smoke=yes; automated=no; Story-level regression template</x:v>
      </x:c>
      <x:c r="Q553" s="21" t="str"/>
      <x:c r="R553" s="21" t="str">
        <x:v>Retain traceability; rerun focused verification if the affected boundary changes.</x:v>
      </x:c>
      <x:c r="S553" s="18" t="str"/>
      <x:c r="T553" s="20"/>
      <x:c r="U553" s="21" t="str">
        <x:v>Completion is based on immutable repository evidence; tests were not rerun and current working-tree drift was not re-certified in this reporting-only task.</x:v>
      </x:c>
      <x:c r="V553" s="1"/>
    </x:row>
    <x:row r="554" ht="46" customHeight="1">
      <x:c r="A554" s="17" t="n">
        <x:v>550</x:v>
      </x:c>
      <x:c r="B554" s="17" t="str">
        <x:v>Phase 2</x:v>
      </x:c>
      <x:c r="C554" s="17" t="str">
        <x:v>24.2</x:v>
      </x:c>
      <x:c r="D554" s="21" t="str">
        <x:v>Subcontractor Risk Status</x:v>
      </x:c>
      <x:c r="E554" s="17" t="n">
        <x:v>2</x:v>
      </x:c>
      <x:c r="F554" s="21" t="str">
        <x:v>Implement risk status labels such as low, medium, high, and needs review.</x:v>
      </x:c>
      <x:c r="G554" s="17" t="str">
        <x:v>Software implementation</x:v>
      </x:c>
      <x:c r="H554" s="17" t="str">
        <x:v>Planned</x:v>
      </x:c>
      <x:c r="I554" s="18" t="str">
        <x:v>Completed</x:v>
      </x:c>
      <x:c r="J554" s="17" t="str">
        <x:f>IF(OR(I554="Completed",I554="Not Applicable"),"No","Yes")</x:f>
        <x:v>No</x:v>
      </x:c>
      <x:c r="K554" s="17" t="str">
        <x:v>24.2 task 1</x:v>
      </x:c>
      <x:c r="L554" s="21" t="str">
        <x:v>Story-labeled commit e8687b59 contains delivery and focused test/test-result files: feat: implement story 24.2 subcontractor risk status</x:v>
      </x:c>
      <x:c r="M554" s="17" t="str">
        <x:v>Implementation commit + focused test artifacts</x:v>
      </x:c>
      <x:c r="N554" s="21" t="str">
        <x:v>git commit e8687b592fb08fb507a36c261f07a320e477fd6a; /Users/devups/Development/CodexProjects/Gccs/docs/development-story-test-cases.md</x:v>
      </x:c>
      <x:c r="O554" s="19" t="n">
        <x:v>46190.98505787037</x:v>
      </x:c>
      <x:c r="P554" s="21" t="str">
        <x:v>5 acceptance criteria; 5 TC references; implementation=yes; smoke=yes; automated=no; Story-level regression template</x:v>
      </x:c>
      <x:c r="Q554" s="21" t="str"/>
      <x:c r="R554" s="21" t="str">
        <x:v>Retain traceability; rerun focused verification if the affected boundary changes.</x:v>
      </x:c>
      <x:c r="S554" s="18" t="str"/>
      <x:c r="T554" s="20"/>
      <x:c r="U554" s="21" t="str">
        <x:v>Completion is based on immutable repository evidence; tests were not rerun and current working-tree drift was not re-certified in this reporting-only task.</x:v>
      </x:c>
      <x:c r="V554" s="1"/>
    </x:row>
    <x:row r="555" ht="46" customHeight="1">
      <x:c r="A555" s="17" t="n">
        <x:v>551</x:v>
      </x:c>
      <x:c r="B555" s="17" t="str">
        <x:v>Phase 2</x:v>
      </x:c>
      <x:c r="C555" s="17" t="str">
        <x:v>24.2</x:v>
      </x:c>
      <x:c r="D555" s="21" t="str">
        <x:v>Subcontractor Risk Status</x:v>
      </x:c>
      <x:c r="E555" s="17" t="n">
        <x:v>3</x:v>
      </x:c>
      <x:c r="F555" s="21" t="str">
        <x:v>Show risk drivers on subcontractor detail and list views.</x:v>
      </x:c>
      <x:c r="G555" s="17" t="str">
        <x:v>Software implementation</x:v>
      </x:c>
      <x:c r="H555" s="17" t="str">
        <x:v>Planned</x:v>
      </x:c>
      <x:c r="I555" s="18" t="str">
        <x:v>Completed</x:v>
      </x:c>
      <x:c r="J555" s="17" t="str">
        <x:f>IF(OR(I555="Completed",I555="Not Applicable"),"No","Yes")</x:f>
        <x:v>No</x:v>
      </x:c>
      <x:c r="K555" s="17" t="str">
        <x:v>24.2 task 2</x:v>
      </x:c>
      <x:c r="L555" s="21" t="str">
        <x:v>Story-labeled commit e8687b59 contains delivery and focused test/test-result files: feat: implement story 24.2 subcontractor risk status</x:v>
      </x:c>
      <x:c r="M555" s="17" t="str">
        <x:v>Implementation commit + focused test artifacts</x:v>
      </x:c>
      <x:c r="N555" s="21" t="str">
        <x:v>git commit e8687b592fb08fb507a36c261f07a320e477fd6a; /Users/devups/Development/CodexProjects/Gccs/docs/development-story-test-cases.md</x:v>
      </x:c>
      <x:c r="O555" s="19" t="n">
        <x:v>46190.98505787037</x:v>
      </x:c>
      <x:c r="P555" s="21" t="str">
        <x:v>5 acceptance criteria; 5 TC references; implementation=yes; smoke=yes; automated=no; Story-level regression template</x:v>
      </x:c>
      <x:c r="Q555" s="21" t="str"/>
      <x:c r="R555" s="21" t="str">
        <x:v>Retain traceability; rerun focused verification if the affected boundary changes.</x:v>
      </x:c>
      <x:c r="S555" s="18" t="str"/>
      <x:c r="T555" s="20"/>
      <x:c r="U555" s="21" t="str">
        <x:v>Completion is based on immutable repository evidence; tests were not rerun and current working-tree drift was not re-certified in this reporting-only task.</x:v>
      </x:c>
      <x:c r="V555" s="1"/>
    </x:row>
    <x:row r="556" ht="46" customHeight="1">
      <x:c r="A556" s="17" t="n">
        <x:v>552</x:v>
      </x:c>
      <x:c r="B556" s="17" t="str">
        <x:v>Phase 2</x:v>
      </x:c>
      <x:c r="C556" s="17" t="str">
        <x:v>24.2</x:v>
      </x:c>
      <x:c r="D556" s="21" t="str">
        <x:v>Subcontractor Risk Status</x:v>
      </x:c>
      <x:c r="E556" s="17" t="n">
        <x:v>4</x:v>
      </x:c>
      <x:c r="F556" s="21" t="str">
        <x:v>Recalculate risk when underlying signals change.</x:v>
      </x:c>
      <x:c r="G556" s="17" t="str">
        <x:v>Software implementation</x:v>
      </x:c>
      <x:c r="H556" s="17" t="str">
        <x:v>Planned</x:v>
      </x:c>
      <x:c r="I556" s="18" t="str">
        <x:v>Completed</x:v>
      </x:c>
      <x:c r="J556" s="17" t="str">
        <x:f>IF(OR(I556="Completed",I556="Not Applicable"),"No","Yes")</x:f>
        <x:v>No</x:v>
      </x:c>
      <x:c r="K556" s="17" t="str">
        <x:v>24.2 task 3</x:v>
      </x:c>
      <x:c r="L556" s="21" t="str">
        <x:v>Story-labeled commit e8687b59 contains delivery and focused test/test-result files: feat: implement story 24.2 subcontractor risk status</x:v>
      </x:c>
      <x:c r="M556" s="17" t="str">
        <x:v>Implementation commit + focused test artifacts</x:v>
      </x:c>
      <x:c r="N556" s="21" t="str">
        <x:v>git commit e8687b592fb08fb507a36c261f07a320e477fd6a; /Users/devups/Development/CodexProjects/Gccs/docs/development-story-test-cases.md</x:v>
      </x:c>
      <x:c r="O556" s="19" t="n">
        <x:v>46190.98505787037</x:v>
      </x:c>
      <x:c r="P556" s="21" t="str">
        <x:v>5 acceptance criteria; 5 TC references; implementation=yes; smoke=yes; automated=no; Story-level regression template</x:v>
      </x:c>
      <x:c r="Q556" s="21" t="str"/>
      <x:c r="R556" s="21" t="str">
        <x:v>Retain traceability; rerun focused verification if the affected boundary changes.</x:v>
      </x:c>
      <x:c r="S556" s="18" t="str"/>
      <x:c r="T556" s="20"/>
      <x:c r="U556" s="21" t="str">
        <x:v>Completion is based on immutable repository evidence; tests were not rerun and current working-tree drift was not re-certified in this reporting-only task.</x:v>
      </x:c>
      <x:c r="V556" s="1"/>
    </x:row>
    <x:row r="557" ht="46" customHeight="1">
      <x:c r="A557" s="17" t="n">
        <x:v>553</x:v>
      </x:c>
      <x:c r="B557" s="17" t="str">
        <x:v>Phase 2</x:v>
      </x:c>
      <x:c r="C557" s="17" t="str">
        <x:v>24.2</x:v>
      </x:c>
      <x:c r="D557" s="21" t="str">
        <x:v>Subcontractor Risk Status</x:v>
      </x:c>
      <x:c r="E557" s="17" t="n">
        <x:v>5</x:v>
      </x:c>
      <x:c r="F557" s="21" t="str">
        <x:v>Add tests for risk status rules.</x:v>
      </x:c>
      <x:c r="G557" s="17" t="str">
        <x:v>Software implementation</x:v>
      </x:c>
      <x:c r="H557" s="17" t="str">
        <x:v>Planned</x:v>
      </x:c>
      <x:c r="I557" s="18" t="str">
        <x:v>Completed</x:v>
      </x:c>
      <x:c r="J557" s="17" t="str">
        <x:f>IF(OR(I557="Completed",I557="Not Applicable"),"No","Yes")</x:f>
        <x:v>No</x:v>
      </x:c>
      <x:c r="K557" s="17" t="str">
        <x:v>24.2 task 4</x:v>
      </x:c>
      <x:c r="L557" s="21" t="str">
        <x:v>Story-labeled commit e8687b59 contains delivery and focused test/test-result files: feat: implement story 24.2 subcontractor risk status</x:v>
      </x:c>
      <x:c r="M557" s="17" t="str">
        <x:v>Implementation commit + focused test artifacts</x:v>
      </x:c>
      <x:c r="N557" s="21" t="str">
        <x:v>git commit e8687b592fb08fb507a36c261f07a320e477fd6a; /Users/devups/Development/CodexProjects/Gccs/docs/development-story-test-cases.md</x:v>
      </x:c>
      <x:c r="O557" s="19" t="n">
        <x:v>46190.98505787037</x:v>
      </x:c>
      <x:c r="P557" s="21" t="str">
        <x:v>5 acceptance criteria; 5 TC references; implementation=yes; smoke=yes; automated=no; Story-level regression template</x:v>
      </x:c>
      <x:c r="Q557" s="21" t="str"/>
      <x:c r="R557" s="21" t="str">
        <x:v>Retain traceability; rerun focused verification if the affected boundary changes.</x:v>
      </x:c>
      <x:c r="S557" s="18" t="str"/>
      <x:c r="T557" s="20"/>
      <x:c r="U557" s="21" t="str">
        <x:v>Completion is based on immutable repository evidence; tests were not rerun and current working-tree drift was not re-certified in this reporting-only task.</x:v>
      </x:c>
      <x:c r="V557" s="1"/>
    </x:row>
    <x:row r="558" ht="46" customHeight="1">
      <x:c r="A558" s="17" t="n">
        <x:v>554</x:v>
      </x:c>
      <x:c r="B558" s="17" t="str">
        <x:v>Phase 2</x:v>
      </x:c>
      <x:c r="C558" s="17" t="str">
        <x:v>24.3</x:v>
      </x:c>
      <x:c r="D558" s="21" t="str">
        <x:v>Contract-Specific Subcontractor Obligations</x:v>
      </x:c>
      <x:c r="E558" s="17" t="n">
        <x:v>1</x:v>
      </x:c>
      <x:c r="F558" s="21" t="str">
        <x:v>Add relationship between subcontractor, contract, flow-down clause, obligation, and evidence request.</x:v>
      </x:c>
      <x:c r="G558" s="17" t="str">
        <x:v>Software implementation</x:v>
      </x:c>
      <x:c r="H558" s="17" t="str">
        <x:v>Planned</x:v>
      </x:c>
      <x:c r="I558" s="18" t="str">
        <x:v>Completed</x:v>
      </x:c>
      <x:c r="J558" s="17" t="str">
        <x:f>IF(OR(I558="Completed",I558="Not Applicable"),"No","Yes")</x:f>
        <x:v>No</x:v>
      </x:c>
      <x:c r="K558" s="17" t="str">
        <x:v>24.2</x:v>
      </x:c>
      <x:c r="L558" s="21" t="str">
        <x:v>Story-labeled commit a3478234 contains delivery and focused test/test-result files: feat: implement story 24.3 supplier obligations</x:v>
      </x:c>
      <x:c r="M558" s="17" t="str">
        <x:v>Implementation commit + focused test artifacts</x:v>
      </x:c>
      <x:c r="N558" s="21" t="str">
        <x:v>git commit a34782346bf7d16defaf99c5d0f919ba635f172a; /Users/devups/Development/CodexProjects/Gccs/docs/development-story-test-cases.md</x:v>
      </x:c>
      <x:c r="O558" s="19" t="n">
        <x:v>46190.99046296296</x:v>
      </x:c>
      <x:c r="P558" s="21" t="str">
        <x:v>5 acceptance criteria; 5 TC references; implementation=yes; smoke=yes; automated=no; Story-level regression template</x:v>
      </x:c>
      <x:c r="Q558" s="21" t="str"/>
      <x:c r="R558" s="21" t="str">
        <x:v>Retain traceability; rerun focused verification if the affected boundary changes.</x:v>
      </x:c>
      <x:c r="S558" s="18" t="str"/>
      <x:c r="T558" s="20"/>
      <x:c r="U558" s="21" t="str">
        <x:v>Completion is based on immutable repository evidence; tests were not rerun and current working-tree drift was not re-certified in this reporting-only task.</x:v>
      </x:c>
      <x:c r="V558" s="1"/>
    </x:row>
    <x:row r="559" ht="46" customHeight="1">
      <x:c r="A559" s="17" t="n">
        <x:v>555</x:v>
      </x:c>
      <x:c r="B559" s="17" t="str">
        <x:v>Phase 2</x:v>
      </x:c>
      <x:c r="C559" s="17" t="str">
        <x:v>24.3</x:v>
      </x:c>
      <x:c r="D559" s="21" t="str">
        <x:v>Contract-Specific Subcontractor Obligations</x:v>
      </x:c>
      <x:c r="E559" s="17" t="n">
        <x:v>2</x:v>
      </x:c>
      <x:c r="F559" s="21" t="str">
        <x:v>Show subcontractor obligations on contract detail and subcontractor detail.</x:v>
      </x:c>
      <x:c r="G559" s="17" t="str">
        <x:v>Software implementation</x:v>
      </x:c>
      <x:c r="H559" s="17" t="str">
        <x:v>Planned</x:v>
      </x:c>
      <x:c r="I559" s="18" t="str">
        <x:v>Completed</x:v>
      </x:c>
      <x:c r="J559" s="17" t="str">
        <x:f>IF(OR(I559="Completed",I559="Not Applicable"),"No","Yes")</x:f>
        <x:v>No</x:v>
      </x:c>
      <x:c r="K559" s="17" t="str">
        <x:v>24.3 task 1</x:v>
      </x:c>
      <x:c r="L559" s="21" t="str">
        <x:v>Story-labeled commit a3478234 contains delivery and focused test/test-result files: feat: implement story 24.3 supplier obligations</x:v>
      </x:c>
      <x:c r="M559" s="17" t="str">
        <x:v>Implementation commit + focused test artifacts</x:v>
      </x:c>
      <x:c r="N559" s="21" t="str">
        <x:v>git commit a34782346bf7d16defaf99c5d0f919ba635f172a; /Users/devups/Development/CodexProjects/Gccs/docs/development-story-test-cases.md</x:v>
      </x:c>
      <x:c r="O559" s="19" t="n">
        <x:v>46190.99046296296</x:v>
      </x:c>
      <x:c r="P559" s="21" t="str">
        <x:v>5 acceptance criteria; 5 TC references; implementation=yes; smoke=yes; automated=no; Story-level regression template</x:v>
      </x:c>
      <x:c r="Q559" s="21" t="str"/>
      <x:c r="R559" s="21" t="str">
        <x:v>Retain traceability; rerun focused verification if the affected boundary changes.</x:v>
      </x:c>
      <x:c r="S559" s="18" t="str"/>
      <x:c r="T559" s="20"/>
      <x:c r="U559" s="21" t="str">
        <x:v>Completion is based on immutable repository evidence; tests were not rerun and current working-tree drift was not re-certified in this reporting-only task.</x:v>
      </x:c>
      <x:c r="V559" s="1"/>
    </x:row>
    <x:row r="560" ht="46" customHeight="1">
      <x:c r="A560" s="17" t="n">
        <x:v>556</x:v>
      </x:c>
      <x:c r="B560" s="17" t="str">
        <x:v>Phase 2</x:v>
      </x:c>
      <x:c r="C560" s="17" t="str">
        <x:v>24.3</x:v>
      </x:c>
      <x:c r="D560" s="21" t="str">
        <x:v>Contract-Specific Subcontractor Obligations</x:v>
      </x:c>
      <x:c r="E560" s="17" t="n">
        <x:v>3</x:v>
      </x:c>
      <x:c r="F560" s="21" t="str">
        <x:v>Add owner, due date, status, and evidence requirement to each supplier obligation.</x:v>
      </x:c>
      <x:c r="G560" s="17" t="str">
        <x:v>Software implementation</x:v>
      </x:c>
      <x:c r="H560" s="17" t="str">
        <x:v>Planned</x:v>
      </x:c>
      <x:c r="I560" s="18" t="str">
        <x:v>Completed</x:v>
      </x:c>
      <x:c r="J560" s="17" t="str">
        <x:f>IF(OR(I560="Completed",I560="Not Applicable"),"No","Yes")</x:f>
        <x:v>No</x:v>
      </x:c>
      <x:c r="K560" s="17" t="str">
        <x:v>24.3 task 2</x:v>
      </x:c>
      <x:c r="L560" s="21" t="str">
        <x:v>Story-labeled commit a3478234 contains delivery and focused test/test-result files: feat: implement story 24.3 supplier obligations</x:v>
      </x:c>
      <x:c r="M560" s="17" t="str">
        <x:v>Implementation commit + focused test artifacts</x:v>
      </x:c>
      <x:c r="N560" s="21" t="str">
        <x:v>git commit a34782346bf7d16defaf99c5d0f919ba635f172a; /Users/devups/Development/CodexProjects/Gccs/docs/development-story-test-cases.md</x:v>
      </x:c>
      <x:c r="O560" s="19" t="n">
        <x:v>46190.99046296296</x:v>
      </x:c>
      <x:c r="P560" s="21" t="str">
        <x:v>5 acceptance criteria; 5 TC references; implementation=yes; smoke=yes; automated=no; Story-level regression template</x:v>
      </x:c>
      <x:c r="Q560" s="21" t="str"/>
      <x:c r="R560" s="21" t="str">
        <x:v>Retain traceability; rerun focused verification if the affected boundary changes.</x:v>
      </x:c>
      <x:c r="S560" s="18" t="str"/>
      <x:c r="T560" s="20"/>
      <x:c r="U560" s="21" t="str">
        <x:v>Completion is based on immutable repository evidence; tests were not rerun and current working-tree drift was not re-certified in this reporting-only task.</x:v>
      </x:c>
      <x:c r="V560" s="1"/>
    </x:row>
    <x:row r="561" ht="46" customHeight="1">
      <x:c r="A561" s="17" t="n">
        <x:v>557</x:v>
      </x:c>
      <x:c r="B561" s="17" t="str">
        <x:v>Phase 2</x:v>
      </x:c>
      <x:c r="C561" s="17" t="str">
        <x:v>24.3</x:v>
      </x:c>
      <x:c r="D561" s="21" t="str">
        <x:v>Contract-Specific Subcontractor Obligations</x:v>
      </x:c>
      <x:c r="E561" s="17" t="n">
        <x:v>4</x:v>
      </x:c>
      <x:c r="F561" s="21" t="str">
        <x:v>Allow bulk creation from accepted flow-down clauses.</x:v>
      </x:c>
      <x:c r="G561" s="17" t="str">
        <x:v>Software implementation</x:v>
      </x:c>
      <x:c r="H561" s="17" t="str">
        <x:v>Planned</x:v>
      </x:c>
      <x:c r="I561" s="18" t="str">
        <x:v>Completed</x:v>
      </x:c>
      <x:c r="J561" s="17" t="str">
        <x:f>IF(OR(I561="Completed",I561="Not Applicable"),"No","Yes")</x:f>
        <x:v>No</x:v>
      </x:c>
      <x:c r="K561" s="17" t="str">
        <x:v>24.3 task 3</x:v>
      </x:c>
      <x:c r="L561" s="21" t="str">
        <x:v>Story-labeled commit a3478234 contains delivery and focused test/test-result files: feat: implement story 24.3 supplier obligations</x:v>
      </x:c>
      <x:c r="M561" s="17" t="str">
        <x:v>Implementation commit + focused test artifacts</x:v>
      </x:c>
      <x:c r="N561" s="21" t="str">
        <x:v>git commit a34782346bf7d16defaf99c5d0f919ba635f172a; /Users/devups/Development/CodexProjects/Gccs/docs/development-story-test-cases.md</x:v>
      </x:c>
      <x:c r="O561" s="19" t="n">
        <x:v>46190.99046296296</x:v>
      </x:c>
      <x:c r="P561" s="21" t="str">
        <x:v>5 acceptance criteria; 5 TC references; implementation=yes; smoke=yes; automated=no; Story-level regression template</x:v>
      </x:c>
      <x:c r="Q561" s="21" t="str"/>
      <x:c r="R561" s="21" t="str">
        <x:v>Retain traceability; rerun focused verification if the affected boundary changes.</x:v>
      </x:c>
      <x:c r="S561" s="18" t="str"/>
      <x:c r="T561" s="20"/>
      <x:c r="U561" s="21" t="str">
        <x:v>Completion is based on immutable repository evidence; tests were not rerun and current working-tree drift was not re-certified in this reporting-only task.</x:v>
      </x:c>
      <x:c r="V561" s="1"/>
    </x:row>
    <x:row r="562" ht="46" customHeight="1">
      <x:c r="A562" s="17" t="n">
        <x:v>558</x:v>
      </x:c>
      <x:c r="B562" s="17" t="str">
        <x:v>Phase 2</x:v>
      </x:c>
      <x:c r="C562" s="17" t="str">
        <x:v>24.3</x:v>
      </x:c>
      <x:c r="D562" s="21" t="str">
        <x:v>Contract-Specific Subcontractor Obligations</x:v>
      </x:c>
      <x:c r="E562" s="17" t="n">
        <x:v>5</x:v>
      </x:c>
      <x:c r="F562" s="21" t="str">
        <x:v>Add audit events for creation and status changes.</x:v>
      </x:c>
      <x:c r="G562" s="17" t="str">
        <x:v>Software implementation</x:v>
      </x:c>
      <x:c r="H562" s="17" t="str">
        <x:v>Planned</x:v>
      </x:c>
      <x:c r="I562" s="18" t="str">
        <x:v>Completed</x:v>
      </x:c>
      <x:c r="J562" s="17" t="str">
        <x:f>IF(OR(I562="Completed",I562="Not Applicable"),"No","Yes")</x:f>
        <x:v>No</x:v>
      </x:c>
      <x:c r="K562" s="17" t="str">
        <x:v>24.3 task 4</x:v>
      </x:c>
      <x:c r="L562" s="21" t="str">
        <x:v>Story-labeled commit a3478234 contains delivery and focused test/test-result files: feat: implement story 24.3 supplier obligations</x:v>
      </x:c>
      <x:c r="M562" s="17" t="str">
        <x:v>Implementation commit + focused test artifacts</x:v>
      </x:c>
      <x:c r="N562" s="21" t="str">
        <x:v>git commit a34782346bf7d16defaf99c5d0f919ba635f172a; /Users/devups/Development/CodexProjects/Gccs/docs/development-story-test-cases.md</x:v>
      </x:c>
      <x:c r="O562" s="19" t="n">
        <x:v>46190.99046296296</x:v>
      </x:c>
      <x:c r="P562" s="21" t="str">
        <x:v>5 acceptance criteria; 5 TC references; implementation=yes; smoke=yes; automated=no; Story-level regression template</x:v>
      </x:c>
      <x:c r="Q562" s="21" t="str"/>
      <x:c r="R562" s="21" t="str">
        <x:v>Retain traceability; rerun focused verification if the affected boundary changes.</x:v>
      </x:c>
      <x:c r="S562" s="18" t="str"/>
      <x:c r="T562" s="20"/>
      <x:c r="U562" s="21" t="str">
        <x:v>Completion is based on immutable repository evidence; tests were not rerun and current working-tree drift was not re-certified in this reporting-only task.</x:v>
      </x:c>
      <x:c r="V562" s="1"/>
    </x:row>
    <x:row r="563" ht="46" customHeight="1">
      <x:c r="A563" s="17" t="n">
        <x:v>559</x:v>
      </x:c>
      <x:c r="B563" s="17" t="str">
        <x:v>Phase 2</x:v>
      </x:c>
      <x:c r="C563" s="17" t="str">
        <x:v>25.1</x:v>
      </x:c>
      <x:c r="D563" s="21" t="str">
        <x:v>Approved Template Library</x:v>
      </x:c>
      <x:c r="E563" s="17" t="n">
        <x:v>1</x:v>
      </x:c>
      <x:c r="F563" s="21" t="str">
        <x:v>Add template model with title, category, body, placeholders, source references, version, status, owner, last reviewed date, and expert review flag.</x:v>
      </x:c>
      <x:c r="G563" s="17" t="str">
        <x:v>Software implementation</x:v>
      </x:c>
      <x:c r="H563" s="17" t="str">
        <x:v>Planned</x:v>
      </x:c>
      <x:c r="I563" s="18" t="str">
        <x:v>Completed</x:v>
      </x:c>
      <x:c r="J563" s="17" t="str">
        <x:f>IF(OR(I563="Completed",I563="Not Applicable"),"No","Yes")</x:f>
        <x:v>No</x:v>
      </x:c>
      <x:c r="K563" s="17" t="str">
        <x:v>24.3</x:v>
      </x:c>
      <x:c r="L563" s="21" t="str">
        <x:v>Story-labeled commit 0daa2526 contains delivery and focused test/test-result files: feat: implement story 25.1 policy template library</x:v>
      </x:c>
      <x:c r="M563" s="17" t="str">
        <x:v>Implementation commit + focused test artifacts</x:v>
      </x:c>
      <x:c r="N563" s="21" t="str">
        <x:v>git commit 0daa252632f9726dbf8dc1d2eb9f5468326d4301; /Users/devups/Development/CodexProjects/Gccs/docs/development-story-test-cases.md</x:v>
      </x:c>
      <x:c r="O563" s="19" t="n">
        <x:v>46190.994166666664</x:v>
      </x:c>
      <x:c r="P563" s="21" t="str">
        <x:v>5 acceptance criteria; 5 TC references; implementation=yes; smoke=yes; automated=no; Story-level regression template</x:v>
      </x:c>
      <x:c r="Q563" s="21" t="str"/>
      <x:c r="R563" s="21" t="str">
        <x:v>Retain traceability; rerun focused verification if the affected boundary changes.</x:v>
      </x:c>
      <x:c r="S563" s="18" t="str"/>
      <x:c r="T563" s="20"/>
      <x:c r="U563" s="21" t="str">
        <x:v>Completion is based on immutable repository evidence; tests were not rerun and current working-tree drift was not re-certified in this reporting-only task.</x:v>
      </x:c>
      <x:c r="V563" s="1"/>
    </x:row>
    <x:row r="564" ht="46" customHeight="1">
      <x:c r="A564" s="17" t="n">
        <x:v>560</x:v>
      </x:c>
      <x:c r="B564" s="17" t="str">
        <x:v>Phase 2</x:v>
      </x:c>
      <x:c r="C564" s="17" t="str">
        <x:v>25.1</x:v>
      </x:c>
      <x:c r="D564" s="21" t="str">
        <x:v>Approved Template Library</x:v>
      </x:c>
      <x:c r="E564" s="17" t="n">
        <x:v>2</x:v>
      </x:c>
      <x:c r="F564" s="21" t="str">
        <x:v>Add statuses for draft, under review, approved, deprecated, and superseded.</x:v>
      </x:c>
      <x:c r="G564" s="17" t="str">
        <x:v>Software implementation</x:v>
      </x:c>
      <x:c r="H564" s="17" t="str">
        <x:v>Planned</x:v>
      </x:c>
      <x:c r="I564" s="18" t="str">
        <x:v>Completed</x:v>
      </x:c>
      <x:c r="J564" s="17" t="str">
        <x:f>IF(OR(I564="Completed",I564="Not Applicable"),"No","Yes")</x:f>
        <x:v>No</x:v>
      </x:c>
      <x:c r="K564" s="17" t="str">
        <x:v>25.1 task 1</x:v>
      </x:c>
      <x:c r="L564" s="21" t="str">
        <x:v>Story-labeled commit 0daa2526 contains delivery and focused test/test-result files: feat: implement story 25.1 policy template library</x:v>
      </x:c>
      <x:c r="M564" s="17" t="str">
        <x:v>Implementation commit + focused test artifacts</x:v>
      </x:c>
      <x:c r="N564" s="21" t="str">
        <x:v>git commit 0daa252632f9726dbf8dc1d2eb9f5468326d4301; /Users/devups/Development/CodexProjects/Gccs/docs/development-story-test-cases.md</x:v>
      </x:c>
      <x:c r="O564" s="19" t="n">
        <x:v>46190.994166666664</x:v>
      </x:c>
      <x:c r="P564" s="21" t="str">
        <x:v>5 acceptance criteria; 5 TC references; implementation=yes; smoke=yes; automated=no; Story-level regression template</x:v>
      </x:c>
      <x:c r="Q564" s="21" t="str"/>
      <x:c r="R564" s="21" t="str">
        <x:v>Retain traceability; rerun focused verification if the affected boundary changes.</x:v>
      </x:c>
      <x:c r="S564" s="18" t="str"/>
      <x:c r="T564" s="20"/>
      <x:c r="U564" s="21" t="str">
        <x:v>Completion is based on immutable repository evidence; tests were not rerun and current working-tree drift was not re-certified in this reporting-only task.</x:v>
      </x:c>
      <x:c r="V564" s="1"/>
    </x:row>
    <x:row r="565" ht="46" customHeight="1">
      <x:c r="A565" s="17" t="n">
        <x:v>561</x:v>
      </x:c>
      <x:c r="B565" s="17" t="str">
        <x:v>Phase 2</x:v>
      </x:c>
      <x:c r="C565" s="17" t="str">
        <x:v>25.1</x:v>
      </x:c>
      <x:c r="D565" s="21" t="str">
        <x:v>Approved Template Library</x:v>
      </x:c>
      <x:c r="E565" s="17" t="n">
        <x:v>3</x:v>
      </x:c>
      <x:c r="F565" s="21" t="str">
        <x:v>Add template preview and version history.</x:v>
      </x:c>
      <x:c r="G565" s="17" t="str">
        <x:v>Software implementation</x:v>
      </x:c>
      <x:c r="H565" s="17" t="str">
        <x:v>Planned</x:v>
      </x:c>
      <x:c r="I565" s="18" t="str">
        <x:v>Completed</x:v>
      </x:c>
      <x:c r="J565" s="17" t="str">
        <x:f>IF(OR(I565="Completed",I565="Not Applicable"),"No","Yes")</x:f>
        <x:v>No</x:v>
      </x:c>
      <x:c r="K565" s="17" t="str">
        <x:v>25.1 task 2</x:v>
      </x:c>
      <x:c r="L565" s="21" t="str">
        <x:v>Story-labeled commit 0daa2526 contains delivery and focused test/test-result files: feat: implement story 25.1 policy template library</x:v>
      </x:c>
      <x:c r="M565" s="17" t="str">
        <x:v>Implementation commit + focused test artifacts</x:v>
      </x:c>
      <x:c r="N565" s="21" t="str">
        <x:v>git commit 0daa252632f9726dbf8dc1d2eb9f5468326d4301; /Users/devups/Development/CodexProjects/Gccs/docs/development-story-test-cases.md</x:v>
      </x:c>
      <x:c r="O565" s="19" t="n">
        <x:v>46190.994166666664</x:v>
      </x:c>
      <x:c r="P565" s="21" t="str">
        <x:v>5 acceptance criteria; 5 TC references; implementation=yes; smoke=yes; automated=no; Story-level regression template</x:v>
      </x:c>
      <x:c r="Q565" s="21" t="str"/>
      <x:c r="R565" s="21" t="str">
        <x:v>Retain traceability; rerun focused verification if the affected boundary changes.</x:v>
      </x:c>
      <x:c r="S565" s="18" t="str"/>
      <x:c r="T565" s="20"/>
      <x:c r="U565" s="21" t="str">
        <x:v>Completion is based on immutable repository evidence; tests were not rerun and current working-tree drift was not re-certified in this reporting-only task.</x:v>
      </x:c>
      <x:c r="V565" s="1"/>
    </x:row>
    <x:row r="566" ht="46" customHeight="1">
      <x:c r="A566" s="17" t="n">
        <x:v>562</x:v>
      </x:c>
      <x:c r="B566" s="17" t="str">
        <x:v>Phase 2</x:v>
      </x:c>
      <x:c r="C566" s="17" t="str">
        <x:v>25.1</x:v>
      </x:c>
      <x:c r="D566" s="21" t="str">
        <x:v>Approved Template Library</x:v>
      </x:c>
      <x:c r="E566" s="17" t="n">
        <x:v>4</x:v>
      </x:c>
      <x:c r="F566" s="21" t="str">
        <x:v>Add validation that approved templates include source references and review metadata.</x:v>
      </x:c>
      <x:c r="G566" s="17" t="str">
        <x:v>Software implementation</x:v>
      </x:c>
      <x:c r="H566" s="17" t="str">
        <x:v>Planned</x:v>
      </x:c>
      <x:c r="I566" s="18" t="str">
        <x:v>Completed</x:v>
      </x:c>
      <x:c r="J566" s="17" t="str">
        <x:f>IF(OR(I566="Completed",I566="Not Applicable"),"No","Yes")</x:f>
        <x:v>No</x:v>
      </x:c>
      <x:c r="K566" s="17" t="str">
        <x:v>25.1 task 3</x:v>
      </x:c>
      <x:c r="L566" s="21" t="str">
        <x:v>Story-labeled commit 0daa2526 contains delivery and focused test/test-result files: feat: implement story 25.1 policy template library</x:v>
      </x:c>
      <x:c r="M566" s="17" t="str">
        <x:v>Implementation commit + focused test artifacts</x:v>
      </x:c>
      <x:c r="N566" s="21" t="str">
        <x:v>git commit 0daa252632f9726dbf8dc1d2eb9f5468326d4301; /Users/devups/Development/CodexProjects/Gccs/docs/development-story-test-cases.md</x:v>
      </x:c>
      <x:c r="O566" s="19" t="n">
        <x:v>46190.994166666664</x:v>
      </x:c>
      <x:c r="P566" s="21" t="str">
        <x:v>5 acceptance criteria; 5 TC references; implementation=yes; smoke=yes; automated=no; Story-level regression template</x:v>
      </x:c>
      <x:c r="Q566" s="21" t="str"/>
      <x:c r="R566" s="21" t="str">
        <x:v>Retain traceability; rerun focused verification if the affected boundary changes.</x:v>
      </x:c>
      <x:c r="S566" s="18" t="str"/>
      <x:c r="T566" s="20"/>
      <x:c r="U566" s="21" t="str">
        <x:v>Completion is based on immutable repository evidence; tests were not rerun and current working-tree drift was not re-certified in this reporting-only task.</x:v>
      </x:c>
      <x:c r="V566" s="1"/>
    </x:row>
    <x:row r="567" ht="46" customHeight="1">
      <x:c r="A567" s="17" t="n">
        <x:v>563</x:v>
      </x:c>
      <x:c r="B567" s="17" t="str">
        <x:v>Phase 2</x:v>
      </x:c>
      <x:c r="C567" s="17" t="str">
        <x:v>25.1</x:v>
      </x:c>
      <x:c r="D567" s="21" t="str">
        <x:v>Approved Template Library</x:v>
      </x:c>
      <x:c r="E567" s="17" t="n">
        <x:v>5</x:v>
      </x:c>
      <x:c r="F567" s="21" t="str">
        <x:v>Add audit events for template lifecycle changes.</x:v>
      </x:c>
      <x:c r="G567" s="17" t="str">
        <x:v>Software implementation</x:v>
      </x:c>
      <x:c r="H567" s="17" t="str">
        <x:v>Planned</x:v>
      </x:c>
      <x:c r="I567" s="18" t="str">
        <x:v>Completed</x:v>
      </x:c>
      <x:c r="J567" s="17" t="str">
        <x:f>IF(OR(I567="Completed",I567="Not Applicable"),"No","Yes")</x:f>
        <x:v>No</x:v>
      </x:c>
      <x:c r="K567" s="17" t="str">
        <x:v>25.1 task 4</x:v>
      </x:c>
      <x:c r="L567" s="21" t="str">
        <x:v>Story-labeled commit 0daa2526 contains delivery and focused test/test-result files: feat: implement story 25.1 policy template library</x:v>
      </x:c>
      <x:c r="M567" s="17" t="str">
        <x:v>Implementation commit + focused test artifacts</x:v>
      </x:c>
      <x:c r="N567" s="21" t="str">
        <x:v>git commit 0daa252632f9726dbf8dc1d2eb9f5468326d4301; /Users/devups/Development/CodexProjects/Gccs/docs/development-story-test-cases.md</x:v>
      </x:c>
      <x:c r="O567" s="19" t="n">
        <x:v>46190.994166666664</x:v>
      </x:c>
      <x:c r="P567" s="21" t="str">
        <x:v>5 acceptance criteria; 5 TC references; implementation=yes; smoke=yes; automated=no; Story-level regression template</x:v>
      </x:c>
      <x:c r="Q567" s="21" t="str"/>
      <x:c r="R567" s="21" t="str">
        <x:v>Retain traceability; rerun focused verification if the affected boundary changes.</x:v>
      </x:c>
      <x:c r="S567" s="18" t="str"/>
      <x:c r="T567" s="20"/>
      <x:c r="U567" s="21" t="str">
        <x:v>Completion is based on immutable repository evidence; tests were not rerun and current working-tree drift was not re-certified in this reporting-only task.</x:v>
      </x:c>
      <x:c r="V567" s="1"/>
    </x:row>
    <x:row r="568" ht="46" customHeight="1">
      <x:c r="A568" s="17" t="n">
        <x:v>564</x:v>
      </x:c>
      <x:c r="B568" s="17" t="str">
        <x:v>Phase 2</x:v>
      </x:c>
      <x:c r="C568" s="17" t="str">
        <x:v>25.2</x:v>
      </x:c>
      <x:c r="D568" s="21" t="str">
        <x:v>Generate Draft Policy From Template</x:v>
      </x:c>
      <x:c r="E568" s="17" t="n">
        <x:v>1</x:v>
      </x:c>
      <x:c r="F568" s="21" t="str">
        <x:v>Add template selection workflow.</x:v>
      </x:c>
      <x:c r="G568" s="17" t="str">
        <x:v>Software implementation</x:v>
      </x:c>
      <x:c r="H568" s="17" t="str">
        <x:v>Planned</x:v>
      </x:c>
      <x:c r="I568" s="18" t="str">
        <x:v>Completed</x:v>
      </x:c>
      <x:c r="J568" s="17" t="str">
        <x:f>IF(OR(I568="Completed",I568="Not Applicable"),"No","Yes")</x:f>
        <x:v>No</x:v>
      </x:c>
      <x:c r="K568" s="17" t="str">
        <x:v>25.1</x:v>
      </x:c>
      <x:c r="L568" s="21" t="str">
        <x:v>Story-labeled commit dd077072 contains delivery and focused test/test-result files: feat: implement story 25.2 draft policy generation</x:v>
      </x:c>
      <x:c r="M568" s="17" t="str">
        <x:v>Implementation commit + focused test artifacts</x:v>
      </x:c>
      <x:c r="N568" s="21" t="str">
        <x:v>git commit dd077072409d94ba77c2809d84b1c5920c4ec093; /Users/devups/Development/CodexProjects/Gccs/docs/development-story-test-cases.md</x:v>
      </x:c>
      <x:c r="O568" s="19" t="n">
        <x:v>46190.99681712963</x:v>
      </x:c>
      <x:c r="P568" s="21" t="str">
        <x:v>5 acceptance criteria; 5 TC references; implementation=yes; smoke=yes; automated=no; Story-level regression template</x:v>
      </x:c>
      <x:c r="Q568" s="21" t="str"/>
      <x:c r="R568" s="21" t="str">
        <x:v>Retain traceability; rerun focused verification if the affected boundary changes.</x:v>
      </x:c>
      <x:c r="S568" s="18" t="str"/>
      <x:c r="T568" s="20"/>
      <x:c r="U568" s="21" t="str">
        <x:v>Completion is based on immutable repository evidence; tests were not rerun and current working-tree drift was not re-certified in this reporting-only task.</x:v>
      </x:c>
      <x:c r="V568" s="1"/>
    </x:row>
    <x:row r="569" ht="46" customHeight="1">
      <x:c r="A569" s="17" t="n">
        <x:v>565</x:v>
      </x:c>
      <x:c r="B569" s="17" t="str">
        <x:v>Phase 2</x:v>
      </x:c>
      <x:c r="C569" s="17" t="str">
        <x:v>25.2</x:v>
      </x:c>
      <x:c r="D569" s="21" t="str">
        <x:v>Generate Draft Policy From Template</x:v>
      </x:c>
      <x:c r="E569" s="17" t="n">
        <x:v>2</x:v>
      </x:c>
      <x:c r="F569" s="21" t="str">
        <x:v>Populate placeholders from company profile, contract, obligation, and CMMC context where available.</x:v>
      </x:c>
      <x:c r="G569" s="17" t="str">
        <x:v>Software implementation</x:v>
      </x:c>
      <x:c r="H569" s="17" t="str">
        <x:v>Planned</x:v>
      </x:c>
      <x:c r="I569" s="18" t="str">
        <x:v>Completed</x:v>
      </x:c>
      <x:c r="J569" s="17" t="str">
        <x:f>IF(OR(I569="Completed",I569="Not Applicable"),"No","Yes")</x:f>
        <x:v>No</x:v>
      </x:c>
      <x:c r="K569" s="17" t="str">
        <x:v>25.2 task 1</x:v>
      </x:c>
      <x:c r="L569" s="21" t="str">
        <x:v>Story-labeled commit dd077072 contains delivery and focused test/test-result files: feat: implement story 25.2 draft policy generation</x:v>
      </x:c>
      <x:c r="M569" s="17" t="str">
        <x:v>Implementation commit + focused test artifacts</x:v>
      </x:c>
      <x:c r="N569" s="21" t="str">
        <x:v>git commit dd077072409d94ba77c2809d84b1c5920c4ec093; /Users/devups/Development/CodexProjects/Gccs/docs/development-story-test-cases.md</x:v>
      </x:c>
      <x:c r="O569" s="19" t="n">
        <x:v>46190.99681712963</x:v>
      </x:c>
      <x:c r="P569" s="21" t="str">
        <x:v>5 acceptance criteria; 5 TC references; implementation=yes; smoke=yes; automated=no; Story-level regression template</x:v>
      </x:c>
      <x:c r="Q569" s="21" t="str"/>
      <x:c r="R569" s="21" t="str">
        <x:v>Retain traceability; rerun focused verification if the affected boundary changes.</x:v>
      </x:c>
      <x:c r="S569" s="18" t="str"/>
      <x:c r="T569" s="20"/>
      <x:c r="U569" s="21" t="str">
        <x:v>Completion is based on immutable repository evidence; tests were not rerun and current working-tree drift was not re-certified in this reporting-only task.</x:v>
      </x:c>
      <x:c r="V569" s="1"/>
    </x:row>
    <x:row r="570" ht="46" customHeight="1">
      <x:c r="A570" s="17" t="n">
        <x:v>566</x:v>
      </x:c>
      <x:c r="B570" s="17" t="str">
        <x:v>Phase 2</x:v>
      </x:c>
      <x:c r="C570" s="17" t="str">
        <x:v>25.2</x:v>
      </x:c>
      <x:c r="D570" s="21" t="str">
        <x:v>Generate Draft Policy From Template</x:v>
      </x:c>
      <x:c r="E570" s="17" t="n">
        <x:v>3</x:v>
      </x:c>
      <x:c r="F570" s="21" t="str">
        <x:v>Mark generated policy as draft.</x:v>
      </x:c>
      <x:c r="G570" s="17" t="str">
        <x:v>Software implementation</x:v>
      </x:c>
      <x:c r="H570" s="17" t="str">
        <x:v>Planned</x:v>
      </x:c>
      <x:c r="I570" s="18" t="str">
        <x:v>Completed</x:v>
      </x:c>
      <x:c r="J570" s="17" t="str">
        <x:f>IF(OR(I570="Completed",I570="Not Applicable"),"No","Yes")</x:f>
        <x:v>No</x:v>
      </x:c>
      <x:c r="K570" s="17" t="str">
        <x:v>25.2 task 2</x:v>
      </x:c>
      <x:c r="L570" s="21" t="str">
        <x:v>Story-labeled commit dd077072 contains delivery and focused test/test-result files: feat: implement story 25.2 draft policy generation</x:v>
      </x:c>
      <x:c r="M570" s="17" t="str">
        <x:v>Implementation commit + focused test artifacts</x:v>
      </x:c>
      <x:c r="N570" s="21" t="str">
        <x:v>git commit dd077072409d94ba77c2809d84b1c5920c4ec093; /Users/devups/Development/CodexProjects/Gccs/docs/development-story-test-cases.md</x:v>
      </x:c>
      <x:c r="O570" s="19" t="n">
        <x:v>46190.99681712963</x:v>
      </x:c>
      <x:c r="P570" s="21" t="str">
        <x:v>5 acceptance criteria; 5 TC references; implementation=yes; smoke=yes; automated=no; Story-level regression template</x:v>
      </x:c>
      <x:c r="Q570" s="21" t="str"/>
      <x:c r="R570" s="21" t="str">
        <x:v>Retain traceability; rerun focused verification if the affected boundary changes.</x:v>
      </x:c>
      <x:c r="S570" s="18" t="str"/>
      <x:c r="T570" s="20"/>
      <x:c r="U570" s="21" t="str">
        <x:v>Completion is based on immutable repository evidence; tests were not rerun and current working-tree drift was not re-certified in this reporting-only task.</x:v>
      </x:c>
      <x:c r="V570" s="1"/>
    </x:row>
    <x:row r="571" ht="46" customHeight="1">
      <x:c r="A571" s="17" t="n">
        <x:v>567</x:v>
      </x:c>
      <x:c r="B571" s="17" t="str">
        <x:v>Phase 2</x:v>
      </x:c>
      <x:c r="C571" s="17" t="str">
        <x:v>25.2</x:v>
      </x:c>
      <x:c r="D571" s="21" t="str">
        <x:v>Generate Draft Policy From Template</x:v>
      </x:c>
      <x:c r="E571" s="17" t="n">
        <x:v>4</x:v>
      </x:c>
      <x:c r="F571" s="21" t="str">
        <x:v>Store source template version and generation date.</x:v>
      </x:c>
      <x:c r="G571" s="17" t="str">
        <x:v>Software implementation</x:v>
      </x:c>
      <x:c r="H571" s="17" t="str">
        <x:v>Planned</x:v>
      </x:c>
      <x:c r="I571" s="18" t="str">
        <x:v>Completed</x:v>
      </x:c>
      <x:c r="J571" s="17" t="str">
        <x:f>IF(OR(I571="Completed",I571="Not Applicable"),"No","Yes")</x:f>
        <x:v>No</x:v>
      </x:c>
      <x:c r="K571" s="17" t="str">
        <x:v>25.2 task 3</x:v>
      </x:c>
      <x:c r="L571" s="21" t="str">
        <x:v>Story-labeled commit dd077072 contains delivery and focused test/test-result files: feat: implement story 25.2 draft policy generation</x:v>
      </x:c>
      <x:c r="M571" s="17" t="str">
        <x:v>Implementation commit + focused test artifacts</x:v>
      </x:c>
      <x:c r="N571" s="21" t="str">
        <x:v>git commit dd077072409d94ba77c2809d84b1c5920c4ec093; /Users/devups/Development/CodexProjects/Gccs/docs/development-story-test-cases.md</x:v>
      </x:c>
      <x:c r="O571" s="19" t="n">
        <x:v>46190.99681712963</x:v>
      </x:c>
      <x:c r="P571" s="21" t="str">
        <x:v>5 acceptance criteria; 5 TC references; implementation=yes; smoke=yes; automated=no; Story-level regression template</x:v>
      </x:c>
      <x:c r="Q571" s="21" t="str"/>
      <x:c r="R571" s="21" t="str">
        <x:v>Retain traceability; rerun focused verification if the affected boundary changes.</x:v>
      </x:c>
      <x:c r="S571" s="18" t="str"/>
      <x:c r="T571" s="20"/>
      <x:c r="U571" s="21" t="str">
        <x:v>Completion is based on immutable repository evidence; tests were not rerun and current working-tree drift was not re-certified in this reporting-only task.</x:v>
      </x:c>
      <x:c r="V571" s="1"/>
    </x:row>
    <x:row r="572" ht="46" customHeight="1">
      <x:c r="A572" s="17" t="n">
        <x:v>568</x:v>
      </x:c>
      <x:c r="B572" s="17" t="str">
        <x:v>Phase 2</x:v>
      </x:c>
      <x:c r="C572" s="17" t="str">
        <x:v>25.2</x:v>
      </x:c>
      <x:c r="D572" s="21" t="str">
        <x:v>Generate Draft Policy From Template</x:v>
      </x:c>
      <x:c r="E572" s="17" t="n">
        <x:v>5</x:v>
      </x:c>
      <x:c r="F572" s="21" t="str">
        <x:v>Add edit and save workflow in the evidence vault or policy area.</x:v>
      </x:c>
      <x:c r="G572" s="17" t="str">
        <x:v>Software implementation</x:v>
      </x:c>
      <x:c r="H572" s="17" t="str">
        <x:v>Planned</x:v>
      </x:c>
      <x:c r="I572" s="18" t="str">
        <x:v>Completed</x:v>
      </x:c>
      <x:c r="J572" s="17" t="str">
        <x:f>IF(OR(I572="Completed",I572="Not Applicable"),"No","Yes")</x:f>
        <x:v>No</x:v>
      </x:c>
      <x:c r="K572" s="17" t="str">
        <x:v>25.2 task 4</x:v>
      </x:c>
      <x:c r="L572" s="21" t="str">
        <x:v>Story-labeled commit dd077072 contains delivery and focused test/test-result files: feat: implement story 25.2 draft policy generation</x:v>
      </x:c>
      <x:c r="M572" s="17" t="str">
        <x:v>Implementation commit + focused test artifacts</x:v>
      </x:c>
      <x:c r="N572" s="21" t="str">
        <x:v>git commit dd077072409d94ba77c2809d84b1c5920c4ec093; /Users/devups/Development/CodexProjects/Gccs/docs/development-story-test-cases.md</x:v>
      </x:c>
      <x:c r="O572" s="19" t="n">
        <x:v>46190.99681712963</x:v>
      </x:c>
      <x:c r="P572" s="21" t="str">
        <x:v>5 acceptance criteria; 5 TC references; implementation=yes; smoke=yes; automated=no; Story-level regression template</x:v>
      </x:c>
      <x:c r="Q572" s="21" t="str"/>
      <x:c r="R572" s="21" t="str">
        <x:v>Retain traceability; rerun focused verification if the affected boundary changes.</x:v>
      </x:c>
      <x:c r="S572" s="18" t="str"/>
      <x:c r="T572" s="20"/>
      <x:c r="U572" s="21" t="str">
        <x:v>Completion is based on immutable repository evidence; tests were not rerun and current working-tree drift was not re-certified in this reporting-only task.</x:v>
      </x:c>
      <x:c r="V572" s="1"/>
    </x:row>
    <x:row r="573" ht="46" customHeight="1">
      <x:c r="A573" s="17" t="n">
        <x:v>569</x:v>
      </x:c>
      <x:c r="B573" s="17" t="str">
        <x:v>Phase 2</x:v>
      </x:c>
      <x:c r="C573" s="17" t="str">
        <x:v>25.3</x:v>
      </x:c>
      <x:c r="D573" s="21" t="str">
        <x:v>Policy Approval And Evidence Linking</x:v>
      </x:c>
      <x:c r="E573" s="17" t="n">
        <x:v>1</x:v>
      </x:c>
      <x:c r="F573" s="21" t="str">
        <x:v>Add tenant-level policy approval status and approver metadata.</x:v>
      </x:c>
      <x:c r="G573" s="17" t="str">
        <x:v>Software implementation</x:v>
      </x:c>
      <x:c r="H573" s="17" t="str">
        <x:v>Planned</x:v>
      </x:c>
      <x:c r="I573" s="18" t="str">
        <x:v>Completed</x:v>
      </x:c>
      <x:c r="J573" s="17" t="str">
        <x:f>IF(OR(I573="Completed",I573="Not Applicable"),"No","Yes")</x:f>
        <x:v>No</x:v>
      </x:c>
      <x:c r="K573" s="17" t="str">
        <x:v>25.2</x:v>
      </x:c>
      <x:c r="L573" s="21" t="str">
        <x:v>Story-labeled commit 64f25a5b contains delivery and focused test/test-result files: feat: implement story 25.3 policy approval evidence</x:v>
      </x:c>
      <x:c r="M573" s="17" t="str">
        <x:v>Implementation commit + focused test artifacts</x:v>
      </x:c>
      <x:c r="N573" s="21" t="str">
        <x:v>git commit 64f25a5b3b453a23b76542620c3cc66427703b14; /Users/devups/Development/CodexProjects/Gccs/docs/development-story-test-cases.md</x:v>
      </x:c>
      <x:c r="O573" s="19" t="n">
        <x:v>46191.00017361111</x:v>
      </x:c>
      <x:c r="P573" s="21" t="str">
        <x:v>5 acceptance criteria; 5 TC references; implementation=yes; smoke=yes; automated=no; Story-level regression template</x:v>
      </x:c>
      <x:c r="Q573" s="21" t="str"/>
      <x:c r="R573" s="21" t="str">
        <x:v>Retain traceability; rerun focused verification if the affected boundary changes.</x:v>
      </x:c>
      <x:c r="S573" s="18" t="str"/>
      <x:c r="T573" s="20"/>
      <x:c r="U573" s="21" t="str">
        <x:v>Completion is based on immutable repository evidence; tests were not rerun and current working-tree drift was not re-certified in this reporting-only task.</x:v>
      </x:c>
      <x:c r="V573" s="1"/>
    </x:row>
    <x:row r="574" ht="46" customHeight="1">
      <x:c r="A574" s="17" t="n">
        <x:v>570</x:v>
      </x:c>
      <x:c r="B574" s="17" t="str">
        <x:v>Phase 2</x:v>
      </x:c>
      <x:c r="C574" s="17" t="str">
        <x:v>25.3</x:v>
      </x:c>
      <x:c r="D574" s="21" t="str">
        <x:v>Policy Approval And Evidence Linking</x:v>
      </x:c>
      <x:c r="E574" s="17" t="n">
        <x:v>2</x:v>
      </x:c>
      <x:c r="F574" s="21" t="str">
        <x:v>Allow approved policies to be linked to obligations, CMMC controls, and evidence packages.</x:v>
      </x:c>
      <x:c r="G574" s="17" t="str">
        <x:v>Software implementation</x:v>
      </x:c>
      <x:c r="H574" s="17" t="str">
        <x:v>Planned</x:v>
      </x:c>
      <x:c r="I574" s="18" t="str">
        <x:v>Completed</x:v>
      </x:c>
      <x:c r="J574" s="17" t="str">
        <x:f>IF(OR(I574="Completed",I574="Not Applicable"),"No","Yes")</x:f>
        <x:v>No</x:v>
      </x:c>
      <x:c r="K574" s="17" t="str">
        <x:v>25.3 task 1</x:v>
      </x:c>
      <x:c r="L574" s="21" t="str">
        <x:v>Story-labeled commit 64f25a5b contains delivery and focused test/test-result files: feat: implement story 25.3 policy approval evidence</x:v>
      </x:c>
      <x:c r="M574" s="17" t="str">
        <x:v>Implementation commit + focused test artifacts</x:v>
      </x:c>
      <x:c r="N574" s="21" t="str">
        <x:v>git commit 64f25a5b3b453a23b76542620c3cc66427703b14; /Users/devups/Development/CodexProjects/Gccs/docs/development-story-test-cases.md</x:v>
      </x:c>
      <x:c r="O574" s="19" t="n">
        <x:v>46191.00017361111</x:v>
      </x:c>
      <x:c r="P574" s="21" t="str">
        <x:v>5 acceptance criteria; 5 TC references; implementation=yes; smoke=yes; automated=no; Story-level regression template</x:v>
      </x:c>
      <x:c r="Q574" s="21" t="str"/>
      <x:c r="R574" s="21" t="str">
        <x:v>Retain traceability; rerun focused verification if the affected boundary changes.</x:v>
      </x:c>
      <x:c r="S574" s="18" t="str"/>
      <x:c r="T574" s="20"/>
      <x:c r="U574" s="21" t="str">
        <x:v>Completion is based on immutable repository evidence; tests were not rerun and current working-tree drift was not re-certified in this reporting-only task.</x:v>
      </x:c>
      <x:c r="V574" s="1"/>
    </x:row>
    <x:row r="575" ht="46" customHeight="1">
      <x:c r="A575" s="17" t="n">
        <x:v>571</x:v>
      </x:c>
      <x:c r="B575" s="17" t="str">
        <x:v>Phase 2</x:v>
      </x:c>
      <x:c r="C575" s="17" t="str">
        <x:v>25.3</x:v>
      </x:c>
      <x:c r="D575" s="21" t="str">
        <x:v>Policy Approval And Evidence Linking</x:v>
      </x:c>
      <x:c r="E575" s="17" t="n">
        <x:v>3</x:v>
      </x:c>
      <x:c r="F575" s="21" t="str">
        <x:v>Add expiration or review date tracking.</x:v>
      </x:c>
      <x:c r="G575" s="17" t="str">
        <x:v>Software implementation</x:v>
      </x:c>
      <x:c r="H575" s="17" t="str">
        <x:v>Planned</x:v>
      </x:c>
      <x:c r="I575" s="18" t="str">
        <x:v>Completed</x:v>
      </x:c>
      <x:c r="J575" s="17" t="str">
        <x:f>IF(OR(I575="Completed",I575="Not Applicable"),"No","Yes")</x:f>
        <x:v>No</x:v>
      </x:c>
      <x:c r="K575" s="17" t="str">
        <x:v>25.3 task 2</x:v>
      </x:c>
      <x:c r="L575" s="21" t="str">
        <x:v>Story-labeled commit 64f25a5b contains delivery and focused test/test-result files: feat: implement story 25.3 policy approval evidence</x:v>
      </x:c>
      <x:c r="M575" s="17" t="str">
        <x:v>Implementation commit + focused test artifacts</x:v>
      </x:c>
      <x:c r="N575" s="21" t="str">
        <x:v>git commit 64f25a5b3b453a23b76542620c3cc66427703b14; /Users/devups/Development/CodexProjects/Gccs/docs/development-story-test-cases.md</x:v>
      </x:c>
      <x:c r="O575" s="19" t="n">
        <x:v>46191.00017361111</x:v>
      </x:c>
      <x:c r="P575" s="21" t="str">
        <x:v>5 acceptance criteria; 5 TC references; implementation=yes; smoke=yes; automated=no; Story-level regression template</x:v>
      </x:c>
      <x:c r="Q575" s="21" t="str"/>
      <x:c r="R575" s="21" t="str">
        <x:v>Retain traceability; rerun focused verification if the affected boundary changes.</x:v>
      </x:c>
      <x:c r="S575" s="18" t="str"/>
      <x:c r="T575" s="20"/>
      <x:c r="U575" s="21" t="str">
        <x:v>Completion is based on immutable repository evidence; tests were not rerun and current working-tree drift was not re-certified in this reporting-only task.</x:v>
      </x:c>
      <x:c r="V575" s="1"/>
    </x:row>
    <x:row r="576" ht="46" customHeight="1">
      <x:c r="A576" s="17" t="n">
        <x:v>572</x:v>
      </x:c>
      <x:c r="B576" s="17" t="str">
        <x:v>Phase 2</x:v>
      </x:c>
      <x:c r="C576" s="17" t="str">
        <x:v>25.3</x:v>
      </x:c>
      <x:c r="D576" s="21" t="str">
        <x:v>Policy Approval And Evidence Linking</x:v>
      </x:c>
      <x:c r="E576" s="17" t="n">
        <x:v>4</x:v>
      </x:c>
      <x:c r="F576" s="21" t="str">
        <x:v>Add audit trail for approval, rejection, and revision.</x:v>
      </x:c>
      <x:c r="G576" s="17" t="str">
        <x:v>Software implementation</x:v>
      </x:c>
      <x:c r="H576" s="17" t="str">
        <x:v>Planned</x:v>
      </x:c>
      <x:c r="I576" s="18" t="str">
        <x:v>Completed</x:v>
      </x:c>
      <x:c r="J576" s="17" t="str">
        <x:f>IF(OR(I576="Completed",I576="Not Applicable"),"No","Yes")</x:f>
        <x:v>No</x:v>
      </x:c>
      <x:c r="K576" s="17" t="str">
        <x:v>25.3 task 3</x:v>
      </x:c>
      <x:c r="L576" s="21" t="str">
        <x:v>Story-labeled commit 64f25a5b contains delivery and focused test/test-result files: feat: implement story 25.3 policy approval evidence</x:v>
      </x:c>
      <x:c r="M576" s="17" t="str">
        <x:v>Implementation commit + focused test artifacts</x:v>
      </x:c>
      <x:c r="N576" s="21" t="str">
        <x:v>git commit 64f25a5b3b453a23b76542620c3cc66427703b14; /Users/devups/Development/CodexProjects/Gccs/docs/development-story-test-cases.md</x:v>
      </x:c>
      <x:c r="O576" s="19" t="n">
        <x:v>46191.00017361111</x:v>
      </x:c>
      <x:c r="P576" s="21" t="str">
        <x:v>5 acceptance criteria; 5 TC references; implementation=yes; smoke=yes; automated=no; Story-level regression template</x:v>
      </x:c>
      <x:c r="Q576" s="21" t="str"/>
      <x:c r="R576" s="21" t="str">
        <x:v>Retain traceability; rerun focused verification if the affected boundary changes.</x:v>
      </x:c>
      <x:c r="S576" s="18" t="str"/>
      <x:c r="T576" s="20"/>
      <x:c r="U576" s="21" t="str">
        <x:v>Completion is based on immutable repository evidence; tests were not rerun and current working-tree drift was not re-certified in this reporting-only task.</x:v>
      </x:c>
      <x:c r="V576" s="1"/>
    </x:row>
    <x:row r="577" ht="46" customHeight="1">
      <x:c r="A577" s="17" t="n">
        <x:v>573</x:v>
      </x:c>
      <x:c r="B577" s="17" t="str">
        <x:v>Phase 2</x:v>
      </x:c>
      <x:c r="C577" s="17" t="str">
        <x:v>25.3</x:v>
      </x:c>
      <x:c r="D577" s="21" t="str">
        <x:v>Policy Approval And Evidence Linking</x:v>
      </x:c>
      <x:c r="E577" s="17" t="n">
        <x:v>5</x:v>
      </x:c>
      <x:c r="F577" s="21" t="str">
        <x:v>Add report inclusion for approved policies.</x:v>
      </x:c>
      <x:c r="G577" s="17" t="str">
        <x:v>Software implementation</x:v>
      </x:c>
      <x:c r="H577" s="17" t="str">
        <x:v>Planned</x:v>
      </x:c>
      <x:c r="I577" s="18" t="str">
        <x:v>Completed</x:v>
      </x:c>
      <x:c r="J577" s="17" t="str">
        <x:f>IF(OR(I577="Completed",I577="Not Applicable"),"No","Yes")</x:f>
        <x:v>No</x:v>
      </x:c>
      <x:c r="K577" s="17" t="str">
        <x:v>25.3 task 4</x:v>
      </x:c>
      <x:c r="L577" s="21" t="str">
        <x:v>Story-labeled commit 64f25a5b contains delivery and focused test/test-result files: feat: implement story 25.3 policy approval evidence</x:v>
      </x:c>
      <x:c r="M577" s="17" t="str">
        <x:v>Implementation commit + focused test artifacts</x:v>
      </x:c>
      <x:c r="N577" s="21" t="str">
        <x:v>git commit 64f25a5b3b453a23b76542620c3cc66427703b14; /Users/devups/Development/CodexProjects/Gccs/docs/development-story-test-cases.md</x:v>
      </x:c>
      <x:c r="O577" s="19" t="n">
        <x:v>46191.00017361111</x:v>
      </x:c>
      <x:c r="P577" s="21" t="str">
        <x:v>5 acceptance criteria; 5 TC references; implementation=yes; smoke=yes; automated=no; Story-level regression template</x:v>
      </x:c>
      <x:c r="Q577" s="21" t="str"/>
      <x:c r="R577" s="21" t="str">
        <x:v>Retain traceability; rerun focused verification if the affected boundary changes.</x:v>
      </x:c>
      <x:c r="S577" s="18" t="str"/>
      <x:c r="T577" s="20"/>
      <x:c r="U577" s="21" t="str">
        <x:v>Completion is based on immutable repository evidence; tests were not rerun and current working-tree drift was not re-certified in this reporting-only task.</x:v>
      </x:c>
      <x:c r="V577" s="1"/>
    </x:row>
    <x:row r="578" ht="46" customHeight="1">
      <x:c r="A578" s="17" t="n">
        <x:v>574</x:v>
      </x:c>
      <x:c r="B578" s="17" t="str">
        <x:v>Phase 2</x:v>
      </x:c>
      <x:c r="C578" s="17" t="str">
        <x:v>26.1</x:v>
      </x:c>
      <x:c r="D578" s="21" t="str">
        <x:v>Evidence Request Creation</x:v>
      </x:c>
      <x:c r="E578" s="17" t="n">
        <x:v>1</x:v>
      </x:c>
      <x:c r="F578" s="21" t="str">
        <x:v>Add evidence request model with requester, assignee, related record, due date, status, instructions, required evidence type, and priority.</x:v>
      </x:c>
      <x:c r="G578" s="17" t="str">
        <x:v>Software implementation</x:v>
      </x:c>
      <x:c r="H578" s="17" t="str">
        <x:v>Planned</x:v>
      </x:c>
      <x:c r="I578" s="18" t="str">
        <x:v>Completed</x:v>
      </x:c>
      <x:c r="J578" s="17" t="str">
        <x:f>IF(OR(I578="Completed",I578="Not Applicable"),"No","Yes")</x:f>
        <x:v>No</x:v>
      </x:c>
      <x:c r="K578" s="17" t="str">
        <x:v>25.3</x:v>
      </x:c>
      <x:c r="L578" s="21" t="str">
        <x:v>Story-labeled commit ac0e60c3 contains delivery and focused test/test-result files: feat: implement story 26.1 evidence request creation</x:v>
      </x:c>
      <x:c r="M578" s="17" t="str">
        <x:v>Implementation commit + focused test artifacts</x:v>
      </x:c>
      <x:c r="N578" s="21" t="str">
        <x:v>git commit ac0e60c32f9e130feafb02305447a890801c832d; /Users/devups/Development/CodexProjects/Gccs/docs/development-story-test-cases.md</x:v>
      </x:c>
      <x:c r="O578" s="19" t="n">
        <x:v>46191.003287037034</x:v>
      </x:c>
      <x:c r="P578" s="21" t="str">
        <x:v>5 acceptance criteria; 5 TC references; implementation=yes; smoke=yes; automated=no; Story-level regression template</x:v>
      </x:c>
      <x:c r="Q578" s="21" t="str"/>
      <x:c r="R578" s="21" t="str">
        <x:v>Retain traceability; rerun focused verification if the affected boundary changes.</x:v>
      </x:c>
      <x:c r="S578" s="18" t="str"/>
      <x:c r="T578" s="20"/>
      <x:c r="U578" s="21" t="str">
        <x:v>Completion is based on immutable repository evidence; tests were not rerun and current working-tree drift was not re-certified in this reporting-only task.</x:v>
      </x:c>
      <x:c r="V578" s="1"/>
    </x:row>
    <x:row r="579" ht="46" customHeight="1">
      <x:c r="A579" s="17" t="n">
        <x:v>575</x:v>
      </x:c>
      <x:c r="B579" s="17" t="str">
        <x:v>Phase 2</x:v>
      </x:c>
      <x:c r="C579" s="17" t="str">
        <x:v>26.1</x:v>
      </x:c>
      <x:c r="D579" s="21" t="str">
        <x:v>Evidence Request Creation</x:v>
      </x:c>
      <x:c r="E579" s="17" t="n">
        <x:v>2</x:v>
      </x:c>
      <x:c r="F579" s="21" t="str">
        <x:v>Add create workflow from obligation, control, contract, subcontractor, and evidence vault views.</x:v>
      </x:c>
      <x:c r="G579" s="17" t="str">
        <x:v>Software implementation</x:v>
      </x:c>
      <x:c r="H579" s="17" t="str">
        <x:v>Planned</x:v>
      </x:c>
      <x:c r="I579" s="18" t="str">
        <x:v>Completed</x:v>
      </x:c>
      <x:c r="J579" s="17" t="str">
        <x:f>IF(OR(I579="Completed",I579="Not Applicable"),"No","Yes")</x:f>
        <x:v>No</x:v>
      </x:c>
      <x:c r="K579" s="17" t="str">
        <x:v>26.1 task 1</x:v>
      </x:c>
      <x:c r="L579" s="21" t="str">
        <x:v>Story-labeled commit ac0e60c3 contains delivery and focused test/test-result files: feat: implement story 26.1 evidence request creation</x:v>
      </x:c>
      <x:c r="M579" s="17" t="str">
        <x:v>Implementation commit + focused test artifacts</x:v>
      </x:c>
      <x:c r="N579" s="21" t="str">
        <x:v>git commit ac0e60c32f9e130feafb02305447a890801c832d; /Users/devups/Development/CodexProjects/Gccs/docs/development-story-test-cases.md</x:v>
      </x:c>
      <x:c r="O579" s="19" t="n">
        <x:v>46191.003287037034</x:v>
      </x:c>
      <x:c r="P579" s="21" t="str">
        <x:v>5 acceptance criteria; 5 TC references; implementation=yes; smoke=yes; automated=no; Story-level regression template</x:v>
      </x:c>
      <x:c r="Q579" s="21" t="str"/>
      <x:c r="R579" s="21" t="str">
        <x:v>Retain traceability; rerun focused verification if the affected boundary changes.</x:v>
      </x:c>
      <x:c r="S579" s="18" t="str"/>
      <x:c r="T579" s="20"/>
      <x:c r="U579" s="21" t="str">
        <x:v>Completion is based on immutable repository evidence; tests were not rerun and current working-tree drift was not re-certified in this reporting-only task.</x:v>
      </x:c>
      <x:c r="V579" s="1"/>
    </x:row>
    <x:row r="580" ht="46" customHeight="1">
      <x:c r="A580" s="17" t="n">
        <x:v>576</x:v>
      </x:c>
      <x:c r="B580" s="17" t="str">
        <x:v>Phase 2</x:v>
      </x:c>
      <x:c r="C580" s="17" t="str">
        <x:v>26.1</x:v>
      </x:c>
      <x:c r="D580" s="21" t="str">
        <x:v>Evidence Request Creation</x:v>
      </x:c>
      <x:c r="E580" s="17" t="n">
        <x:v>3</x:v>
      </x:c>
      <x:c r="F580" s="21" t="str">
        <x:v>Add validation for assignee, due date, and related record permissions.</x:v>
      </x:c>
      <x:c r="G580" s="17" t="str">
        <x:v>Software implementation</x:v>
      </x:c>
      <x:c r="H580" s="17" t="str">
        <x:v>Planned</x:v>
      </x:c>
      <x:c r="I580" s="18" t="str">
        <x:v>Completed</x:v>
      </x:c>
      <x:c r="J580" s="17" t="str">
        <x:f>IF(OR(I580="Completed",I580="Not Applicable"),"No","Yes")</x:f>
        <x:v>No</x:v>
      </x:c>
      <x:c r="K580" s="17" t="str">
        <x:v>26.1 task 2</x:v>
      </x:c>
      <x:c r="L580" s="21" t="str">
        <x:v>Story-labeled commit ac0e60c3 contains delivery and focused test/test-result files: feat: implement story 26.1 evidence request creation</x:v>
      </x:c>
      <x:c r="M580" s="17" t="str">
        <x:v>Implementation commit + focused test artifacts</x:v>
      </x:c>
      <x:c r="N580" s="21" t="str">
        <x:v>git commit ac0e60c32f9e130feafb02305447a890801c832d; /Users/devups/Development/CodexProjects/Gccs/docs/development-story-test-cases.md</x:v>
      </x:c>
      <x:c r="O580" s="19" t="n">
        <x:v>46191.003287037034</x:v>
      </x:c>
      <x:c r="P580" s="21" t="str">
        <x:v>5 acceptance criteria; 5 TC references; implementation=yes; smoke=yes; automated=no; Story-level regression template</x:v>
      </x:c>
      <x:c r="Q580" s="21" t="str"/>
      <x:c r="R580" s="21" t="str">
        <x:v>Retain traceability; rerun focused verification if the affected boundary changes.</x:v>
      </x:c>
      <x:c r="S580" s="18" t="str"/>
      <x:c r="T580" s="20"/>
      <x:c r="U580" s="21" t="str">
        <x:v>Completion is based on immutable repository evidence; tests were not rerun and current working-tree drift was not re-certified in this reporting-only task.</x:v>
      </x:c>
      <x:c r="V580" s="1"/>
    </x:row>
    <x:row r="581" ht="46" customHeight="1">
      <x:c r="A581" s="17" t="n">
        <x:v>577</x:v>
      </x:c>
      <x:c r="B581" s="17" t="str">
        <x:v>Phase 2</x:v>
      </x:c>
      <x:c r="C581" s="17" t="str">
        <x:v>26.1</x:v>
      </x:c>
      <x:c r="D581" s="21" t="str">
        <x:v>Evidence Request Creation</x:v>
      </x:c>
      <x:c r="E581" s="17" t="n">
        <x:v>4</x:v>
      </x:c>
      <x:c r="F581" s="21" t="str">
        <x:v>Add notification on assignment.</x:v>
      </x:c>
      <x:c r="G581" s="17" t="str">
        <x:v>Software implementation</x:v>
      </x:c>
      <x:c r="H581" s="17" t="str">
        <x:v>Planned</x:v>
      </x:c>
      <x:c r="I581" s="18" t="str">
        <x:v>Completed</x:v>
      </x:c>
      <x:c r="J581" s="17" t="str">
        <x:f>IF(OR(I581="Completed",I581="Not Applicable"),"No","Yes")</x:f>
        <x:v>No</x:v>
      </x:c>
      <x:c r="K581" s="17" t="str">
        <x:v>26.1 task 3</x:v>
      </x:c>
      <x:c r="L581" s="21" t="str">
        <x:v>Story-labeled commit ac0e60c3 contains delivery and focused test/test-result files: feat: implement story 26.1 evidence request creation</x:v>
      </x:c>
      <x:c r="M581" s="17" t="str">
        <x:v>Implementation commit + focused test artifacts</x:v>
      </x:c>
      <x:c r="N581" s="21" t="str">
        <x:v>git commit ac0e60c32f9e130feafb02305447a890801c832d; /Users/devups/Development/CodexProjects/Gccs/docs/development-story-test-cases.md</x:v>
      </x:c>
      <x:c r="O581" s="19" t="n">
        <x:v>46191.003287037034</x:v>
      </x:c>
      <x:c r="P581" s="21" t="str">
        <x:v>5 acceptance criteria; 5 TC references; implementation=yes; smoke=yes; automated=no; Story-level regression template</x:v>
      </x:c>
      <x:c r="Q581" s="21" t="str"/>
      <x:c r="R581" s="21" t="str">
        <x:v>Retain traceability; rerun focused verification if the affected boundary changes.</x:v>
      </x:c>
      <x:c r="S581" s="18" t="str"/>
      <x:c r="T581" s="20"/>
      <x:c r="U581" s="21" t="str">
        <x:v>Completion is based on immutable repository evidence; tests were not rerun and current working-tree drift was not re-certified in this reporting-only task.</x:v>
      </x:c>
      <x:c r="V581" s="1"/>
    </x:row>
    <x:row r="582" ht="46" customHeight="1">
      <x:c r="A582" s="17" t="n">
        <x:v>578</x:v>
      </x:c>
      <x:c r="B582" s="17" t="str">
        <x:v>Phase 2</x:v>
      </x:c>
      <x:c r="C582" s="17" t="str">
        <x:v>26.1</x:v>
      </x:c>
      <x:c r="D582" s="21" t="str">
        <x:v>Evidence Request Creation</x:v>
      </x:c>
      <x:c r="E582" s="17" t="n">
        <x:v>5</x:v>
      </x:c>
      <x:c r="F582" s="21" t="str">
        <x:v>Add audit event for request creation.</x:v>
      </x:c>
      <x:c r="G582" s="17" t="str">
        <x:v>Software implementation</x:v>
      </x:c>
      <x:c r="H582" s="17" t="str">
        <x:v>Planned</x:v>
      </x:c>
      <x:c r="I582" s="18" t="str">
        <x:v>Completed</x:v>
      </x:c>
      <x:c r="J582" s="17" t="str">
        <x:f>IF(OR(I582="Completed",I582="Not Applicable"),"No","Yes")</x:f>
        <x:v>No</x:v>
      </x:c>
      <x:c r="K582" s="17" t="str">
        <x:v>26.1 task 4</x:v>
      </x:c>
      <x:c r="L582" s="21" t="str">
        <x:v>Story-labeled commit ac0e60c3 contains delivery and focused test/test-result files: feat: implement story 26.1 evidence request creation</x:v>
      </x:c>
      <x:c r="M582" s="17" t="str">
        <x:v>Implementation commit + focused test artifacts</x:v>
      </x:c>
      <x:c r="N582" s="21" t="str">
        <x:v>git commit ac0e60c32f9e130feafb02305447a890801c832d; /Users/devups/Development/CodexProjects/Gccs/docs/development-story-test-cases.md</x:v>
      </x:c>
      <x:c r="O582" s="19" t="n">
        <x:v>46191.003287037034</x:v>
      </x:c>
      <x:c r="P582" s="21" t="str">
        <x:v>5 acceptance criteria; 5 TC references; implementation=yes; smoke=yes; automated=no; Story-level regression template</x:v>
      </x:c>
      <x:c r="Q582" s="21" t="str"/>
      <x:c r="R582" s="21" t="str">
        <x:v>Retain traceability; rerun focused verification if the affected boundary changes.</x:v>
      </x:c>
      <x:c r="S582" s="18" t="str"/>
      <x:c r="T582" s="20"/>
      <x:c r="U582" s="21" t="str">
        <x:v>Completion is based on immutable repository evidence; tests were not rerun and current working-tree drift was not re-certified in this reporting-only task.</x:v>
      </x:c>
      <x:c r="V582" s="1"/>
    </x:row>
    <x:row r="583" ht="46" customHeight="1">
      <x:c r="A583" s="17" t="n">
        <x:v>579</x:v>
      </x:c>
      <x:c r="B583" s="17" t="str">
        <x:v>Phase 2</x:v>
      </x:c>
      <x:c r="C583" s="17" t="str">
        <x:v>26.2</x:v>
      </x:c>
      <x:c r="D583" s="21" t="str">
        <x:v>Evidence Submission And Review</x:v>
      </x:c>
      <x:c r="E583" s="17" t="n">
        <x:v>1</x:v>
      </x:c>
      <x:c r="F583" s="21" t="str">
        <x:v>Add submission workflow for existing evidence items and new uploads allowed by CUI/data-handling guardrails.</x:v>
      </x:c>
      <x:c r="G583" s="17" t="str">
        <x:v>Software implementation</x:v>
      </x:c>
      <x:c r="H583" s="17" t="str">
        <x:v>Planned</x:v>
      </x:c>
      <x:c r="I583" s="18" t="str">
        <x:v>Completed</x:v>
      </x:c>
      <x:c r="J583" s="17" t="str">
        <x:f>IF(OR(I583="Completed",I583="Not Applicable"),"No","Yes")</x:f>
        <x:v>No</x:v>
      </x:c>
      <x:c r="K583" s="17" t="str">
        <x:v>26.1</x:v>
      </x:c>
      <x:c r="L583" s="21" t="str">
        <x:v>Story-labeled commit df020ea4 contains delivery and focused test/test-result files: feat: implement story 26.2 evidence request review</x:v>
      </x:c>
      <x:c r="M583" s="17" t="str">
        <x:v>Implementation commit + focused test artifacts</x:v>
      </x:c>
      <x:c r="N583" s="21" t="str">
        <x:v>git commit df020ea4f8f8cb7fb8a2ddd480d885b77c16edc1; /Users/devups/Development/CodexProjects/Gccs/docs/development-story-test-cases.md</x:v>
      </x:c>
      <x:c r="O583" s="19" t="n">
        <x:v>46191.005949074075</x:v>
      </x:c>
      <x:c r="P583" s="21" t="str">
        <x:v>5 acceptance criteria; 5 TC references; implementation=yes; smoke=yes; automated=no; Story-level regression template</x:v>
      </x:c>
      <x:c r="Q583" s="21" t="str"/>
      <x:c r="R583" s="21" t="str">
        <x:v>Retain traceability; rerun focused verification if the affected boundary changes.</x:v>
      </x:c>
      <x:c r="S583" s="18" t="str"/>
      <x:c r="T583" s="20"/>
      <x:c r="U583" s="21" t="str">
        <x:v>Completion is based on immutable repository evidence; tests were not rerun and current working-tree drift was not re-certified in this reporting-only task.</x:v>
      </x:c>
      <x:c r="V583" s="1"/>
    </x:row>
    <x:row r="584" ht="46" customHeight="1">
      <x:c r="A584" s="17" t="n">
        <x:v>580</x:v>
      </x:c>
      <x:c r="B584" s="17" t="str">
        <x:v>Phase 2</x:v>
      </x:c>
      <x:c r="C584" s="17" t="str">
        <x:v>26.2</x:v>
      </x:c>
      <x:c r="D584" s="21" t="str">
        <x:v>Evidence Submission And Review</x:v>
      </x:c>
      <x:c r="E584" s="17" t="n">
        <x:v>2</x:v>
      </x:c>
      <x:c r="F584" s="21" t="str">
        <x:v>Add statuses for open, submitted, accepted, returned, overdue, and canceled.</x:v>
      </x:c>
      <x:c r="G584" s="17" t="str">
        <x:v>Software implementation</x:v>
      </x:c>
      <x:c r="H584" s="17" t="str">
        <x:v>Planned</x:v>
      </x:c>
      <x:c r="I584" s="18" t="str">
        <x:v>Completed</x:v>
      </x:c>
      <x:c r="J584" s="17" t="str">
        <x:f>IF(OR(I584="Completed",I584="Not Applicable"),"No","Yes")</x:f>
        <x:v>No</x:v>
      </x:c>
      <x:c r="K584" s="17" t="str">
        <x:v>26.2 task 1</x:v>
      </x:c>
      <x:c r="L584" s="21" t="str">
        <x:v>Story-labeled commit df020ea4 contains delivery and focused test/test-result files: feat: implement story 26.2 evidence request review</x:v>
      </x:c>
      <x:c r="M584" s="17" t="str">
        <x:v>Implementation commit + focused test artifacts</x:v>
      </x:c>
      <x:c r="N584" s="21" t="str">
        <x:v>git commit df020ea4f8f8cb7fb8a2ddd480d885b77c16edc1; /Users/devups/Development/CodexProjects/Gccs/docs/development-story-test-cases.md</x:v>
      </x:c>
      <x:c r="O584" s="19" t="n">
        <x:v>46191.005949074075</x:v>
      </x:c>
      <x:c r="P584" s="21" t="str">
        <x:v>5 acceptance criteria; 5 TC references; implementation=yes; smoke=yes; automated=no; Story-level regression template</x:v>
      </x:c>
      <x:c r="Q584" s="21" t="str"/>
      <x:c r="R584" s="21" t="str">
        <x:v>Retain traceability; rerun focused verification if the affected boundary changes.</x:v>
      </x:c>
      <x:c r="S584" s="18" t="str"/>
      <x:c r="T584" s="20"/>
      <x:c r="U584" s="21" t="str">
        <x:v>Completion is based on immutable repository evidence; tests were not rerun and current working-tree drift was not re-certified in this reporting-only task.</x:v>
      </x:c>
      <x:c r="V584" s="1"/>
    </x:row>
    <x:row r="585" ht="46" customHeight="1">
      <x:c r="A585" s="17" t="n">
        <x:v>581</x:v>
      </x:c>
      <x:c r="B585" s="17" t="str">
        <x:v>Phase 2</x:v>
      </x:c>
      <x:c r="C585" s="17" t="str">
        <x:v>26.2</x:v>
      </x:c>
      <x:c r="D585" s="21" t="str">
        <x:v>Evidence Submission And Review</x:v>
      </x:c>
      <x:c r="E585" s="17" t="n">
        <x:v>3</x:v>
      </x:c>
      <x:c r="F585" s="21" t="str">
        <x:v>Add reviewer comments and returned-for-revision reason.</x:v>
      </x:c>
      <x:c r="G585" s="17" t="str">
        <x:v>Software implementation</x:v>
      </x:c>
      <x:c r="H585" s="17" t="str">
        <x:v>Planned</x:v>
      </x:c>
      <x:c r="I585" s="18" t="str">
        <x:v>Completed</x:v>
      </x:c>
      <x:c r="J585" s="17" t="str">
        <x:f>IF(OR(I585="Completed",I585="Not Applicable"),"No","Yes")</x:f>
        <x:v>No</x:v>
      </x:c>
      <x:c r="K585" s="17" t="str">
        <x:v>26.2 task 2</x:v>
      </x:c>
      <x:c r="L585" s="21" t="str">
        <x:v>Story-labeled commit df020ea4 contains delivery and focused test/test-result files: feat: implement story 26.2 evidence request review</x:v>
      </x:c>
      <x:c r="M585" s="17" t="str">
        <x:v>Implementation commit + focused test artifacts</x:v>
      </x:c>
      <x:c r="N585" s="21" t="str">
        <x:v>git commit df020ea4f8f8cb7fb8a2ddd480d885b77c16edc1; /Users/devups/Development/CodexProjects/Gccs/docs/development-story-test-cases.md</x:v>
      </x:c>
      <x:c r="O585" s="19" t="n">
        <x:v>46191.005949074075</x:v>
      </x:c>
      <x:c r="P585" s="21" t="str">
        <x:v>5 acceptance criteria; 5 TC references; implementation=yes; smoke=yes; automated=no; Story-level regression template</x:v>
      </x:c>
      <x:c r="Q585" s="21" t="str"/>
      <x:c r="R585" s="21" t="str">
        <x:v>Retain traceability; rerun focused verification if the affected boundary changes.</x:v>
      </x:c>
      <x:c r="S585" s="18" t="str"/>
      <x:c r="T585" s="20"/>
      <x:c r="U585" s="21" t="str">
        <x:v>Completion is based on immutable repository evidence; tests were not rerun and current working-tree drift was not re-certified in this reporting-only task.</x:v>
      </x:c>
      <x:c r="V585" s="1"/>
    </x:row>
    <x:row r="586" ht="46" customHeight="1">
      <x:c r="A586" s="17" t="n">
        <x:v>582</x:v>
      </x:c>
      <x:c r="B586" s="17" t="str">
        <x:v>Phase 2</x:v>
      </x:c>
      <x:c r="C586" s="17" t="str">
        <x:v>26.2</x:v>
      </x:c>
      <x:c r="D586" s="21" t="str">
        <x:v>Evidence Submission And Review</x:v>
      </x:c>
      <x:c r="E586" s="17" t="n">
        <x:v>4</x:v>
      </x:c>
      <x:c r="F586" s="21" t="str">
        <x:v>Link accepted submissions to the related obligation, control, or subcontractor requirement.</x:v>
      </x:c>
      <x:c r="G586" s="17" t="str">
        <x:v>Software implementation</x:v>
      </x:c>
      <x:c r="H586" s="17" t="str">
        <x:v>Planned</x:v>
      </x:c>
      <x:c r="I586" s="18" t="str">
        <x:v>Completed</x:v>
      </x:c>
      <x:c r="J586" s="17" t="str">
        <x:f>IF(OR(I586="Completed",I586="Not Applicable"),"No","Yes")</x:f>
        <x:v>No</x:v>
      </x:c>
      <x:c r="K586" s="17" t="str">
        <x:v>26.2 task 3</x:v>
      </x:c>
      <x:c r="L586" s="21" t="str">
        <x:v>Story-labeled commit df020ea4 contains delivery and focused test/test-result files: feat: implement story 26.2 evidence request review</x:v>
      </x:c>
      <x:c r="M586" s="17" t="str">
        <x:v>Implementation commit + focused test artifacts</x:v>
      </x:c>
      <x:c r="N586" s="21" t="str">
        <x:v>git commit df020ea4f8f8cb7fb8a2ddd480d885b77c16edc1; /Users/devups/Development/CodexProjects/Gccs/docs/development-story-test-cases.md</x:v>
      </x:c>
      <x:c r="O586" s="19" t="n">
        <x:v>46191.005949074075</x:v>
      </x:c>
      <x:c r="P586" s="21" t="str">
        <x:v>5 acceptance criteria; 5 TC references; implementation=yes; smoke=yes; automated=no; Story-level regression template</x:v>
      </x:c>
      <x:c r="Q586" s="21" t="str"/>
      <x:c r="R586" s="21" t="str">
        <x:v>Retain traceability; rerun focused verification if the affected boundary changes.</x:v>
      </x:c>
      <x:c r="S586" s="18" t="str"/>
      <x:c r="T586" s="20"/>
      <x:c r="U586" s="21" t="str">
        <x:v>Completion is based on immutable repository evidence; tests were not rerun and current working-tree drift was not re-certified in this reporting-only task.</x:v>
      </x:c>
      <x:c r="V586" s="1"/>
    </x:row>
    <x:row r="587" ht="46" customHeight="1">
      <x:c r="A587" s="17" t="n">
        <x:v>583</x:v>
      </x:c>
      <x:c r="B587" s="17" t="str">
        <x:v>Phase 2</x:v>
      </x:c>
      <x:c r="C587" s="17" t="str">
        <x:v>26.2</x:v>
      </x:c>
      <x:c r="D587" s="21" t="str">
        <x:v>Evidence Submission And Review</x:v>
      </x:c>
      <x:c r="E587" s="17" t="n">
        <x:v>5</x:v>
      </x:c>
      <x:c r="F587" s="21" t="str">
        <x:v>Add notifications for submission, return, acceptance, and overdue states.</x:v>
      </x:c>
      <x:c r="G587" s="17" t="str">
        <x:v>Software implementation</x:v>
      </x:c>
      <x:c r="H587" s="17" t="str">
        <x:v>Planned</x:v>
      </x:c>
      <x:c r="I587" s="18" t="str">
        <x:v>Completed</x:v>
      </x:c>
      <x:c r="J587" s="17" t="str">
        <x:f>IF(OR(I587="Completed",I587="Not Applicable"),"No","Yes")</x:f>
        <x:v>No</x:v>
      </x:c>
      <x:c r="K587" s="17" t="str">
        <x:v>26.2 task 4</x:v>
      </x:c>
      <x:c r="L587" s="21" t="str">
        <x:v>Story-labeled commit df020ea4 contains delivery and focused test/test-result files: feat: implement story 26.2 evidence request review</x:v>
      </x:c>
      <x:c r="M587" s="17" t="str">
        <x:v>Implementation commit + focused test artifacts</x:v>
      </x:c>
      <x:c r="N587" s="21" t="str">
        <x:v>git commit df020ea4f8f8cb7fb8a2ddd480d885b77c16edc1; /Users/devups/Development/CodexProjects/Gccs/docs/development-story-test-cases.md</x:v>
      </x:c>
      <x:c r="O587" s="19" t="n">
        <x:v>46191.005949074075</x:v>
      </x:c>
      <x:c r="P587" s="21" t="str">
        <x:v>5 acceptance criteria; 5 TC references; implementation=yes; smoke=yes; automated=no; Story-level regression template</x:v>
      </x:c>
      <x:c r="Q587" s="21" t="str"/>
      <x:c r="R587" s="21" t="str">
        <x:v>Retain traceability; rerun focused verification if the affected boundary changes.</x:v>
      </x:c>
      <x:c r="S587" s="18" t="str"/>
      <x:c r="T587" s="20"/>
      <x:c r="U587" s="21" t="str">
        <x:v>Completion is based on immutable repository evidence; tests were not rerun and current working-tree drift was not re-certified in this reporting-only task.</x:v>
      </x:c>
      <x:c r="V587" s="1"/>
    </x:row>
    <x:row r="588" ht="46" customHeight="1">
      <x:c r="A588" s="17" t="n">
        <x:v>584</x:v>
      </x:c>
      <x:c r="B588" s="17" t="str">
        <x:v>Phase 2</x:v>
      </x:c>
      <x:c r="C588" s="17" t="str">
        <x:v>26.3</x:v>
      </x:c>
      <x:c r="D588" s="21" t="str">
        <x:v>Evidence Request Dashboard</x:v>
      </x:c>
      <x:c r="E588" s="17" t="n">
        <x:v>1</x:v>
      </x:c>
      <x:c r="F588" s="21" t="str">
        <x:v>Add list and filters for status, due date, assignee, related record type, priority, and subcontractor.</x:v>
      </x:c>
      <x:c r="G588" s="17" t="str">
        <x:v>Software implementation</x:v>
      </x:c>
      <x:c r="H588" s="17" t="str">
        <x:v>Planned</x:v>
      </x:c>
      <x:c r="I588" s="18" t="str">
        <x:v>Completed</x:v>
      </x:c>
      <x:c r="J588" s="17" t="str">
        <x:f>IF(OR(I588="Completed",I588="Not Applicable"),"No","Yes")</x:f>
        <x:v>No</x:v>
      </x:c>
      <x:c r="K588" s="17" t="str">
        <x:v>26.2</x:v>
      </x:c>
      <x:c r="L588" s="21" t="str">
        <x:v>Story-labeled commit 23bdfff0 contains delivery and focused test/test-result files: feat: implement story 26.3 evidence request dashboard</x:v>
      </x:c>
      <x:c r="M588" s="17" t="str">
        <x:v>Implementation commit + focused test artifacts</x:v>
      </x:c>
      <x:c r="N588" s="21" t="str">
        <x:v>git commit 23bdfff01f4622694f5033975134b9fb93753769; /Users/devups/Development/CodexProjects/Gccs/docs/development-story-test-cases.md</x:v>
      </x:c>
      <x:c r="O588" s="19" t="n">
        <x:v>46191.00834490741</x:v>
      </x:c>
      <x:c r="P588" s="21" t="str">
        <x:v>5 acceptance criteria; 5 TC references; implementation=yes; smoke=yes; automated=no; Story-level regression template</x:v>
      </x:c>
      <x:c r="Q588" s="21" t="str"/>
      <x:c r="R588" s="21" t="str">
        <x:v>Retain traceability; rerun focused verification if the affected boundary changes.</x:v>
      </x:c>
      <x:c r="S588" s="18" t="str"/>
      <x:c r="T588" s="20"/>
      <x:c r="U588" s="21" t="str">
        <x:v>Completion is based on immutable repository evidence; tests were not rerun and current working-tree drift was not re-certified in this reporting-only task.</x:v>
      </x:c>
      <x:c r="V588" s="1"/>
    </x:row>
    <x:row r="589" ht="46" customHeight="1">
      <x:c r="A589" s="17" t="n">
        <x:v>585</x:v>
      </x:c>
      <x:c r="B589" s="17" t="str">
        <x:v>Phase 2</x:v>
      </x:c>
      <x:c r="C589" s="17" t="str">
        <x:v>26.3</x:v>
      </x:c>
      <x:c r="D589" s="21" t="str">
        <x:v>Evidence Request Dashboard</x:v>
      </x:c>
      <x:c r="E589" s="17" t="n">
        <x:v>2</x:v>
      </x:c>
      <x:c r="F589" s="21" t="str">
        <x:v>Add overdue calculation.</x:v>
      </x:c>
      <x:c r="G589" s="17" t="str">
        <x:v>Software implementation</x:v>
      </x:c>
      <x:c r="H589" s="17" t="str">
        <x:v>Planned</x:v>
      </x:c>
      <x:c r="I589" s="18" t="str">
        <x:v>Completed</x:v>
      </x:c>
      <x:c r="J589" s="17" t="str">
        <x:f>IF(OR(I589="Completed",I589="Not Applicable"),"No","Yes")</x:f>
        <x:v>No</x:v>
      </x:c>
      <x:c r="K589" s="17" t="str">
        <x:v>26.3 task 1</x:v>
      </x:c>
      <x:c r="L589" s="21" t="str">
        <x:v>Story-labeled commit 23bdfff0 contains delivery and focused test/test-result files: feat: implement story 26.3 evidence request dashboard</x:v>
      </x:c>
      <x:c r="M589" s="17" t="str">
        <x:v>Implementation commit + focused test artifacts</x:v>
      </x:c>
      <x:c r="N589" s="21" t="str">
        <x:v>git commit 23bdfff01f4622694f5033975134b9fb93753769; /Users/devups/Development/CodexProjects/Gccs/docs/development-story-test-cases.md</x:v>
      </x:c>
      <x:c r="O589" s="19" t="n">
        <x:v>46191.00834490741</x:v>
      </x:c>
      <x:c r="P589" s="21" t="str">
        <x:v>5 acceptance criteria; 5 TC references; implementation=yes; smoke=yes; automated=no; Story-level regression template</x:v>
      </x:c>
      <x:c r="Q589" s="21" t="str"/>
      <x:c r="R589" s="21" t="str">
        <x:v>Retain traceability; rerun focused verification if the affected boundary changes.</x:v>
      </x:c>
      <x:c r="S589" s="18" t="str"/>
      <x:c r="T589" s="20"/>
      <x:c r="U589" s="21" t="str">
        <x:v>Completion is based on immutable repository evidence; tests were not rerun and current working-tree drift was not re-certified in this reporting-only task.</x:v>
      </x:c>
      <x:c r="V589" s="1"/>
    </x:row>
    <x:row r="590" ht="46" customHeight="1">
      <x:c r="A590" s="17" t="n">
        <x:v>586</x:v>
      </x:c>
      <x:c r="B590" s="17" t="str">
        <x:v>Phase 2</x:v>
      </x:c>
      <x:c r="C590" s="17" t="str">
        <x:v>26.3</x:v>
      </x:c>
      <x:c r="D590" s="21" t="str">
        <x:v>Evidence Request Dashboard</x:v>
      </x:c>
      <x:c r="E590" s="17" t="n">
        <x:v>3</x:v>
      </x:c>
      <x:c r="F590" s="21" t="str">
        <x:v>Add bulk reminder action for selected open or overdue requests.</x:v>
      </x:c>
      <x:c r="G590" s="17" t="str">
        <x:v>Software implementation</x:v>
      </x:c>
      <x:c r="H590" s="17" t="str">
        <x:v>Planned</x:v>
      </x:c>
      <x:c r="I590" s="18" t="str">
        <x:v>Completed</x:v>
      </x:c>
      <x:c r="J590" s="17" t="str">
        <x:f>IF(OR(I590="Completed",I590="Not Applicable"),"No","Yes")</x:f>
        <x:v>No</x:v>
      </x:c>
      <x:c r="K590" s="17" t="str">
        <x:v>26.3 task 2</x:v>
      </x:c>
      <x:c r="L590" s="21" t="str">
        <x:v>Story-labeled commit 23bdfff0 contains delivery and focused test/test-result files: feat: implement story 26.3 evidence request dashboard</x:v>
      </x:c>
      <x:c r="M590" s="17" t="str">
        <x:v>Implementation commit + focused test artifacts</x:v>
      </x:c>
      <x:c r="N590" s="21" t="str">
        <x:v>git commit 23bdfff01f4622694f5033975134b9fb93753769; /Users/devups/Development/CodexProjects/Gccs/docs/development-story-test-cases.md</x:v>
      </x:c>
      <x:c r="O590" s="19" t="n">
        <x:v>46191.00834490741</x:v>
      </x:c>
      <x:c r="P590" s="21" t="str">
        <x:v>5 acceptance criteria; 5 TC references; implementation=yes; smoke=yes; automated=no; Story-level regression template</x:v>
      </x:c>
      <x:c r="Q590" s="21" t="str"/>
      <x:c r="R590" s="21" t="str">
        <x:v>Retain traceability; rerun focused verification if the affected boundary changes.</x:v>
      </x:c>
      <x:c r="S590" s="18" t="str"/>
      <x:c r="T590" s="20"/>
      <x:c r="U590" s="21" t="str">
        <x:v>Completion is based on immutable repository evidence; tests were not rerun and current working-tree drift was not re-certified in this reporting-only task.</x:v>
      </x:c>
      <x:c r="V590" s="1"/>
    </x:row>
    <x:row r="591" ht="46" customHeight="1">
      <x:c r="A591" s="17" t="n">
        <x:v>587</x:v>
      </x:c>
      <x:c r="B591" s="17" t="str">
        <x:v>Phase 2</x:v>
      </x:c>
      <x:c r="C591" s="17" t="str">
        <x:v>26.3</x:v>
      </x:c>
      <x:c r="D591" s="21" t="str">
        <x:v>Evidence Request Dashboard</x:v>
      </x:c>
      <x:c r="E591" s="17" t="n">
        <x:v>4</x:v>
      </x:c>
      <x:c r="F591" s="21" t="str">
        <x:v>Add export or report section for evidence request status.</x:v>
      </x:c>
      <x:c r="G591" s="17" t="str">
        <x:v>Software implementation</x:v>
      </x:c>
      <x:c r="H591" s="17" t="str">
        <x:v>Planned</x:v>
      </x:c>
      <x:c r="I591" s="18" t="str">
        <x:v>Completed</x:v>
      </x:c>
      <x:c r="J591" s="17" t="str">
        <x:f>IF(OR(I591="Completed",I591="Not Applicable"),"No","Yes")</x:f>
        <x:v>No</x:v>
      </x:c>
      <x:c r="K591" s="17" t="str">
        <x:v>26.3 task 3</x:v>
      </x:c>
      <x:c r="L591" s="21" t="str">
        <x:v>Story-labeled commit 23bdfff0 contains delivery and focused test/test-result files: feat: implement story 26.3 evidence request dashboard</x:v>
      </x:c>
      <x:c r="M591" s="17" t="str">
        <x:v>Implementation commit + focused test artifacts</x:v>
      </x:c>
      <x:c r="N591" s="21" t="str">
        <x:v>git commit 23bdfff01f4622694f5033975134b9fb93753769; /Users/devups/Development/CodexProjects/Gccs/docs/development-story-test-cases.md</x:v>
      </x:c>
      <x:c r="O591" s="19" t="n">
        <x:v>46191.00834490741</x:v>
      </x:c>
      <x:c r="P591" s="21" t="str">
        <x:v>5 acceptance criteria; 5 TC references; implementation=yes; smoke=yes; automated=no; Story-level regression template</x:v>
      </x:c>
      <x:c r="Q591" s="21" t="str"/>
      <x:c r="R591" s="21" t="str">
        <x:v>Retain traceability; rerun focused verification if the affected boundary changes.</x:v>
      </x:c>
      <x:c r="S591" s="18" t="str"/>
      <x:c r="T591" s="20"/>
      <x:c r="U591" s="21" t="str">
        <x:v>Completion is based on immutable repository evidence; tests were not rerun and current working-tree drift was not re-certified in this reporting-only task.</x:v>
      </x:c>
      <x:c r="V591" s="1"/>
    </x:row>
    <x:row r="592" ht="46" customHeight="1">
      <x:c r="A592" s="17" t="n">
        <x:v>588</x:v>
      </x:c>
      <x:c r="B592" s="17" t="str">
        <x:v>Phase 2</x:v>
      </x:c>
      <x:c r="C592" s="17" t="str">
        <x:v>26.3</x:v>
      </x:c>
      <x:c r="D592" s="21" t="str">
        <x:v>Evidence Request Dashboard</x:v>
      </x:c>
      <x:c r="E592" s="17" t="n">
        <x:v>5</x:v>
      </x:c>
      <x:c r="F592" s="21" t="str">
        <x:v>Add role-aware views for requester, assignee, auditor, and advisor.</x:v>
      </x:c>
      <x:c r="G592" s="17" t="str">
        <x:v>Software implementation</x:v>
      </x:c>
      <x:c r="H592" s="17" t="str">
        <x:v>Planned</x:v>
      </x:c>
      <x:c r="I592" s="18" t="str">
        <x:v>Completed</x:v>
      </x:c>
      <x:c r="J592" s="17" t="str">
        <x:f>IF(OR(I592="Completed",I592="Not Applicable"),"No","Yes")</x:f>
        <x:v>No</x:v>
      </x:c>
      <x:c r="K592" s="17" t="str">
        <x:v>26.3 task 4</x:v>
      </x:c>
      <x:c r="L592" s="21" t="str">
        <x:v>Story-labeled commit 23bdfff0 contains delivery and focused test/test-result files: feat: implement story 26.3 evidence request dashboard</x:v>
      </x:c>
      <x:c r="M592" s="17" t="str">
        <x:v>Implementation commit + focused test artifacts</x:v>
      </x:c>
      <x:c r="N592" s="21" t="str">
        <x:v>git commit 23bdfff01f4622694f5033975134b9fb93753769; /Users/devups/Development/CodexProjects/Gccs/docs/development-story-test-cases.md</x:v>
      </x:c>
      <x:c r="O592" s="19" t="n">
        <x:v>46191.00834490741</x:v>
      </x:c>
      <x:c r="P592" s="21" t="str">
        <x:v>5 acceptance criteria; 5 TC references; implementation=yes; smoke=yes; automated=no; Story-level regression template</x:v>
      </x:c>
      <x:c r="Q592" s="21" t="str"/>
      <x:c r="R592" s="21" t="str">
        <x:v>Retain traceability; rerun focused verification if the affected boundary changes.</x:v>
      </x:c>
      <x:c r="S592" s="18" t="str"/>
      <x:c r="T592" s="20"/>
      <x:c r="U592" s="21" t="str">
        <x:v>Completion is based on immutable repository evidence; tests were not rerun and current working-tree drift was not re-certified in this reporting-only task.</x:v>
      </x:c>
      <x:c r="V592" s="1"/>
    </x:row>
    <x:row r="593" ht="46" customHeight="1">
      <x:c r="A593" s="17" t="n">
        <x:v>589</x:v>
      </x:c>
      <x:c r="B593" s="17" t="str">
        <x:v>Phase 2</x:v>
      </x:c>
      <x:c r="C593" s="17" t="str">
        <x:v>27.1</x:v>
      </x:c>
      <x:c r="D593" s="21" t="str">
        <x:v>Level 2 Control Assessment Detail</x:v>
      </x:c>
      <x:c r="E593" s="17" t="n">
        <x:v>1</x:v>
      </x:c>
      <x:c r="F593" s="21" t="str">
        <x:v>Add fields for assessment objective status, implementation status, evidence status, inherited responsibility, external service provider responsibility, notes, assessment date, and assessor.</x:v>
      </x:c>
      <x:c r="G593" s="17" t="str">
        <x:v>Software implementation</x:v>
      </x:c>
      <x:c r="H593" s="17" t="str">
        <x:v>Planned</x:v>
      </x:c>
      <x:c r="I593" s="18" t="str">
        <x:v>Completed</x:v>
      </x:c>
      <x:c r="J593" s="17" t="str">
        <x:f>IF(OR(I593="Completed",I593="Not Applicable"),"No","Yes")</x:f>
        <x:v>No</x:v>
      </x:c>
      <x:c r="K593" s="17" t="str">
        <x:v>26.3</x:v>
      </x:c>
      <x:c r="L593" s="21" t="str">
        <x:v>Story-labeled commit adc68858 contains delivery and focused test/test-result files: feat: implement story 27.1 control assessment detail</x:v>
      </x:c>
      <x:c r="M593" s="17" t="str">
        <x:v>Implementation commit + focused test artifacts</x:v>
      </x:c>
      <x:c r="N593" s="21" t="str">
        <x:v>git commit adc68858b77a627e4dd43fb225df6f4936694f63; /Users/devups/Development/CodexProjects/Gccs/docs/development-story-test-cases.md</x:v>
      </x:c>
      <x:c r="O593" s="19" t="n">
        <x:v>46191.01416666667</x:v>
      </x:c>
      <x:c r="P593" s="21" t="str">
        <x:v>5 acceptance criteria; 5 TC references; implementation=yes; smoke=yes; automated=no; Story-level regression template</x:v>
      </x:c>
      <x:c r="Q593" s="21" t="str"/>
      <x:c r="R593" s="21" t="str">
        <x:v>Retain traceability; rerun focused verification if the affected boundary changes.</x:v>
      </x:c>
      <x:c r="S593" s="18" t="str"/>
      <x:c r="T593" s="20"/>
      <x:c r="U593" s="21" t="str">
        <x:v>Completion is based on immutable repository evidence; tests were not rerun and current working-tree drift was not re-certified in this reporting-only task.</x:v>
      </x:c>
      <x:c r="V593" s="1"/>
    </x:row>
    <x:row r="594" ht="46" customHeight="1">
      <x:c r="A594" s="17" t="n">
        <x:v>590</x:v>
      </x:c>
      <x:c r="B594" s="17" t="str">
        <x:v>Phase 2</x:v>
      </x:c>
      <x:c r="C594" s="17" t="str">
        <x:v>27.1</x:v>
      </x:c>
      <x:c r="D594" s="21" t="str">
        <x:v>Level 2 Control Assessment Detail</x:v>
      </x:c>
      <x:c r="E594" s="17" t="n">
        <x:v>2</x:v>
      </x:c>
      <x:c r="F594" s="21" t="str">
        <x:v>Add control detail UI for Level 2 controls.</x:v>
      </x:c>
      <x:c r="G594" s="17" t="str">
        <x:v>Software implementation</x:v>
      </x:c>
      <x:c r="H594" s="17" t="str">
        <x:v>Planned</x:v>
      </x:c>
      <x:c r="I594" s="18" t="str">
        <x:v>Completed</x:v>
      </x:c>
      <x:c r="J594" s="17" t="str">
        <x:f>IF(OR(I594="Completed",I594="Not Applicable"),"No","Yes")</x:f>
        <x:v>No</x:v>
      </x:c>
      <x:c r="K594" s="17" t="str">
        <x:v>27.1 task 1</x:v>
      </x:c>
      <x:c r="L594" s="21" t="str">
        <x:v>Story-labeled commit adc68858 contains delivery and focused test/test-result files: feat: implement story 27.1 control assessment detail</x:v>
      </x:c>
      <x:c r="M594" s="17" t="str">
        <x:v>Implementation commit + focused test artifacts</x:v>
      </x:c>
      <x:c r="N594" s="21" t="str">
        <x:v>git commit adc68858b77a627e4dd43fb225df6f4936694f63; /Users/devups/Development/CodexProjects/Gccs/docs/development-story-test-cases.md</x:v>
      </x:c>
      <x:c r="O594" s="19" t="n">
        <x:v>46191.01416666667</x:v>
      </x:c>
      <x:c r="P594" s="21" t="str">
        <x:v>5 acceptance criteria; 5 TC references; implementation=yes; smoke=yes; automated=no; Story-level regression template</x:v>
      </x:c>
      <x:c r="Q594" s="21" t="str"/>
      <x:c r="R594" s="21" t="str">
        <x:v>Retain traceability; rerun focused verification if the affected boundary changes.</x:v>
      </x:c>
      <x:c r="S594" s="18" t="str"/>
      <x:c r="T594" s="20"/>
      <x:c r="U594" s="21" t="str">
        <x:v>Completion is based on immutable repository evidence; tests were not rerun and current working-tree drift was not re-certified in this reporting-only task.</x:v>
      </x:c>
      <x:c r="V594" s="1"/>
    </x:row>
    <x:row r="595" ht="46" customHeight="1">
      <x:c r="A595" s="17" t="n">
        <x:v>591</x:v>
      </x:c>
      <x:c r="B595" s="17" t="str">
        <x:v>Phase 2</x:v>
      </x:c>
      <x:c r="C595" s="17" t="str">
        <x:v>27.1</x:v>
      </x:c>
      <x:c r="D595" s="21" t="str">
        <x:v>Level 2 Control Assessment Detail</x:v>
      </x:c>
      <x:c r="E595" s="17" t="n">
        <x:v>3</x:v>
      </x:c>
      <x:c r="F595" s="21" t="str">
        <x:v>Add validation for allowed status values.</x:v>
      </x:c>
      <x:c r="G595" s="17" t="str">
        <x:v>Software implementation</x:v>
      </x:c>
      <x:c r="H595" s="17" t="str">
        <x:v>Planned</x:v>
      </x:c>
      <x:c r="I595" s="18" t="str">
        <x:v>Completed</x:v>
      </x:c>
      <x:c r="J595" s="17" t="str">
        <x:f>IF(OR(I595="Completed",I595="Not Applicable"),"No","Yes")</x:f>
        <x:v>No</x:v>
      </x:c>
      <x:c r="K595" s="17" t="str">
        <x:v>27.1 task 2</x:v>
      </x:c>
      <x:c r="L595" s="21" t="str">
        <x:v>Story-labeled commit adc68858 contains delivery and focused test/test-result files: feat: implement story 27.1 control assessment detail</x:v>
      </x:c>
      <x:c r="M595" s="17" t="str">
        <x:v>Implementation commit + focused test artifacts</x:v>
      </x:c>
      <x:c r="N595" s="21" t="str">
        <x:v>git commit adc68858b77a627e4dd43fb225df6f4936694f63; /Users/devups/Development/CodexProjects/Gccs/docs/development-story-test-cases.md</x:v>
      </x:c>
      <x:c r="O595" s="19" t="n">
        <x:v>46191.01416666667</x:v>
      </x:c>
      <x:c r="P595" s="21" t="str">
        <x:v>5 acceptance criteria; 5 TC references; implementation=yes; smoke=yes; automated=no; Story-level regression template</x:v>
      </x:c>
      <x:c r="Q595" s="21" t="str"/>
      <x:c r="R595" s="21" t="str">
        <x:v>Retain traceability; rerun focused verification if the affected boundary changes.</x:v>
      </x:c>
      <x:c r="S595" s="18" t="str"/>
      <x:c r="T595" s="20"/>
      <x:c r="U595" s="21" t="str">
        <x:v>Completion is based on immutable repository evidence; tests were not rerun and current working-tree drift was not re-certified in this reporting-only task.</x:v>
      </x:c>
      <x:c r="V595" s="1"/>
    </x:row>
    <x:row r="596" ht="46" customHeight="1">
      <x:c r="A596" s="17" t="n">
        <x:v>592</x:v>
      </x:c>
      <x:c r="B596" s="17" t="str">
        <x:v>Phase 2</x:v>
      </x:c>
      <x:c r="C596" s="17" t="str">
        <x:v>27.1</x:v>
      </x:c>
      <x:c r="D596" s="21" t="str">
        <x:v>Level 2 Control Assessment Detail</x:v>
      </x:c>
      <x:c r="E596" s="17" t="n">
        <x:v>4</x:v>
      </x:c>
      <x:c r="F596" s="21" t="str">
        <x:v>Add history for status changes.</x:v>
      </x:c>
      <x:c r="G596" s="17" t="str">
        <x:v>Software implementation</x:v>
      </x:c>
      <x:c r="H596" s="17" t="str">
        <x:v>Planned</x:v>
      </x:c>
      <x:c r="I596" s="18" t="str">
        <x:v>Completed</x:v>
      </x:c>
      <x:c r="J596" s="17" t="str">
        <x:f>IF(OR(I596="Completed",I596="Not Applicable"),"No","Yes")</x:f>
        <x:v>No</x:v>
      </x:c>
      <x:c r="K596" s="17" t="str">
        <x:v>27.1 task 3</x:v>
      </x:c>
      <x:c r="L596" s="21" t="str">
        <x:v>Story-labeled commit adc68858 contains delivery and focused test/test-result files: feat: implement story 27.1 control assessment detail</x:v>
      </x:c>
      <x:c r="M596" s="17" t="str">
        <x:v>Implementation commit + focused test artifacts</x:v>
      </x:c>
      <x:c r="N596" s="21" t="str">
        <x:v>git commit adc68858b77a627e4dd43fb225df6f4936694f63; /Users/devups/Development/CodexProjects/Gccs/docs/development-story-test-cases.md</x:v>
      </x:c>
      <x:c r="O596" s="19" t="n">
        <x:v>46191.01416666667</x:v>
      </x:c>
      <x:c r="P596" s="21" t="str">
        <x:v>5 acceptance criteria; 5 TC references; implementation=yes; smoke=yes; automated=no; Story-level regression template</x:v>
      </x:c>
      <x:c r="Q596" s="21" t="str"/>
      <x:c r="R596" s="21" t="str">
        <x:v>Retain traceability; rerun focused verification if the affected boundary changes.</x:v>
      </x:c>
      <x:c r="S596" s="18" t="str"/>
      <x:c r="T596" s="20"/>
      <x:c r="U596" s="21" t="str">
        <x:v>Completion is based on immutable repository evidence; tests were not rerun and current working-tree drift was not re-certified in this reporting-only task.</x:v>
      </x:c>
      <x:c r="V596" s="1"/>
    </x:row>
    <x:row r="597" ht="46" customHeight="1">
      <x:c r="A597" s="17" t="n">
        <x:v>593</x:v>
      </x:c>
      <x:c r="B597" s="17" t="str">
        <x:v>Phase 2</x:v>
      </x:c>
      <x:c r="C597" s="17" t="str">
        <x:v>27.1</x:v>
      </x:c>
      <x:c r="D597" s="21" t="str">
        <x:v>Level 2 Control Assessment Detail</x:v>
      </x:c>
      <x:c r="E597" s="17" t="n">
        <x:v>5</x:v>
      </x:c>
      <x:c r="F597" s="21" t="str">
        <x:v>Add audit events for control assessment updates.</x:v>
      </x:c>
      <x:c r="G597" s="17" t="str">
        <x:v>Software implementation</x:v>
      </x:c>
      <x:c r="H597" s="17" t="str">
        <x:v>Planned</x:v>
      </x:c>
      <x:c r="I597" s="18" t="str">
        <x:v>Completed</x:v>
      </x:c>
      <x:c r="J597" s="17" t="str">
        <x:f>IF(OR(I597="Completed",I597="Not Applicable"),"No","Yes")</x:f>
        <x:v>No</x:v>
      </x:c>
      <x:c r="K597" s="17" t="str">
        <x:v>27.1 task 4</x:v>
      </x:c>
      <x:c r="L597" s="21" t="str">
        <x:v>Story-labeled commit adc68858 contains delivery and focused test/test-result files: feat: implement story 27.1 control assessment detail</x:v>
      </x:c>
      <x:c r="M597" s="17" t="str">
        <x:v>Implementation commit + focused test artifacts</x:v>
      </x:c>
      <x:c r="N597" s="21" t="str">
        <x:v>git commit adc68858b77a627e4dd43fb225df6f4936694f63; /Users/devups/Development/CodexProjects/Gccs/docs/development-story-test-cases.md</x:v>
      </x:c>
      <x:c r="O597" s="19" t="n">
        <x:v>46191.01416666667</x:v>
      </x:c>
      <x:c r="P597" s="21" t="str">
        <x:v>5 acceptance criteria; 5 TC references; implementation=yes; smoke=yes; automated=no; Story-level regression template</x:v>
      </x:c>
      <x:c r="Q597" s="21" t="str"/>
      <x:c r="R597" s="21" t="str">
        <x:v>Retain traceability; rerun focused verification if the affected boundary changes.</x:v>
      </x:c>
      <x:c r="S597" s="18" t="str"/>
      <x:c r="T597" s="20"/>
      <x:c r="U597" s="21" t="str">
        <x:v>Completion is based on immutable repository evidence; tests were not rerun and current working-tree drift was not re-certified in this reporting-only task.</x:v>
      </x:c>
      <x:c r="V597" s="1"/>
    </x:row>
    <x:row r="598" ht="46" customHeight="1">
      <x:c r="A598" s="17" t="n">
        <x:v>594</x:v>
      </x:c>
      <x:c r="B598" s="17" t="str">
        <x:v>Phase 2</x:v>
      </x:c>
      <x:c r="C598" s="17" t="str">
        <x:v>27.2</x:v>
      </x:c>
      <x:c r="D598" s="21" t="str">
        <x:v>Responsibility Matrix</x:v>
      </x:c>
      <x:c r="E598" s="17" t="n">
        <x:v>1</x:v>
      </x:c>
      <x:c r="F598" s="21" t="str">
        <x:v>Add responsibility assignments for organization, MSP/ESP, cloud provider, subcontractor, and shared responsibility.</x:v>
      </x:c>
      <x:c r="G598" s="17" t="str">
        <x:v>Software implementation</x:v>
      </x:c>
      <x:c r="H598" s="17" t="str">
        <x:v>Planned</x:v>
      </x:c>
      <x:c r="I598" s="18" t="str">
        <x:v>Completed</x:v>
      </x:c>
      <x:c r="J598" s="17" t="str">
        <x:f>IF(OR(I598="Completed",I598="Not Applicable"),"No","Yes")</x:f>
        <x:v>No</x:v>
      </x:c>
      <x:c r="K598" s="17" t="str">
        <x:v>27.1</x:v>
      </x:c>
      <x:c r="L598" s="21" t="str">
        <x:v>Story-labeled commit eeeb4ece contains delivery and focused test/test-result files: feat: implement story 27.2 responsibility matrix</x:v>
      </x:c>
      <x:c r="M598" s="17" t="str">
        <x:v>Implementation commit + focused test artifacts</x:v>
      </x:c>
      <x:c r="N598" s="21" t="str">
        <x:v>git commit eeeb4ecea34e99ec89f99493469d9546ffab96c4; /Users/devups/Development/CodexProjects/Gccs/docs/development-story-test-cases.md</x:v>
      </x:c>
      <x:c r="O598" s="19" t="n">
        <x:v>46191.01768518519</x:v>
      </x:c>
      <x:c r="P598" s="21" t="str">
        <x:v>5 acceptance criteria; 5 TC references; implementation=yes; smoke=yes; automated=no; Story-level regression template</x:v>
      </x:c>
      <x:c r="Q598" s="21" t="str"/>
      <x:c r="R598" s="21" t="str">
        <x:v>Retain traceability; rerun focused verification if the affected boundary changes.</x:v>
      </x:c>
      <x:c r="S598" s="18" t="str"/>
      <x:c r="T598" s="20"/>
      <x:c r="U598" s="21" t="str">
        <x:v>Completion is based on immutable repository evidence; tests were not rerun and current working-tree drift was not re-certified in this reporting-only task.</x:v>
      </x:c>
      <x:c r="V598" s="1"/>
    </x:row>
    <x:row r="599" ht="46" customHeight="1">
      <x:c r="A599" s="17" t="n">
        <x:v>595</x:v>
      </x:c>
      <x:c r="B599" s="17" t="str">
        <x:v>Phase 2</x:v>
      </x:c>
      <x:c r="C599" s="17" t="str">
        <x:v>27.2</x:v>
      </x:c>
      <x:c r="D599" s="21" t="str">
        <x:v>Responsibility Matrix</x:v>
      </x:c>
      <x:c r="E599" s="17" t="n">
        <x:v>2</x:v>
      </x:c>
      <x:c r="F599" s="21" t="str">
        <x:v>Link responsibility to CMMC controls and evidence requests.</x:v>
      </x:c>
      <x:c r="G599" s="17" t="str">
        <x:v>Software implementation</x:v>
      </x:c>
      <x:c r="H599" s="17" t="str">
        <x:v>Planned</x:v>
      </x:c>
      <x:c r="I599" s="18" t="str">
        <x:v>Completed</x:v>
      </x:c>
      <x:c r="J599" s="17" t="str">
        <x:f>IF(OR(I599="Completed",I599="Not Applicable"),"No","Yes")</x:f>
        <x:v>No</x:v>
      </x:c>
      <x:c r="K599" s="17" t="str">
        <x:v>27.2 task 1</x:v>
      </x:c>
      <x:c r="L599" s="21" t="str">
        <x:v>Story-labeled commit eeeb4ece contains delivery and focused test/test-result files: feat: implement story 27.2 responsibility matrix</x:v>
      </x:c>
      <x:c r="M599" s="17" t="str">
        <x:v>Implementation commit + focused test artifacts</x:v>
      </x:c>
      <x:c r="N599" s="21" t="str">
        <x:v>git commit eeeb4ecea34e99ec89f99493469d9546ffab96c4; /Users/devups/Development/CodexProjects/Gccs/docs/development-story-test-cases.md</x:v>
      </x:c>
      <x:c r="O599" s="19" t="n">
        <x:v>46191.01768518519</x:v>
      </x:c>
      <x:c r="P599" s="21" t="str">
        <x:v>5 acceptance criteria; 5 TC references; implementation=yes; smoke=yes; automated=no; Story-level regression template</x:v>
      </x:c>
      <x:c r="Q599" s="21" t="str"/>
      <x:c r="R599" s="21" t="str">
        <x:v>Retain traceability; rerun focused verification if the affected boundary changes.</x:v>
      </x:c>
      <x:c r="S599" s="18" t="str"/>
      <x:c r="T599" s="20"/>
      <x:c r="U599" s="21" t="str">
        <x:v>Completion is based on immutable repository evidence; tests were not rerun and current working-tree drift was not re-certified in this reporting-only task.</x:v>
      </x:c>
      <x:c r="V599" s="1"/>
    </x:row>
    <x:row r="600" ht="46" customHeight="1">
      <x:c r="A600" s="17" t="n">
        <x:v>596</x:v>
      </x:c>
      <x:c r="B600" s="17" t="str">
        <x:v>Phase 2</x:v>
      </x:c>
      <x:c r="C600" s="17" t="str">
        <x:v>27.2</x:v>
      </x:c>
      <x:c r="D600" s="21" t="str">
        <x:v>Responsibility Matrix</x:v>
      </x:c>
      <x:c r="E600" s="17" t="n">
        <x:v>3</x:v>
      </x:c>
      <x:c r="F600" s="21" t="str">
        <x:v>Add matrix view grouped by control family and responsible party.</x:v>
      </x:c>
      <x:c r="G600" s="17" t="str">
        <x:v>Software implementation</x:v>
      </x:c>
      <x:c r="H600" s="17" t="str">
        <x:v>Planned</x:v>
      </x:c>
      <x:c r="I600" s="18" t="str">
        <x:v>Completed</x:v>
      </x:c>
      <x:c r="J600" s="17" t="str">
        <x:f>IF(OR(I600="Completed",I600="Not Applicable"),"No","Yes")</x:f>
        <x:v>No</x:v>
      </x:c>
      <x:c r="K600" s="17" t="str">
        <x:v>27.2 task 2</x:v>
      </x:c>
      <x:c r="L600" s="21" t="str">
        <x:v>Story-labeled commit eeeb4ece contains delivery and focused test/test-result files: feat: implement story 27.2 responsibility matrix</x:v>
      </x:c>
      <x:c r="M600" s="17" t="str">
        <x:v>Implementation commit + focused test artifacts</x:v>
      </x:c>
      <x:c r="N600" s="21" t="str">
        <x:v>git commit eeeb4ecea34e99ec89f99493469d9546ffab96c4; /Users/devups/Development/CodexProjects/Gccs/docs/development-story-test-cases.md</x:v>
      </x:c>
      <x:c r="O600" s="19" t="n">
        <x:v>46191.01768518519</x:v>
      </x:c>
      <x:c r="P600" s="21" t="str">
        <x:v>5 acceptance criteria; 5 TC references; implementation=yes; smoke=yes; automated=no; Story-level regression template</x:v>
      </x:c>
      <x:c r="Q600" s="21" t="str"/>
      <x:c r="R600" s="21" t="str">
        <x:v>Retain traceability; rerun focused verification if the affected boundary changes.</x:v>
      </x:c>
      <x:c r="S600" s="18" t="str"/>
      <x:c r="T600" s="20"/>
      <x:c r="U600" s="21" t="str">
        <x:v>Completion is based on immutable repository evidence; tests were not rerun and current working-tree drift was not re-certified in this reporting-only task.</x:v>
      </x:c>
      <x:c r="V600" s="1"/>
    </x:row>
    <x:row r="601" ht="46" customHeight="1">
      <x:c r="A601" s="17" t="n">
        <x:v>597</x:v>
      </x:c>
      <x:c r="B601" s="17" t="str">
        <x:v>Phase 2</x:v>
      </x:c>
      <x:c r="C601" s="17" t="str">
        <x:v>27.2</x:v>
      </x:c>
      <x:c r="D601" s="21" t="str">
        <x:v>Responsibility Matrix</x:v>
      </x:c>
      <x:c r="E601" s="17" t="n">
        <x:v>4</x:v>
      </x:c>
      <x:c r="F601" s="21" t="str">
        <x:v>Add export for review with advisors or MSPs.</x:v>
      </x:c>
      <x:c r="G601" s="17" t="str">
        <x:v>Software implementation</x:v>
      </x:c>
      <x:c r="H601" s="17" t="str">
        <x:v>Planned</x:v>
      </x:c>
      <x:c r="I601" s="18" t="str">
        <x:v>Completed</x:v>
      </x:c>
      <x:c r="J601" s="17" t="str">
        <x:f>IF(OR(I601="Completed",I601="Not Applicable"),"No","Yes")</x:f>
        <x:v>No</x:v>
      </x:c>
      <x:c r="K601" s="17" t="str">
        <x:v>27.2 task 3</x:v>
      </x:c>
      <x:c r="L601" s="21" t="str">
        <x:v>Story-labeled commit eeeb4ece contains delivery and focused test/test-result files: feat: implement story 27.2 responsibility matrix</x:v>
      </x:c>
      <x:c r="M601" s="17" t="str">
        <x:v>Implementation commit + focused test artifacts</x:v>
      </x:c>
      <x:c r="N601" s="21" t="str">
        <x:v>git commit eeeb4ecea34e99ec89f99493469d9546ffab96c4; /Users/devups/Development/CodexProjects/Gccs/docs/development-story-test-cases.md</x:v>
      </x:c>
      <x:c r="O601" s="19" t="n">
        <x:v>46191.01768518519</x:v>
      </x:c>
      <x:c r="P601" s="21" t="str">
        <x:v>5 acceptance criteria; 5 TC references; implementation=yes; smoke=yes; automated=no; Story-level regression template</x:v>
      </x:c>
      <x:c r="Q601" s="21" t="str"/>
      <x:c r="R601" s="21" t="str">
        <x:v>Retain traceability; rerun focused verification if the affected boundary changes.</x:v>
      </x:c>
      <x:c r="S601" s="18" t="str"/>
      <x:c r="T601" s="20"/>
      <x:c r="U601" s="21" t="str">
        <x:v>Completion is based on immutable repository evidence; tests were not rerun and current working-tree drift was not re-certified in this reporting-only task.</x:v>
      </x:c>
      <x:c r="V601" s="1"/>
    </x:row>
    <x:row r="602" ht="46" customHeight="1">
      <x:c r="A602" s="17" t="n">
        <x:v>598</x:v>
      </x:c>
      <x:c r="B602" s="17" t="str">
        <x:v>Phase 2</x:v>
      </x:c>
      <x:c r="C602" s="17" t="str">
        <x:v>27.2</x:v>
      </x:c>
      <x:c r="D602" s="21" t="str">
        <x:v>Responsibility Matrix</x:v>
      </x:c>
      <x:c r="E602" s="17" t="n">
        <x:v>5</x:v>
      </x:c>
      <x:c r="F602" s="21" t="str">
        <x:v>Add validation that controls with external responsibility include provider name or notes.</x:v>
      </x:c>
      <x:c r="G602" s="17" t="str">
        <x:v>Software implementation</x:v>
      </x:c>
      <x:c r="H602" s="17" t="str">
        <x:v>Planned</x:v>
      </x:c>
      <x:c r="I602" s="18" t="str">
        <x:v>Completed</x:v>
      </x:c>
      <x:c r="J602" s="17" t="str">
        <x:f>IF(OR(I602="Completed",I602="Not Applicable"),"No","Yes")</x:f>
        <x:v>No</x:v>
      </x:c>
      <x:c r="K602" s="17" t="str">
        <x:v>27.2 task 4</x:v>
      </x:c>
      <x:c r="L602" s="21" t="str">
        <x:v>Story-labeled commit eeeb4ece contains delivery and focused test/test-result files: feat: implement story 27.2 responsibility matrix</x:v>
      </x:c>
      <x:c r="M602" s="17" t="str">
        <x:v>Implementation commit + focused test artifacts</x:v>
      </x:c>
      <x:c r="N602" s="21" t="str">
        <x:v>git commit eeeb4ecea34e99ec89f99493469d9546ffab96c4; /Users/devups/Development/CodexProjects/Gccs/docs/development-story-test-cases.md</x:v>
      </x:c>
      <x:c r="O602" s="19" t="n">
        <x:v>46191.01768518519</x:v>
      </x:c>
      <x:c r="P602" s="21" t="str">
        <x:v>5 acceptance criteria; 5 TC references; implementation=yes; smoke=yes; automated=no; Story-level regression template</x:v>
      </x:c>
      <x:c r="Q602" s="21" t="str"/>
      <x:c r="R602" s="21" t="str">
        <x:v>Retain traceability; rerun focused verification if the affected boundary changes.</x:v>
      </x:c>
      <x:c r="S602" s="18" t="str"/>
      <x:c r="T602" s="20"/>
      <x:c r="U602" s="21" t="str">
        <x:v>Completion is based on immutable repository evidence; tests were not rerun and current working-tree drift was not re-certified in this reporting-only task.</x:v>
      </x:c>
      <x:c r="V602" s="1"/>
    </x:row>
    <x:row r="603" ht="46" customHeight="1">
      <x:c r="A603" s="17" t="n">
        <x:v>599</x:v>
      </x:c>
      <x:c r="B603" s="17" t="str">
        <x:v>Phase 2</x:v>
      </x:c>
      <x:c r="C603" s="17" t="str">
        <x:v>27.3</x:v>
      </x:c>
      <x:c r="D603" s="21" t="str">
        <x:v>Readiness Gap Prioritization</x:v>
      </x:c>
      <x:c r="E603" s="17" t="n">
        <x:v>1</x:v>
      </x:c>
      <x:c r="F603" s="21" t="str">
        <x:v>Define gap inputs for control status, evidence status, due date, risk level, CUI relevance, inherited responsibility, and assessment objective coverage.</x:v>
      </x:c>
      <x:c r="G603" s="17" t="str">
        <x:v>Software implementation</x:v>
      </x:c>
      <x:c r="H603" s="17" t="str">
        <x:v>Planned</x:v>
      </x:c>
      <x:c r="I603" s="18" t="str">
        <x:v>Completed</x:v>
      </x:c>
      <x:c r="J603" s="17" t="str">
        <x:f>IF(OR(I603="Completed",I603="Not Applicable"),"No","Yes")</x:f>
        <x:v>No</x:v>
      </x:c>
      <x:c r="K603" s="17" t="str">
        <x:v>27.2</x:v>
      </x:c>
      <x:c r="L603" s="21" t="str">
        <x:v>Story-labeled commit fb48aaa9 contains delivery and focused test/test-result files: feat: implement story 27.3 readiness gap prioritization</x:v>
      </x:c>
      <x:c r="M603" s="17" t="str">
        <x:v>Implementation commit + focused test artifacts</x:v>
      </x:c>
      <x:c r="N603" s="21" t="str">
        <x:v>git commit fb48aaa9115b8dc109980d2bb577b27fdc9974d6; /Users/devups/Development/CodexProjects/Gccs/docs/development-story-test-cases.md</x:v>
      </x:c>
      <x:c r="O603" s="19" t="n">
        <x:v>46191.02070601852</x:v>
      </x:c>
      <x:c r="P603" s="21" t="str">
        <x:v>5 acceptance criteria; 5 TC references; implementation=yes; smoke=yes; automated=no; Story-level regression template</x:v>
      </x:c>
      <x:c r="Q603" s="21" t="str"/>
      <x:c r="R603" s="21" t="str">
        <x:v>Retain traceability; rerun focused verification if the affected boundary changes.</x:v>
      </x:c>
      <x:c r="S603" s="18" t="str"/>
      <x:c r="T603" s="20"/>
      <x:c r="U603" s="21" t="str">
        <x:v>Completion is based on immutable repository evidence; tests were not rerun and current working-tree drift was not re-certified in this reporting-only task.</x:v>
      </x:c>
      <x:c r="V603" s="1"/>
    </x:row>
    <x:row r="604" ht="46" customHeight="1">
      <x:c r="A604" s="17" t="n">
        <x:v>600</x:v>
      </x:c>
      <x:c r="B604" s="17" t="str">
        <x:v>Phase 2</x:v>
      </x:c>
      <x:c r="C604" s="17" t="str">
        <x:v>27.3</x:v>
      </x:c>
      <x:c r="D604" s="21" t="str">
        <x:v>Readiness Gap Prioritization</x:v>
      </x:c>
      <x:c r="E604" s="17" t="n">
        <x:v>2</x:v>
      </x:c>
      <x:c r="F604" s="21" t="str">
        <x:v>Calculate gap priority such as critical, high, medium, low, and needs review.</x:v>
      </x:c>
      <x:c r="G604" s="17" t="str">
        <x:v>Software implementation</x:v>
      </x:c>
      <x:c r="H604" s="17" t="str">
        <x:v>Planned</x:v>
      </x:c>
      <x:c r="I604" s="18" t="str">
        <x:v>Completed</x:v>
      </x:c>
      <x:c r="J604" s="17" t="str">
        <x:f>IF(OR(I604="Completed",I604="Not Applicable"),"No","Yes")</x:f>
        <x:v>No</x:v>
      </x:c>
      <x:c r="K604" s="17" t="str">
        <x:v>27.3 task 1</x:v>
      </x:c>
      <x:c r="L604" s="21" t="str">
        <x:v>Story-labeled commit fb48aaa9 contains delivery and focused test/test-result files: feat: implement story 27.3 readiness gap prioritization</x:v>
      </x:c>
      <x:c r="M604" s="17" t="str">
        <x:v>Implementation commit + focused test artifacts</x:v>
      </x:c>
      <x:c r="N604" s="21" t="str">
        <x:v>git commit fb48aaa9115b8dc109980d2bb577b27fdc9974d6; /Users/devups/Development/CodexProjects/Gccs/docs/development-story-test-cases.md</x:v>
      </x:c>
      <x:c r="O604" s="19" t="n">
        <x:v>46191.02070601852</x:v>
      </x:c>
      <x:c r="P604" s="21" t="str">
        <x:v>5 acceptance criteria; 5 TC references; implementation=yes; smoke=yes; automated=no; Story-level regression template</x:v>
      </x:c>
      <x:c r="Q604" s="21" t="str"/>
      <x:c r="R604" s="21" t="str">
        <x:v>Retain traceability; rerun focused verification if the affected boundary changes.</x:v>
      </x:c>
      <x:c r="S604" s="18" t="str"/>
      <x:c r="T604" s="20"/>
      <x:c r="U604" s="21" t="str">
        <x:v>Completion is based on immutable repository evidence; tests were not rerun and current working-tree drift was not re-certified in this reporting-only task.</x:v>
      </x:c>
      <x:c r="V604" s="1"/>
    </x:row>
    <x:row r="605" ht="46" customHeight="1">
      <x:c r="A605" s="17" t="n">
        <x:v>601</x:v>
      </x:c>
      <x:c r="B605" s="17" t="str">
        <x:v>Phase 2</x:v>
      </x:c>
      <x:c r="C605" s="17" t="str">
        <x:v>27.3</x:v>
      </x:c>
      <x:c r="D605" s="21" t="str">
        <x:v>Readiness Gap Prioritization</x:v>
      </x:c>
      <x:c r="E605" s="17" t="n">
        <x:v>3</x:v>
      </x:c>
      <x:c r="F605" s="21" t="str">
        <x:v>Show prioritized gaps on CMMC dashboard.</x:v>
      </x:c>
      <x:c r="G605" s="17" t="str">
        <x:v>Software implementation</x:v>
      </x:c>
      <x:c r="H605" s="17" t="str">
        <x:v>Planned</x:v>
      </x:c>
      <x:c r="I605" s="18" t="str">
        <x:v>Completed</x:v>
      </x:c>
      <x:c r="J605" s="17" t="str">
        <x:f>IF(OR(I605="Completed",I605="Not Applicable"),"No","Yes")</x:f>
        <x:v>No</x:v>
      </x:c>
      <x:c r="K605" s="17" t="str">
        <x:v>27.3 task 2</x:v>
      </x:c>
      <x:c r="L605" s="21" t="str">
        <x:v>Story-labeled commit fb48aaa9 contains delivery and focused test/test-result files: feat: implement story 27.3 readiness gap prioritization</x:v>
      </x:c>
      <x:c r="M605" s="17" t="str">
        <x:v>Implementation commit + focused test artifacts</x:v>
      </x:c>
      <x:c r="N605" s="21" t="str">
        <x:v>git commit fb48aaa9115b8dc109980d2bb577b27fdc9974d6; /Users/devups/Development/CodexProjects/Gccs/docs/development-story-test-cases.md</x:v>
      </x:c>
      <x:c r="O605" s="19" t="n">
        <x:v>46191.02070601852</x:v>
      </x:c>
      <x:c r="P605" s="21" t="str">
        <x:v>5 acceptance criteria; 5 TC references; implementation=yes; smoke=yes; automated=no; Story-level regression template</x:v>
      </x:c>
      <x:c r="Q605" s="21" t="str"/>
      <x:c r="R605" s="21" t="str">
        <x:v>Retain traceability; rerun focused verification if the affected boundary changes.</x:v>
      </x:c>
      <x:c r="S605" s="18" t="str"/>
      <x:c r="T605" s="20"/>
      <x:c r="U605" s="21" t="str">
        <x:v>Completion is based on immutable repository evidence; tests were not rerun and current working-tree drift was not re-certified in this reporting-only task.</x:v>
      </x:c>
      <x:c r="V605" s="1"/>
    </x:row>
    <x:row r="606" ht="46" customHeight="1">
      <x:c r="A606" s="17" t="n">
        <x:v>602</x:v>
      </x:c>
      <x:c r="B606" s="17" t="str">
        <x:v>Phase 2</x:v>
      </x:c>
      <x:c r="C606" s="17" t="str">
        <x:v>27.3</x:v>
      </x:c>
      <x:c r="D606" s="21" t="str">
        <x:v>Readiness Gap Prioritization</x:v>
      </x:c>
      <x:c r="E606" s="17" t="n">
        <x:v>4</x:v>
      </x:c>
      <x:c r="F606" s="21" t="str">
        <x:v>Allow creating POA&amp;M or task items from gaps.</x:v>
      </x:c>
      <x:c r="G606" s="17" t="str">
        <x:v>Software implementation</x:v>
      </x:c>
      <x:c r="H606" s="17" t="str">
        <x:v>Planned</x:v>
      </x:c>
      <x:c r="I606" s="18" t="str">
        <x:v>Completed</x:v>
      </x:c>
      <x:c r="J606" s="17" t="str">
        <x:f>IF(OR(I606="Completed",I606="Not Applicable"),"No","Yes")</x:f>
        <x:v>No</x:v>
      </x:c>
      <x:c r="K606" s="17" t="str">
        <x:v>27.3 task 3</x:v>
      </x:c>
      <x:c r="L606" s="21" t="str">
        <x:v>Story-labeled commit fb48aaa9 contains delivery and focused test/test-result files: feat: implement story 27.3 readiness gap prioritization</x:v>
      </x:c>
      <x:c r="M606" s="17" t="str">
        <x:v>Implementation commit + focused test artifacts</x:v>
      </x:c>
      <x:c r="N606" s="21" t="str">
        <x:v>git commit fb48aaa9115b8dc109980d2bb577b27fdc9974d6; /Users/devups/Development/CodexProjects/Gccs/docs/development-story-test-cases.md</x:v>
      </x:c>
      <x:c r="O606" s="19" t="n">
        <x:v>46191.02070601852</x:v>
      </x:c>
      <x:c r="P606" s="21" t="str">
        <x:v>5 acceptance criteria; 5 TC references; implementation=yes; smoke=yes; automated=no; Story-level regression template</x:v>
      </x:c>
      <x:c r="Q606" s="21" t="str"/>
      <x:c r="R606" s="21" t="str">
        <x:v>Retain traceability; rerun focused verification if the affected boundary changes.</x:v>
      </x:c>
      <x:c r="S606" s="18" t="str"/>
      <x:c r="T606" s="20"/>
      <x:c r="U606" s="21" t="str">
        <x:v>Completion is based on immutable repository evidence; tests were not rerun and current working-tree drift was not re-certified in this reporting-only task.</x:v>
      </x:c>
      <x:c r="V606" s="1"/>
    </x:row>
    <x:row r="607" ht="46" customHeight="1">
      <x:c r="A607" s="17" t="n">
        <x:v>603</x:v>
      </x:c>
      <x:c r="B607" s="17" t="str">
        <x:v>Phase 2</x:v>
      </x:c>
      <x:c r="C607" s="17" t="str">
        <x:v>27.3</x:v>
      </x:c>
      <x:c r="D607" s="21" t="str">
        <x:v>Readiness Gap Prioritization</x:v>
      </x:c>
      <x:c r="E607" s="17" t="n">
        <x:v>5</x:v>
      </x:c>
      <x:c r="F607" s="21" t="str">
        <x:v>Add tests for priority rules.</x:v>
      </x:c>
      <x:c r="G607" s="17" t="str">
        <x:v>Software implementation</x:v>
      </x:c>
      <x:c r="H607" s="17" t="str">
        <x:v>Planned</x:v>
      </x:c>
      <x:c r="I607" s="18" t="str">
        <x:v>Completed</x:v>
      </x:c>
      <x:c r="J607" s="17" t="str">
        <x:f>IF(OR(I607="Completed",I607="Not Applicable"),"No","Yes")</x:f>
        <x:v>No</x:v>
      </x:c>
      <x:c r="K607" s="17" t="str">
        <x:v>27.3 task 4</x:v>
      </x:c>
      <x:c r="L607" s="21" t="str">
        <x:v>Story-labeled commit fb48aaa9 contains delivery and focused test/test-result files: feat: implement story 27.3 readiness gap prioritization</x:v>
      </x:c>
      <x:c r="M607" s="17" t="str">
        <x:v>Implementation commit + focused test artifacts</x:v>
      </x:c>
      <x:c r="N607" s="21" t="str">
        <x:v>git commit fb48aaa9115b8dc109980d2bb577b27fdc9974d6; /Users/devups/Development/CodexProjects/Gccs/docs/development-story-test-cases.md</x:v>
      </x:c>
      <x:c r="O607" s="19" t="n">
        <x:v>46191.02070601852</x:v>
      </x:c>
      <x:c r="P607" s="21" t="str">
        <x:v>5 acceptance criteria; 5 TC references; implementation=yes; smoke=yes; automated=no; Story-level regression template</x:v>
      </x:c>
      <x:c r="Q607" s="21" t="str"/>
      <x:c r="R607" s="21" t="str">
        <x:v>Retain traceability; rerun focused verification if the affected boundary changes.</x:v>
      </x:c>
      <x:c r="S607" s="18" t="str"/>
      <x:c r="T607" s="20"/>
      <x:c r="U607" s="21" t="str">
        <x:v>Completion is based on immutable repository evidence; tests were not rerun and current working-tree drift was not re-certified in this reporting-only task.</x:v>
      </x:c>
      <x:c r="V607" s="1"/>
    </x:row>
    <x:row r="608" ht="46" customHeight="1">
      <x:c r="A608" s="17" t="n">
        <x:v>604</x:v>
      </x:c>
      <x:c r="B608" s="17" t="str">
        <x:v>Phase 2</x:v>
      </x:c>
      <x:c r="C608" s="17" t="str">
        <x:v>27.4</x:v>
      </x:c>
      <x:c r="D608" s="21" t="str">
        <x:v>Level 2 Readiness Report</x:v>
      </x:c>
      <x:c r="E608" s="17" t="n">
        <x:v>1</x:v>
      </x:c>
      <x:c r="F608" s="21" t="str">
        <x:v>Add report sections for control status, evidence status, gaps, POA&amp;M items, responsibility matrix, and source references.</x:v>
      </x:c>
      <x:c r="G608" s="17" t="str">
        <x:v>Software implementation</x:v>
      </x:c>
      <x:c r="H608" s="17" t="str">
        <x:v>Planned</x:v>
      </x:c>
      <x:c r="I608" s="18" t="str">
        <x:v>Completed</x:v>
      </x:c>
      <x:c r="J608" s="17" t="str">
        <x:f>IF(OR(I608="Completed",I608="Not Applicable"),"No","Yes")</x:f>
        <x:v>No</x:v>
      </x:c>
      <x:c r="K608" s="17" t="str">
        <x:v>27.3</x:v>
      </x:c>
      <x:c r="L608" s="21" t="str">
        <x:v>Story-labeled commit a3911b7c contains delivery and focused test/test-result files: feat: implement story 27.4 level 2 readiness report</x:v>
      </x:c>
      <x:c r="M608" s="17" t="str">
        <x:v>Implementation commit + focused test artifacts</x:v>
      </x:c>
      <x:c r="N608" s="21" t="str">
        <x:v>git commit a3911b7c779f8b6adae14fa9911cde37ae2e8e6a; /Users/devups/Development/CodexProjects/Gccs/docs/development-story-test-cases.md</x:v>
      </x:c>
      <x:c r="O608" s="19" t="n">
        <x:v>46191.02297453704</x:v>
      </x:c>
      <x:c r="P608" s="21" t="str">
        <x:v>5 acceptance criteria; 5 TC references; implementation=yes; smoke=yes; automated=no; Story-level regression template</x:v>
      </x:c>
      <x:c r="Q608" s="21" t="str"/>
      <x:c r="R608" s="21" t="str">
        <x:v>Retain traceability; rerun focused verification if the affected boundary changes.</x:v>
      </x:c>
      <x:c r="S608" s="18" t="str"/>
      <x:c r="T608" s="20"/>
      <x:c r="U608" s="21" t="str">
        <x:v>Completion is based on immutable repository evidence; tests were not rerun and current working-tree drift was not re-certified in this reporting-only task.</x:v>
      </x:c>
      <x:c r="V608" s="1"/>
    </x:row>
    <x:row r="609" ht="46" customHeight="1">
      <x:c r="A609" s="17" t="n">
        <x:v>605</x:v>
      </x:c>
      <x:c r="B609" s="17" t="str">
        <x:v>Phase 2</x:v>
      </x:c>
      <x:c r="C609" s="17" t="str">
        <x:v>27.4</x:v>
      </x:c>
      <x:c r="D609" s="21" t="str">
        <x:v>Level 2 Readiness Report</x:v>
      </x:c>
      <x:c r="E609" s="17" t="n">
        <x:v>2</x:v>
      </x:c>
      <x:c r="F609" s="21" t="str">
        <x:v>Mark report output as readiness tracking and not certification or assessment determination.</x:v>
      </x:c>
      <x:c r="G609" s="17" t="str">
        <x:v>Software implementation</x:v>
      </x:c>
      <x:c r="H609" s="17" t="str">
        <x:v>Planned</x:v>
      </x:c>
      <x:c r="I609" s="18" t="str">
        <x:v>Completed</x:v>
      </x:c>
      <x:c r="J609" s="17" t="str">
        <x:f>IF(OR(I609="Completed",I609="Not Applicable"),"No","Yes")</x:f>
        <x:v>No</x:v>
      </x:c>
      <x:c r="K609" s="17" t="str">
        <x:v>27.4 task 1</x:v>
      </x:c>
      <x:c r="L609" s="21" t="str">
        <x:v>Story-labeled commit a3911b7c contains delivery and focused test/test-result files: feat: implement story 27.4 level 2 readiness report</x:v>
      </x:c>
      <x:c r="M609" s="17" t="str">
        <x:v>Implementation commit + focused test artifacts</x:v>
      </x:c>
      <x:c r="N609" s="21" t="str">
        <x:v>git commit a3911b7c779f8b6adae14fa9911cde37ae2e8e6a; /Users/devups/Development/CodexProjects/Gccs/docs/development-story-test-cases.md</x:v>
      </x:c>
      <x:c r="O609" s="19" t="n">
        <x:v>46191.02297453704</x:v>
      </x:c>
      <x:c r="P609" s="21" t="str">
        <x:v>5 acceptance criteria; 5 TC references; implementation=yes; smoke=yes; automated=no; Story-level regression template</x:v>
      </x:c>
      <x:c r="Q609" s="21" t="str"/>
      <x:c r="R609" s="21" t="str">
        <x:v>Retain traceability; rerun focused verification if the affected boundary changes.</x:v>
      </x:c>
      <x:c r="S609" s="18" t="str"/>
      <x:c r="T609" s="20"/>
      <x:c r="U609" s="21" t="str">
        <x:v>Completion is based on immutable repository evidence; tests were not rerun and current working-tree drift was not re-certified in this reporting-only task.</x:v>
      </x:c>
      <x:c r="V609" s="1"/>
    </x:row>
    <x:row r="610" ht="46" customHeight="1">
      <x:c r="A610" s="17" t="n">
        <x:v>606</x:v>
      </x:c>
      <x:c r="B610" s="17" t="str">
        <x:v>Phase 2</x:v>
      </x:c>
      <x:c r="C610" s="17" t="str">
        <x:v>27.4</x:v>
      </x:c>
      <x:c r="D610" s="21" t="str">
        <x:v>Level 2 Readiness Report</x:v>
      </x:c>
      <x:c r="E610" s="17" t="n">
        <x:v>3</x:v>
      </x:c>
      <x:c r="F610" s="21" t="str">
        <x:v>Include generated date, tenant, source control version, and reviewer metadata.</x:v>
      </x:c>
      <x:c r="G610" s="17" t="str">
        <x:v>Software implementation</x:v>
      </x:c>
      <x:c r="H610" s="17" t="str">
        <x:v>Planned</x:v>
      </x:c>
      <x:c r="I610" s="18" t="str">
        <x:v>Completed</x:v>
      </x:c>
      <x:c r="J610" s="17" t="str">
        <x:f>IF(OR(I610="Completed",I610="Not Applicable"),"No","Yes")</x:f>
        <x:v>No</x:v>
      </x:c>
      <x:c r="K610" s="17" t="str">
        <x:v>27.4 task 2</x:v>
      </x:c>
      <x:c r="L610" s="21" t="str">
        <x:v>Story-labeled commit a3911b7c contains delivery and focused test/test-result files: feat: implement story 27.4 level 2 readiness report</x:v>
      </x:c>
      <x:c r="M610" s="17" t="str">
        <x:v>Implementation commit + focused test artifacts</x:v>
      </x:c>
      <x:c r="N610" s="21" t="str">
        <x:v>git commit a3911b7c779f8b6adae14fa9911cde37ae2e8e6a; /Users/devups/Development/CodexProjects/Gccs/docs/development-story-test-cases.md</x:v>
      </x:c>
      <x:c r="O610" s="19" t="n">
        <x:v>46191.02297453704</x:v>
      </x:c>
      <x:c r="P610" s="21" t="str">
        <x:v>5 acceptance criteria; 5 TC references; implementation=yes; smoke=yes; automated=no; Story-level regression template</x:v>
      </x:c>
      <x:c r="Q610" s="21" t="str"/>
      <x:c r="R610" s="21" t="str">
        <x:v>Retain traceability; rerun focused verification if the affected boundary changes.</x:v>
      </x:c>
      <x:c r="S610" s="18" t="str"/>
      <x:c r="T610" s="20"/>
      <x:c r="U610" s="21" t="str">
        <x:v>Completion is based on immutable repository evidence; tests were not rerun and current working-tree drift was not re-certified in this reporting-only task.</x:v>
      </x:c>
      <x:c r="V610" s="1"/>
    </x:row>
    <x:row r="611" ht="46" customHeight="1">
      <x:c r="A611" s="17" t="n">
        <x:v>607</x:v>
      </x:c>
      <x:c r="B611" s="17" t="str">
        <x:v>Phase 2</x:v>
      </x:c>
      <x:c r="C611" s="17" t="str">
        <x:v>27.4</x:v>
      </x:c>
      <x:c r="D611" s="21" t="str">
        <x:v>Level 2 Readiness Report</x:v>
      </x:c>
      <x:c r="E611" s="17" t="n">
        <x:v>4</x:v>
      </x:c>
      <x:c r="F611" s="21" t="str">
        <x:v>Add export to existing report format.</x:v>
      </x:c>
      <x:c r="G611" s="17" t="str">
        <x:v>Software implementation</x:v>
      </x:c>
      <x:c r="H611" s="17" t="str">
        <x:v>Planned</x:v>
      </x:c>
      <x:c r="I611" s="18" t="str">
        <x:v>Completed</x:v>
      </x:c>
      <x:c r="J611" s="17" t="str">
        <x:f>IF(OR(I611="Completed",I611="Not Applicable"),"No","Yes")</x:f>
        <x:v>No</x:v>
      </x:c>
      <x:c r="K611" s="17" t="str">
        <x:v>27.4 task 3</x:v>
      </x:c>
      <x:c r="L611" s="21" t="str">
        <x:v>Story-labeled commit a3911b7c contains delivery and focused test/test-result files: feat: implement story 27.4 level 2 readiness report</x:v>
      </x:c>
      <x:c r="M611" s="17" t="str">
        <x:v>Implementation commit + focused test artifacts</x:v>
      </x:c>
      <x:c r="N611" s="21" t="str">
        <x:v>git commit a3911b7c779f8b6adae14fa9911cde37ae2e8e6a; /Users/devups/Development/CodexProjects/Gccs/docs/development-story-test-cases.md</x:v>
      </x:c>
      <x:c r="O611" s="19" t="n">
        <x:v>46191.02297453704</x:v>
      </x:c>
      <x:c r="P611" s="21" t="str">
        <x:v>5 acceptance criteria; 5 TC references; implementation=yes; smoke=yes; automated=no; Story-level regression template</x:v>
      </x:c>
      <x:c r="Q611" s="21" t="str"/>
      <x:c r="R611" s="21" t="str">
        <x:v>Retain traceability; rerun focused verification if the affected boundary changes.</x:v>
      </x:c>
      <x:c r="S611" s="18" t="str"/>
      <x:c r="T611" s="20"/>
      <x:c r="U611" s="21" t="str">
        <x:v>Completion is based on immutable repository evidence; tests were not rerun and current working-tree drift was not re-certified in this reporting-only task.</x:v>
      </x:c>
      <x:c r="V611" s="1"/>
    </x:row>
    <x:row r="612" ht="46" customHeight="1">
      <x:c r="A612" s="17" t="n">
        <x:v>608</x:v>
      </x:c>
      <x:c r="B612" s="17" t="str">
        <x:v>Phase 2</x:v>
      </x:c>
      <x:c r="C612" s="17" t="str">
        <x:v>27.4</x:v>
      </x:c>
      <x:c r="D612" s="21" t="str">
        <x:v>Level 2 Readiness Report</x:v>
      </x:c>
      <x:c r="E612" s="17" t="n">
        <x:v>5</x:v>
      </x:c>
      <x:c r="F612" s="21" t="str">
        <x:v>Add permission checks for report generation and viewing.</x:v>
      </x:c>
      <x:c r="G612" s="17" t="str">
        <x:v>Software implementation</x:v>
      </x:c>
      <x:c r="H612" s="17" t="str">
        <x:v>Planned</x:v>
      </x:c>
      <x:c r="I612" s="18" t="str">
        <x:v>Completed</x:v>
      </x:c>
      <x:c r="J612" s="17" t="str">
        <x:f>IF(OR(I612="Completed",I612="Not Applicable"),"No","Yes")</x:f>
        <x:v>No</x:v>
      </x:c>
      <x:c r="K612" s="17" t="str">
        <x:v>27.4 task 4</x:v>
      </x:c>
      <x:c r="L612" s="21" t="str">
        <x:v>Story-labeled commit a3911b7c contains delivery and focused test/test-result files: feat: implement story 27.4 level 2 readiness report</x:v>
      </x:c>
      <x:c r="M612" s="17" t="str">
        <x:v>Implementation commit + focused test artifacts</x:v>
      </x:c>
      <x:c r="N612" s="21" t="str">
        <x:v>git commit a3911b7c779f8b6adae14fa9911cde37ae2e8e6a; /Users/devups/Development/CodexProjects/Gccs/docs/development-story-test-cases.md</x:v>
      </x:c>
      <x:c r="O612" s="19" t="n">
        <x:v>46191.02297453704</x:v>
      </x:c>
      <x:c r="P612" s="21" t="str">
        <x:v>5 acceptance criteria; 5 TC references; implementation=yes; smoke=yes; automated=no; Story-level regression template</x:v>
      </x:c>
      <x:c r="Q612" s="21" t="str"/>
      <x:c r="R612" s="21" t="str">
        <x:v>Retain traceability; rerun focused verification if the affected boundary changes.</x:v>
      </x:c>
      <x:c r="S612" s="18" t="str"/>
      <x:c r="T612" s="20"/>
      <x:c r="U612" s="21" t="str">
        <x:v>Completion is based on immutable repository evidence; tests were not rerun and current working-tree drift was not re-certified in this reporting-only task.</x:v>
      </x:c>
      <x:c r="V612" s="1"/>
    </x:row>
    <x:row r="613" ht="46" customHeight="1">
      <x:c r="A613" s="17" t="n">
        <x:v>609</x:v>
      </x:c>
      <x:c r="B613" s="17" t="str">
        <x:v>Phase 2</x:v>
      </x:c>
      <x:c r="C613" s="17" t="str">
        <x:v>28.1</x:v>
      </x:c>
      <x:c r="D613" s="21" t="str">
        <x:v>Curated Test Document Set</x:v>
      </x:c>
      <x:c r="E613" s="17" t="n">
        <x:v>1</x:v>
      </x:c>
      <x:c r="F613" s="21" t="str">
        <x:v>Create approved test corpus using public, synthetic, or customer-approved non-CUI documents.</x:v>
      </x:c>
      <x:c r="G613" s="17" t="str">
        <x:v>Software implementation</x:v>
      </x:c>
      <x:c r="H613" s="17" t="str">
        <x:v>Planned</x:v>
      </x:c>
      <x:c r="I613" s="18" t="str">
        <x:v>Completed</x:v>
      </x:c>
      <x:c r="J613" s="17" t="str">
        <x:f>IF(OR(I613="Completed",I613="Not Applicable"),"No","Yes")</x:f>
        <x:v>No</x:v>
      </x:c>
      <x:c r="K613" s="17" t="str">
        <x:v>27.4</x:v>
      </x:c>
      <x:c r="L613" s="21" t="str">
        <x:v>Story-labeled commit 5d9a5ef3 contains delivery and focused test/test-result files: Implement Story 28.1: Curated Test Document Set,Story 28.2: Precision And Recall Evaluation and Story 28.3: Extraction Regression Review.</x:v>
      </x:c>
      <x:c r="M613" s="17" t="str">
        <x:v>Implementation commit + focused test artifacts</x:v>
      </x:c>
      <x:c r="N613" s="21" t="str">
        <x:v>git commit 5d9a5ef3cb3c1e4cf0b8783c83494440ac9325ab; /Users/devups/Development/CodexProjects/Gccs/docs/development-story-test-cases.md</x:v>
      </x:c>
      <x:c r="O613" s="19" t="n">
        <x:v>46191.74922453704</x:v>
      </x:c>
      <x:c r="P613" s="21" t="str">
        <x:v>5 acceptance criteria; 5 TC references; implementation=yes; smoke=yes; automated=no; Story-level regression template</x:v>
      </x:c>
      <x:c r="Q613" s="21" t="str"/>
      <x:c r="R613" s="21" t="str">
        <x:v>Retain traceability; rerun focused verification if the affected boundary changes.</x:v>
      </x:c>
      <x:c r="S613" s="18" t="str"/>
      <x:c r="T613" s="20"/>
      <x:c r="U613" s="21" t="str">
        <x:v>Completion is based on immutable repository evidence; tests were not rerun and current working-tree drift was not re-certified in this reporting-only task.</x:v>
      </x:c>
      <x:c r="V613" s="1"/>
    </x:row>
    <x:row r="614" ht="46" customHeight="1">
      <x:c r="A614" s="17" t="n">
        <x:v>610</x:v>
      </x:c>
      <x:c r="B614" s="17" t="str">
        <x:v>Phase 2</x:v>
      </x:c>
      <x:c r="C614" s="17" t="str">
        <x:v>28.1</x:v>
      </x:c>
      <x:c r="D614" s="21" t="str">
        <x:v>Curated Test Document Set</x:v>
      </x:c>
      <x:c r="E614" s="17" t="n">
        <x:v>2</x:v>
      </x:c>
      <x:c r="F614" s="21" t="str">
        <x:v>Label expected clause citations, source locations, titles, and flow-down indicators.</x:v>
      </x:c>
      <x:c r="G614" s="17" t="str">
        <x:v>Software implementation</x:v>
      </x:c>
      <x:c r="H614" s="17" t="str">
        <x:v>Planned</x:v>
      </x:c>
      <x:c r="I614" s="18" t="str">
        <x:v>Completed</x:v>
      </x:c>
      <x:c r="J614" s="17" t="str">
        <x:f>IF(OR(I614="Completed",I614="Not Applicable"),"No","Yes")</x:f>
        <x:v>No</x:v>
      </x:c>
      <x:c r="K614" s="17" t="str">
        <x:v>28.1 task 1</x:v>
      </x:c>
      <x:c r="L614" s="21" t="str">
        <x:v>Story-labeled commit 5d9a5ef3 contains delivery and focused test/test-result files: Implement Story 28.1: Curated Test Document Set,Story 28.2: Precision And Recall Evaluation and Story 28.3: Extraction Regression Review.</x:v>
      </x:c>
      <x:c r="M614" s="17" t="str">
        <x:v>Implementation commit + focused test artifacts</x:v>
      </x:c>
      <x:c r="N614" s="21" t="str">
        <x:v>git commit 5d9a5ef3cb3c1e4cf0b8783c83494440ac9325ab; /Users/devups/Development/CodexProjects/Gccs/docs/development-story-test-cases.md</x:v>
      </x:c>
      <x:c r="O614" s="19" t="n">
        <x:v>46191.74922453704</x:v>
      </x:c>
      <x:c r="P614" s="21" t="str">
        <x:v>5 acceptance criteria; 5 TC references; implementation=yes; smoke=yes; automated=no; Story-level regression template</x:v>
      </x:c>
      <x:c r="Q614" s="21" t="str"/>
      <x:c r="R614" s="21" t="str">
        <x:v>Retain traceability; rerun focused verification if the affected boundary changes.</x:v>
      </x:c>
      <x:c r="S614" s="18" t="str"/>
      <x:c r="T614" s="20"/>
      <x:c r="U614" s="21" t="str">
        <x:v>Completion is based on immutable repository evidence; tests were not rerun and current working-tree drift was not re-certified in this reporting-only task.</x:v>
      </x:c>
      <x:c r="V614" s="1"/>
    </x:row>
    <x:row r="615" ht="46" customHeight="1">
      <x:c r="A615" s="17" t="n">
        <x:v>611</x:v>
      </x:c>
      <x:c r="B615" s="17" t="str">
        <x:v>Phase 2</x:v>
      </x:c>
      <x:c r="C615" s="17" t="str">
        <x:v>28.1</x:v>
      </x:c>
      <x:c r="D615" s="21" t="str">
        <x:v>Curated Test Document Set</x:v>
      </x:c>
      <x:c r="E615" s="17" t="n">
        <x:v>3</x:v>
      </x:c>
      <x:c r="F615" s="21" t="str">
        <x:v>Store test metadata including document type, agency/source family, contract type, and known limitations.</x:v>
      </x:c>
      <x:c r="G615" s="17" t="str">
        <x:v>Software implementation</x:v>
      </x:c>
      <x:c r="H615" s="17" t="str">
        <x:v>Planned</x:v>
      </x:c>
      <x:c r="I615" s="18" t="str">
        <x:v>Completed</x:v>
      </x:c>
      <x:c r="J615" s="17" t="str">
        <x:f>IF(OR(I615="Completed",I615="Not Applicable"),"No","Yes")</x:f>
        <x:v>No</x:v>
      </x:c>
      <x:c r="K615" s="17" t="str">
        <x:v>28.1 task 2</x:v>
      </x:c>
      <x:c r="L615" s="21" t="str">
        <x:v>Story-labeled commit 5d9a5ef3 contains delivery and focused test/test-result files: Implement Story 28.1: Curated Test Document Set,Story 28.2: Precision And Recall Evaluation and Story 28.3: Extraction Regression Review.</x:v>
      </x:c>
      <x:c r="M615" s="17" t="str">
        <x:v>Implementation commit + focused test artifacts</x:v>
      </x:c>
      <x:c r="N615" s="21" t="str">
        <x:v>git commit 5d9a5ef3cb3c1e4cf0b8783c83494440ac9325ab; /Users/devups/Development/CodexProjects/Gccs/docs/development-story-test-cases.md</x:v>
      </x:c>
      <x:c r="O615" s="19" t="n">
        <x:v>46191.74922453704</x:v>
      </x:c>
      <x:c r="P615" s="21" t="str">
        <x:v>5 acceptance criteria; 5 TC references; implementation=yes; smoke=yes; automated=no; Story-level regression template</x:v>
      </x:c>
      <x:c r="Q615" s="21" t="str"/>
      <x:c r="R615" s="21" t="str">
        <x:v>Retain traceability; rerun focused verification if the affected boundary changes.</x:v>
      </x:c>
      <x:c r="S615" s="18" t="str"/>
      <x:c r="T615" s="20"/>
      <x:c r="U615" s="21" t="str">
        <x:v>Completion is based on immutable repository evidence; tests were not rerun and current working-tree drift was not re-certified in this reporting-only task.</x:v>
      </x:c>
      <x:c r="V615" s="1"/>
    </x:row>
    <x:row r="616" ht="46" customHeight="1">
      <x:c r="A616" s="17" t="n">
        <x:v>612</x:v>
      </x:c>
      <x:c r="B616" s="17" t="str">
        <x:v>Phase 2</x:v>
      </x:c>
      <x:c r="C616" s="17" t="str">
        <x:v>28.1</x:v>
      </x:c>
      <x:c r="D616" s="21" t="str">
        <x:v>Curated Test Document Set</x:v>
      </x:c>
      <x:c r="E616" s="17" t="n">
        <x:v>4</x:v>
      </x:c>
      <x:c r="F616" s="21" t="str">
        <x:v>Add review workflow for label quality.</x:v>
      </x:c>
      <x:c r="G616" s="17" t="str">
        <x:v>Software implementation</x:v>
      </x:c>
      <x:c r="H616" s="17" t="str">
        <x:v>Planned</x:v>
      </x:c>
      <x:c r="I616" s="18" t="str">
        <x:v>Completed</x:v>
      </x:c>
      <x:c r="J616" s="17" t="str">
        <x:f>IF(OR(I616="Completed",I616="Not Applicable"),"No","Yes")</x:f>
        <x:v>No</x:v>
      </x:c>
      <x:c r="K616" s="17" t="str">
        <x:v>28.1 task 3</x:v>
      </x:c>
      <x:c r="L616" s="21" t="str">
        <x:v>Story-labeled commit 5d9a5ef3 contains delivery and focused test/test-result files: Implement Story 28.1: Curated Test Document Set,Story 28.2: Precision And Recall Evaluation and Story 28.3: Extraction Regression Review.</x:v>
      </x:c>
      <x:c r="M616" s="17" t="str">
        <x:v>Implementation commit + focused test artifacts</x:v>
      </x:c>
      <x:c r="N616" s="21" t="str">
        <x:v>git commit 5d9a5ef3cb3c1e4cf0b8783c83494440ac9325ab; /Users/devups/Development/CodexProjects/Gccs/docs/development-story-test-cases.md</x:v>
      </x:c>
      <x:c r="O616" s="19" t="n">
        <x:v>46191.74922453704</x:v>
      </x:c>
      <x:c r="P616" s="21" t="str">
        <x:v>5 acceptance criteria; 5 TC references; implementation=yes; smoke=yes; automated=no; Story-level regression template</x:v>
      </x:c>
      <x:c r="Q616" s="21" t="str"/>
      <x:c r="R616" s="21" t="str">
        <x:v>Retain traceability; rerun focused verification if the affected boundary changes.</x:v>
      </x:c>
      <x:c r="S616" s="18" t="str"/>
      <x:c r="T616" s="20"/>
      <x:c r="U616" s="21" t="str">
        <x:v>Completion is based on immutable repository evidence; tests were not rerun and current working-tree drift was not re-certified in this reporting-only task.</x:v>
      </x:c>
      <x:c r="V616" s="1"/>
    </x:row>
    <x:row r="617" ht="46" customHeight="1">
      <x:c r="A617" s="17" t="n">
        <x:v>613</x:v>
      </x:c>
      <x:c r="B617" s="17" t="str">
        <x:v>Phase 2</x:v>
      </x:c>
      <x:c r="C617" s="17" t="str">
        <x:v>28.1</x:v>
      </x:c>
      <x:c r="D617" s="21" t="str">
        <x:v>Curated Test Document Set</x:v>
      </x:c>
      <x:c r="E617" s="17" t="n">
        <x:v>5</x:v>
      </x:c>
      <x:c r="F617" s="21" t="str">
        <x:v>Document data handling rules for the test set.</x:v>
      </x:c>
      <x:c r="G617" s="17" t="str">
        <x:v>Software implementation</x:v>
      </x:c>
      <x:c r="H617" s="17" t="str">
        <x:v>Planned</x:v>
      </x:c>
      <x:c r="I617" s="18" t="str">
        <x:v>Completed</x:v>
      </x:c>
      <x:c r="J617" s="17" t="str">
        <x:f>IF(OR(I617="Completed",I617="Not Applicable"),"No","Yes")</x:f>
        <x:v>No</x:v>
      </x:c>
      <x:c r="K617" s="17" t="str">
        <x:v>28.1 task 4</x:v>
      </x:c>
      <x:c r="L617" s="21" t="str">
        <x:v>Story-labeled commit 5d9a5ef3 contains delivery and focused test/test-result files: Implement Story 28.1: Curated Test Document Set,Story 28.2: Precision And Recall Evaluation and Story 28.3: Extraction Regression Review.</x:v>
      </x:c>
      <x:c r="M617" s="17" t="str">
        <x:v>Implementation commit + focused test artifacts</x:v>
      </x:c>
      <x:c r="N617" s="21" t="str">
        <x:v>git commit 5d9a5ef3cb3c1e4cf0b8783c83494440ac9325ab; /Users/devups/Development/CodexProjects/Gccs/docs/development-story-test-cases.md</x:v>
      </x:c>
      <x:c r="O617" s="19" t="n">
        <x:v>46191.74922453704</x:v>
      </x:c>
      <x:c r="P617" s="21" t="str">
        <x:v>5 acceptance criteria; 5 TC references; implementation=yes; smoke=yes; automated=no; Story-level regression template</x:v>
      </x:c>
      <x:c r="Q617" s="21" t="str"/>
      <x:c r="R617" s="21" t="str">
        <x:v>Retain traceability; rerun focused verification if the affected boundary changes.</x:v>
      </x:c>
      <x:c r="S617" s="18" t="str"/>
      <x:c r="T617" s="20"/>
      <x:c r="U617" s="21" t="str">
        <x:v>Completion is based on immutable repository evidence; tests were not rerun and current working-tree drift was not re-certified in this reporting-only task.</x:v>
      </x:c>
      <x:c r="V617" s="1"/>
    </x:row>
    <x:row r="618" ht="46" customHeight="1">
      <x:c r="A618" s="17" t="n">
        <x:v>614</x:v>
      </x:c>
      <x:c r="B618" s="17" t="str">
        <x:v>Phase 2</x:v>
      </x:c>
      <x:c r="C618" s="17" t="str">
        <x:v>28.2</x:v>
      </x:c>
      <x:c r="D618" s="21" t="str">
        <x:v>Precision And Recall Evaluation</x:v>
      </x:c>
      <x:c r="E618" s="17" t="n">
        <x:v>1</x:v>
      </x:c>
      <x:c r="F618" s="21" t="str">
        <x:v>Build evaluation runner that compares extracted candidates against expected labels.</x:v>
      </x:c>
      <x:c r="G618" s="17" t="str">
        <x:v>Software implementation</x:v>
      </x:c>
      <x:c r="H618" s="17" t="str">
        <x:v>Planned</x:v>
      </x:c>
      <x:c r="I618" s="18" t="str">
        <x:v>Completed</x:v>
      </x:c>
      <x:c r="J618" s="17" t="str">
        <x:f>IF(OR(I618="Completed",I618="Not Applicable"),"No","Yes")</x:f>
        <x:v>No</x:v>
      </x:c>
      <x:c r="K618" s="17" t="str">
        <x:v>28.1</x:v>
      </x:c>
      <x:c r="L618" s="21" t="str">
        <x:v>Story-labeled commit 5d9a5ef3 contains delivery and focused test/test-result files: Implement Story 28.1: Curated Test Document Set,Story 28.2: Precision And Recall Evaluation and Story 28.3: Extraction Regression Review.</x:v>
      </x:c>
      <x:c r="M618" s="17" t="str">
        <x:v>Implementation commit + focused test artifacts</x:v>
      </x:c>
      <x:c r="N618" s="21" t="str">
        <x:v>git commit 5d9a5ef3cb3c1e4cf0b8783c83494440ac9325ab; /Users/devups/Development/CodexProjects/Gccs/docs/development-story-test-cases.md</x:v>
      </x:c>
      <x:c r="O618" s="19" t="n">
        <x:v>46191.74922453704</x:v>
      </x:c>
      <x:c r="P618" s="21" t="str">
        <x:v>5 acceptance criteria; 5 TC references; implementation=yes; smoke=yes; automated=no; Story-level regression template</x:v>
      </x:c>
      <x:c r="Q618" s="21" t="str"/>
      <x:c r="R618" s="21" t="str">
        <x:v>Retain traceability; rerun focused verification if the affected boundary changes.</x:v>
      </x:c>
      <x:c r="S618" s="18" t="str"/>
      <x:c r="T618" s="20"/>
      <x:c r="U618" s="21" t="str">
        <x:v>Completion is based on immutable repository evidence; tests were not rerun and current working-tree drift was not re-certified in this reporting-only task.</x:v>
      </x:c>
      <x:c r="V618" s="1"/>
    </x:row>
    <x:row r="619" ht="46" customHeight="1">
      <x:c r="A619" s="17" t="n">
        <x:v>615</x:v>
      </x:c>
      <x:c r="B619" s="17" t="str">
        <x:v>Phase 2</x:v>
      </x:c>
      <x:c r="C619" s="17" t="str">
        <x:v>28.2</x:v>
      </x:c>
      <x:c r="D619" s="21" t="str">
        <x:v>Precision And Recall Evaluation</x:v>
      </x:c>
      <x:c r="E619" s="17" t="n">
        <x:v>2</x:v>
      </x:c>
      <x:c r="F619" s="21" t="str">
        <x:v>Calculate precision, recall, false positives, false negatives, and unmatched expected clauses.</x:v>
      </x:c>
      <x:c r="G619" s="17" t="str">
        <x:v>Software implementation</x:v>
      </x:c>
      <x:c r="H619" s="17" t="str">
        <x:v>Planned</x:v>
      </x:c>
      <x:c r="I619" s="18" t="str">
        <x:v>Completed</x:v>
      </x:c>
      <x:c r="J619" s="17" t="str">
        <x:f>IF(OR(I619="Completed",I619="Not Applicable"),"No","Yes")</x:f>
        <x:v>No</x:v>
      </x:c>
      <x:c r="K619" s="17" t="str">
        <x:v>28.2 task 1</x:v>
      </x:c>
      <x:c r="L619" s="21" t="str">
        <x:v>Story-labeled commit 5d9a5ef3 contains delivery and focused test/test-result files: Implement Story 28.1: Curated Test Document Set,Story 28.2: Precision And Recall Evaluation and Story 28.3: Extraction Regression Review.</x:v>
      </x:c>
      <x:c r="M619" s="17" t="str">
        <x:v>Implementation commit + focused test artifacts</x:v>
      </x:c>
      <x:c r="N619" s="21" t="str">
        <x:v>git commit 5d9a5ef3cb3c1e4cf0b8783c83494440ac9325ab; /Users/devups/Development/CodexProjects/Gccs/docs/development-story-test-cases.md</x:v>
      </x:c>
      <x:c r="O619" s="19" t="n">
        <x:v>46191.74922453704</x:v>
      </x:c>
      <x:c r="P619" s="21" t="str">
        <x:v>5 acceptance criteria; 5 TC references; implementation=yes; smoke=yes; automated=no; Story-level regression template</x:v>
      </x:c>
      <x:c r="Q619" s="21" t="str"/>
      <x:c r="R619" s="21" t="str">
        <x:v>Retain traceability; rerun focused verification if the affected boundary changes.</x:v>
      </x:c>
      <x:c r="S619" s="18" t="str"/>
      <x:c r="T619" s="20"/>
      <x:c r="U619" s="21" t="str">
        <x:v>Completion is based on immutable repository evidence; tests were not rerun and current working-tree drift was not re-certified in this reporting-only task.</x:v>
      </x:c>
      <x:c r="V619" s="1"/>
    </x:row>
    <x:row r="620" ht="46" customHeight="1">
      <x:c r="A620" s="17" t="n">
        <x:v>616</x:v>
      </x:c>
      <x:c r="B620" s="17" t="str">
        <x:v>Phase 2</x:v>
      </x:c>
      <x:c r="C620" s="17" t="str">
        <x:v>28.2</x:v>
      </x:c>
      <x:c r="D620" s="21" t="str">
        <x:v>Precision And Recall Evaluation</x:v>
      </x:c>
      <x:c r="E620" s="17" t="n">
        <x:v>3</x:v>
      </x:c>
      <x:c r="F620" s="21" t="str">
        <x:v>Generate machine-readable and human-readable results.</x:v>
      </x:c>
      <x:c r="G620" s="17" t="str">
        <x:v>Software implementation</x:v>
      </x:c>
      <x:c r="H620" s="17" t="str">
        <x:v>Planned</x:v>
      </x:c>
      <x:c r="I620" s="18" t="str">
        <x:v>Completed</x:v>
      </x:c>
      <x:c r="J620" s="17" t="str">
        <x:f>IF(OR(I620="Completed",I620="Not Applicable"),"No","Yes")</x:f>
        <x:v>No</x:v>
      </x:c>
      <x:c r="K620" s="17" t="str">
        <x:v>28.2 task 2</x:v>
      </x:c>
      <x:c r="L620" s="21" t="str">
        <x:v>Story-labeled commit 5d9a5ef3 contains delivery and focused test/test-result files: Implement Story 28.1: Curated Test Document Set,Story 28.2: Precision And Recall Evaluation and Story 28.3: Extraction Regression Review.</x:v>
      </x:c>
      <x:c r="M620" s="17" t="str">
        <x:v>Implementation commit + focused test artifacts</x:v>
      </x:c>
      <x:c r="N620" s="21" t="str">
        <x:v>git commit 5d9a5ef3cb3c1e4cf0b8783c83494440ac9325ab; /Users/devups/Development/CodexProjects/Gccs/docs/development-story-test-cases.md</x:v>
      </x:c>
      <x:c r="O620" s="19" t="n">
        <x:v>46191.74922453704</x:v>
      </x:c>
      <x:c r="P620" s="21" t="str">
        <x:v>5 acceptance criteria; 5 TC references; implementation=yes; smoke=yes; automated=no; Story-level regression template</x:v>
      </x:c>
      <x:c r="Q620" s="21" t="str"/>
      <x:c r="R620" s="21" t="str">
        <x:v>Retain traceability; rerun focused verification if the affected boundary changes.</x:v>
      </x:c>
      <x:c r="S620" s="18" t="str"/>
      <x:c r="T620" s="20"/>
      <x:c r="U620" s="21" t="str">
        <x:v>Completion is based on immutable repository evidence; tests were not rerun and current working-tree drift was not re-certified in this reporting-only task.</x:v>
      </x:c>
      <x:c r="V620" s="1"/>
    </x:row>
    <x:row r="621" ht="46" customHeight="1">
      <x:c r="A621" s="17" t="n">
        <x:v>617</x:v>
      </x:c>
      <x:c r="B621" s="17" t="str">
        <x:v>Phase 2</x:v>
      </x:c>
      <x:c r="C621" s="17" t="str">
        <x:v>28.2</x:v>
      </x:c>
      <x:c r="D621" s="21" t="str">
        <x:v>Precision And Recall Evaluation</x:v>
      </x:c>
      <x:c r="E621" s="17" t="n">
        <x:v>4</x:v>
      </x:c>
      <x:c r="F621" s="21" t="str">
        <x:v>Add thresholds for blocking release or flagging review.</x:v>
      </x:c>
      <x:c r="G621" s="17" t="str">
        <x:v>Software implementation</x:v>
      </x:c>
      <x:c r="H621" s="17" t="str">
        <x:v>Planned</x:v>
      </x:c>
      <x:c r="I621" s="18" t="str">
        <x:v>Completed</x:v>
      </x:c>
      <x:c r="J621" s="17" t="str">
        <x:f>IF(OR(I621="Completed",I621="Not Applicable"),"No","Yes")</x:f>
        <x:v>No</x:v>
      </x:c>
      <x:c r="K621" s="17" t="str">
        <x:v>28.2 task 3</x:v>
      </x:c>
      <x:c r="L621" s="21" t="str">
        <x:v>Story-labeled commit 5d9a5ef3 contains delivery and focused test/test-result files: Implement Story 28.1: Curated Test Document Set,Story 28.2: Precision And Recall Evaluation and Story 28.3: Extraction Regression Review.</x:v>
      </x:c>
      <x:c r="M621" s="17" t="str">
        <x:v>Implementation commit + focused test artifacts</x:v>
      </x:c>
      <x:c r="N621" s="21" t="str">
        <x:v>git commit 5d9a5ef3cb3c1e4cf0b8783c83494440ac9325ab; /Users/devups/Development/CodexProjects/Gccs/docs/development-story-test-cases.md</x:v>
      </x:c>
      <x:c r="O621" s="19" t="n">
        <x:v>46191.74922453704</x:v>
      </x:c>
      <x:c r="P621" s="21" t="str">
        <x:v>5 acceptance criteria; 5 TC references; implementation=yes; smoke=yes; automated=no; Story-level regression template</x:v>
      </x:c>
      <x:c r="Q621" s="21" t="str"/>
      <x:c r="R621" s="21" t="str">
        <x:v>Retain traceability; rerun focused verification if the affected boundary changes.</x:v>
      </x:c>
      <x:c r="S621" s="18" t="str"/>
      <x:c r="T621" s="20"/>
      <x:c r="U621" s="21" t="str">
        <x:v>Completion is based on immutable repository evidence; tests were not rerun and current working-tree drift was not re-certified in this reporting-only task.</x:v>
      </x:c>
      <x:c r="V621" s="1"/>
    </x:row>
    <x:row r="622" ht="46" customHeight="1">
      <x:c r="A622" s="17" t="n">
        <x:v>618</x:v>
      </x:c>
      <x:c r="B622" s="17" t="str">
        <x:v>Phase 2</x:v>
      </x:c>
      <x:c r="C622" s="17" t="str">
        <x:v>28.2</x:v>
      </x:c>
      <x:c r="D622" s="21" t="str">
        <x:v>Precision And Recall Evaluation</x:v>
      </x:c>
      <x:c r="E622" s="17" t="n">
        <x:v>5</x:v>
      </x:c>
      <x:c r="F622" s="21" t="str">
        <x:v>Add CI or scheduled execution for the extraction test set.</x:v>
      </x:c>
      <x:c r="G622" s="17" t="str">
        <x:v>Software implementation</x:v>
      </x:c>
      <x:c r="H622" s="17" t="str">
        <x:v>Planned</x:v>
      </x:c>
      <x:c r="I622" s="18" t="str">
        <x:v>Completed</x:v>
      </x:c>
      <x:c r="J622" s="17" t="str">
        <x:f>IF(OR(I622="Completed",I622="Not Applicable"),"No","Yes")</x:f>
        <x:v>No</x:v>
      </x:c>
      <x:c r="K622" s="17" t="str">
        <x:v>28.2 task 4</x:v>
      </x:c>
      <x:c r="L622" s="21" t="str">
        <x:v>Story-labeled commit 5d9a5ef3 contains delivery and focused test/test-result files: Implement Story 28.1: Curated Test Document Set,Story 28.2: Precision And Recall Evaluation and Story 28.3: Extraction Regression Review.</x:v>
      </x:c>
      <x:c r="M622" s="17" t="str">
        <x:v>Implementation commit + focused test artifacts</x:v>
      </x:c>
      <x:c r="N622" s="21" t="str">
        <x:v>git commit 5d9a5ef3cb3c1e4cf0b8783c83494440ac9325ab; /Users/devups/Development/CodexProjects/Gccs/docs/development-story-test-cases.md</x:v>
      </x:c>
      <x:c r="O622" s="19" t="n">
        <x:v>46191.74922453704</x:v>
      </x:c>
      <x:c r="P622" s="21" t="str">
        <x:v>5 acceptance criteria; 5 TC references; implementation=yes; smoke=yes; automated=no; Story-level regression template</x:v>
      </x:c>
      <x:c r="Q622" s="21" t="str"/>
      <x:c r="R622" s="21" t="str">
        <x:v>Retain traceability; rerun focused verification if the affected boundary changes.</x:v>
      </x:c>
      <x:c r="S622" s="18" t="str"/>
      <x:c r="T622" s="20"/>
      <x:c r="U622" s="21" t="str">
        <x:v>Completion is based on immutable repository evidence; tests were not rerun and current working-tree drift was not re-certified in this reporting-only task.</x:v>
      </x:c>
      <x:c r="V622" s="1"/>
    </x:row>
    <x:row r="623" ht="46" customHeight="1">
      <x:c r="A623" s="17" t="n">
        <x:v>619</x:v>
      </x:c>
      <x:c r="B623" s="17" t="str">
        <x:v>Phase 2</x:v>
      </x:c>
      <x:c r="C623" s="17" t="str">
        <x:v>28.3</x:v>
      </x:c>
      <x:c r="D623" s="21" t="str">
        <x:v>Extraction Regression Review</x:v>
      </x:c>
      <x:c r="E623" s="17" t="n">
        <x:v>1</x:v>
      </x:c>
      <x:c r="F623" s="21" t="str">
        <x:v>Add workflow for reviewing missed clauses and false positives.</x:v>
      </x:c>
      <x:c r="G623" s="17" t="str">
        <x:v>Software implementation</x:v>
      </x:c>
      <x:c r="H623" s="17" t="str">
        <x:v>Planned</x:v>
      </x:c>
      <x:c r="I623" s="18" t="str">
        <x:v>Completed</x:v>
      </x:c>
      <x:c r="J623" s="17" t="str">
        <x:f>IF(OR(I623="Completed",I623="Not Applicable"),"No","Yes")</x:f>
        <x:v>No</x:v>
      </x:c>
      <x:c r="K623" s="17" t="str">
        <x:v>28.2</x:v>
      </x:c>
      <x:c r="L623" s="21" t="str">
        <x:v>Story-labeled commit 5d9a5ef3 contains delivery and focused test/test-result files: Implement Story 28.1: Curated Test Document Set,Story 28.2: Precision And Recall Evaluation and Story 28.3: Extraction Regression Review.</x:v>
      </x:c>
      <x:c r="M623" s="17" t="str">
        <x:v>Implementation commit + focused test artifacts</x:v>
      </x:c>
      <x:c r="N623" s="21" t="str">
        <x:v>git commit 5d9a5ef3cb3c1e4cf0b8783c83494440ac9325ab; /Users/devups/Development/CodexProjects/Gccs/docs/development-story-test-cases.md</x:v>
      </x:c>
      <x:c r="O623" s="19" t="n">
        <x:v>46191.74922453704</x:v>
      </x:c>
      <x:c r="P623" s="21" t="str">
        <x:v>5 acceptance criteria; 5 TC references; implementation=yes; smoke=yes; automated=no; Story-level regression template</x:v>
      </x:c>
      <x:c r="Q623" s="21" t="str"/>
      <x:c r="R623" s="21" t="str">
        <x:v>Retain traceability; rerun focused verification if the affected boundary changes.</x:v>
      </x:c>
      <x:c r="S623" s="18" t="str"/>
      <x:c r="T623" s="20"/>
      <x:c r="U623" s="21" t="str">
        <x:v>Completion is based on immutable repository evidence; tests were not rerun and current working-tree drift was not re-certified in this reporting-only task.</x:v>
      </x:c>
      <x:c r="V623" s="1"/>
    </x:row>
    <x:row r="624" ht="46" customHeight="1">
      <x:c r="A624" s="17" t="n">
        <x:v>620</x:v>
      </x:c>
      <x:c r="B624" s="17" t="str">
        <x:v>Phase 2</x:v>
      </x:c>
      <x:c r="C624" s="17" t="str">
        <x:v>28.3</x:v>
      </x:c>
      <x:c r="D624" s="21" t="str">
        <x:v>Extraction Regression Review</x:v>
      </x:c>
      <x:c r="E624" s="17" t="n">
        <x:v>2</x:v>
      </x:c>
      <x:c r="F624" s="21" t="str">
        <x:v>Classify failures as parser issue, matcher issue, library gap, label issue, source document quality, or expected limitation.</x:v>
      </x:c>
      <x:c r="G624" s="17" t="str">
        <x:v>Software implementation</x:v>
      </x:c>
      <x:c r="H624" s="17" t="str">
        <x:v>Planned</x:v>
      </x:c>
      <x:c r="I624" s="18" t="str">
        <x:v>Completed</x:v>
      </x:c>
      <x:c r="J624" s="17" t="str">
        <x:f>IF(OR(I624="Completed",I624="Not Applicable"),"No","Yes")</x:f>
        <x:v>No</x:v>
      </x:c>
      <x:c r="K624" s="17" t="str">
        <x:v>28.3 task 1</x:v>
      </x:c>
      <x:c r="L624" s="21" t="str">
        <x:v>Story-labeled commit 5d9a5ef3 contains delivery and focused test/test-result files: Implement Story 28.1: Curated Test Document Set,Story 28.2: Precision And Recall Evaluation and Story 28.3: Extraction Regression Review.</x:v>
      </x:c>
      <x:c r="M624" s="17" t="str">
        <x:v>Implementation commit + focused test artifacts</x:v>
      </x:c>
      <x:c r="N624" s="21" t="str">
        <x:v>git commit 5d9a5ef3cb3c1e4cf0b8783c83494440ac9325ab; /Users/devups/Development/CodexProjects/Gccs/docs/development-story-test-cases.md</x:v>
      </x:c>
      <x:c r="O624" s="19" t="n">
        <x:v>46191.74922453704</x:v>
      </x:c>
      <x:c r="P624" s="21" t="str">
        <x:v>5 acceptance criteria; 5 TC references; implementation=yes; smoke=yes; automated=no; Story-level regression template</x:v>
      </x:c>
      <x:c r="Q624" s="21" t="str"/>
      <x:c r="R624" s="21" t="str">
        <x:v>Retain traceability; rerun focused verification if the affected boundary changes.</x:v>
      </x:c>
      <x:c r="S624" s="18" t="str"/>
      <x:c r="T624" s="20"/>
      <x:c r="U624" s="21" t="str">
        <x:v>Completion is based on immutable repository evidence; tests were not rerun and current working-tree drift was not re-certified in this reporting-only task.</x:v>
      </x:c>
      <x:c r="V624" s="1"/>
    </x:row>
    <x:row r="625" ht="46" customHeight="1">
      <x:c r="A625" s="17" t="n">
        <x:v>621</x:v>
      </x:c>
      <x:c r="B625" s="17" t="str">
        <x:v>Phase 2</x:v>
      </x:c>
      <x:c r="C625" s="17" t="str">
        <x:v>28.3</x:v>
      </x:c>
      <x:c r="D625" s="21" t="str">
        <x:v>Extraction Regression Review</x:v>
      </x:c>
      <x:c r="E625" s="17" t="n">
        <x:v>3</x:v>
      </x:c>
      <x:c r="F625" s="21" t="str">
        <x:v>Create follow-up tasks from reviewed failures.</x:v>
      </x:c>
      <x:c r="G625" s="17" t="str">
        <x:v>Software implementation</x:v>
      </x:c>
      <x:c r="H625" s="17" t="str">
        <x:v>Planned</x:v>
      </x:c>
      <x:c r="I625" s="18" t="str">
        <x:v>Completed</x:v>
      </x:c>
      <x:c r="J625" s="17" t="str">
        <x:f>IF(OR(I625="Completed",I625="Not Applicable"),"No","Yes")</x:f>
        <x:v>No</x:v>
      </x:c>
      <x:c r="K625" s="17" t="str">
        <x:v>28.3 task 2</x:v>
      </x:c>
      <x:c r="L625" s="21" t="str">
        <x:v>Story-labeled commit 5d9a5ef3 contains delivery and focused test/test-result files: Implement Story 28.1: Curated Test Document Set,Story 28.2: Precision And Recall Evaluation and Story 28.3: Extraction Regression Review.</x:v>
      </x:c>
      <x:c r="M625" s="17" t="str">
        <x:v>Implementation commit + focused test artifacts</x:v>
      </x:c>
      <x:c r="N625" s="21" t="str">
        <x:v>git commit 5d9a5ef3cb3c1e4cf0b8783c83494440ac9325ab; /Users/devups/Development/CodexProjects/Gccs/docs/development-story-test-cases.md</x:v>
      </x:c>
      <x:c r="O625" s="19" t="n">
        <x:v>46191.74922453704</x:v>
      </x:c>
      <x:c r="P625" s="21" t="str">
        <x:v>5 acceptance criteria; 5 TC references; implementation=yes; smoke=yes; automated=no; Story-level regression template</x:v>
      </x:c>
      <x:c r="Q625" s="21" t="str"/>
      <x:c r="R625" s="21" t="str">
        <x:v>Retain traceability; rerun focused verification if the affected boundary changes.</x:v>
      </x:c>
      <x:c r="S625" s="18" t="str"/>
      <x:c r="T625" s="20"/>
      <x:c r="U625" s="21" t="str">
        <x:v>Completion is based on immutable repository evidence; tests were not rerun and current working-tree drift was not re-certified in this reporting-only task.</x:v>
      </x:c>
      <x:c r="V625" s="1"/>
    </x:row>
    <x:row r="626" ht="46" customHeight="1">
      <x:c r="A626" s="17" t="n">
        <x:v>622</x:v>
      </x:c>
      <x:c r="B626" s="17" t="str">
        <x:v>Phase 2</x:v>
      </x:c>
      <x:c r="C626" s="17" t="str">
        <x:v>28.3</x:v>
      </x:c>
      <x:c r="D626" s="21" t="str">
        <x:v>Extraction Regression Review</x:v>
      </x:c>
      <x:c r="E626" s="17" t="n">
        <x:v>4</x:v>
      </x:c>
      <x:c r="F626" s="21" t="str">
        <x:v>Track status and resolution notes.</x:v>
      </x:c>
      <x:c r="G626" s="17" t="str">
        <x:v>Software implementation</x:v>
      </x:c>
      <x:c r="H626" s="17" t="str">
        <x:v>Planned</x:v>
      </x:c>
      <x:c r="I626" s="18" t="str">
        <x:v>Completed</x:v>
      </x:c>
      <x:c r="J626" s="17" t="str">
        <x:f>IF(OR(I626="Completed",I626="Not Applicable"),"No","Yes")</x:f>
        <x:v>No</x:v>
      </x:c>
      <x:c r="K626" s="17" t="str">
        <x:v>28.3 task 3</x:v>
      </x:c>
      <x:c r="L626" s="21" t="str">
        <x:v>Story-labeled commit 5d9a5ef3 contains delivery and focused test/test-result files: Implement Story 28.1: Curated Test Document Set,Story 28.2: Precision And Recall Evaluation and Story 28.3: Extraction Regression Review.</x:v>
      </x:c>
      <x:c r="M626" s="17" t="str">
        <x:v>Implementation commit + focused test artifacts</x:v>
      </x:c>
      <x:c r="N626" s="21" t="str">
        <x:v>git commit 5d9a5ef3cb3c1e4cf0b8783c83494440ac9325ab; /Users/devups/Development/CodexProjects/Gccs/docs/development-story-test-cases.md</x:v>
      </x:c>
      <x:c r="O626" s="19" t="n">
        <x:v>46191.74922453704</x:v>
      </x:c>
      <x:c r="P626" s="21" t="str">
        <x:v>5 acceptance criteria; 5 TC references; implementation=yes; smoke=yes; automated=no; Story-level regression template</x:v>
      </x:c>
      <x:c r="Q626" s="21" t="str"/>
      <x:c r="R626" s="21" t="str">
        <x:v>Retain traceability; rerun focused verification if the affected boundary changes.</x:v>
      </x:c>
      <x:c r="S626" s="18" t="str"/>
      <x:c r="T626" s="20"/>
      <x:c r="U626" s="21" t="str">
        <x:v>Completion is based on immutable repository evidence; tests were not rerun and current working-tree drift was not re-certified in this reporting-only task.</x:v>
      </x:c>
      <x:c r="V626" s="1"/>
    </x:row>
    <x:row r="627" ht="46" customHeight="1">
      <x:c r="A627" s="17" t="n">
        <x:v>623</x:v>
      </x:c>
      <x:c r="B627" s="17" t="str">
        <x:v>Phase 2</x:v>
      </x:c>
      <x:c r="C627" s="17" t="str">
        <x:v>28.3</x:v>
      </x:c>
      <x:c r="D627" s="21" t="str">
        <x:v>Extraction Regression Review</x:v>
      </x:c>
      <x:c r="E627" s="17" t="n">
        <x:v>5</x:v>
      </x:c>
      <x:c r="F627" s="21" t="str">
        <x:v>Add summary report for release readiness.</x:v>
      </x:c>
      <x:c r="G627" s="17" t="str">
        <x:v>Software implementation</x:v>
      </x:c>
      <x:c r="H627" s="17" t="str">
        <x:v>Planned</x:v>
      </x:c>
      <x:c r="I627" s="18" t="str">
        <x:v>Completed</x:v>
      </x:c>
      <x:c r="J627" s="17" t="str">
        <x:f>IF(OR(I627="Completed",I627="Not Applicable"),"No","Yes")</x:f>
        <x:v>No</x:v>
      </x:c>
      <x:c r="K627" s="17" t="str">
        <x:v>28.3 task 4</x:v>
      </x:c>
      <x:c r="L627" s="21" t="str">
        <x:v>Story-labeled commit 5d9a5ef3 contains delivery and focused test/test-result files: Implement Story 28.1: Curated Test Document Set,Story 28.2: Precision And Recall Evaluation and Story 28.3: Extraction Regression Review.</x:v>
      </x:c>
      <x:c r="M627" s="17" t="str">
        <x:v>Implementation commit + focused test artifacts</x:v>
      </x:c>
      <x:c r="N627" s="21" t="str">
        <x:v>git commit 5d9a5ef3cb3c1e4cf0b8783c83494440ac9325ab; /Users/devups/Development/CodexProjects/Gccs/docs/development-story-test-cases.md</x:v>
      </x:c>
      <x:c r="O627" s="19" t="n">
        <x:v>46191.74922453704</x:v>
      </x:c>
      <x:c r="P627" s="21" t="str">
        <x:v>5 acceptance criteria; 5 TC references; implementation=yes; smoke=yes; automated=no; Story-level regression template</x:v>
      </x:c>
      <x:c r="Q627" s="21" t="str"/>
      <x:c r="R627" s="21" t="str">
        <x:v>Retain traceability; rerun focused verification if the affected boundary changes.</x:v>
      </x:c>
      <x:c r="S627" s="18" t="str"/>
      <x:c r="T627" s="20"/>
      <x:c r="U627" s="21" t="str">
        <x:v>Completion is based on immutable repository evidence; tests were not rerun and current working-tree drift was not re-certified in this reporting-only task.</x:v>
      </x:c>
      <x:c r="V627" s="1"/>
    </x:row>
    <x:row r="628" ht="46" customHeight="1">
      <x:c r="A628" s="17" t="n">
        <x:v>624</x:v>
      </x:c>
      <x:c r="B628" s="17" t="str">
        <x:v>Phase 3</x:v>
      </x:c>
      <x:c r="C628" s="17" t="str">
        <x:v>29.1</x:v>
      </x:c>
      <x:c r="D628" s="21" t="str">
        <x:v>SSP Data Model And Sections</x:v>
      </x:c>
      <x:c r="E628" s="17" t="n">
        <x:v>1</x:v>
      </x:c>
      <x:c r="F628" s="21" t="str">
        <x:v>Define SSP sections for system description, authorization boundary, environment, interconnections, users, roles, data types, CUI handling posture, control implementation narratives, inherited responsibilities, external service providers, and evidence references.</x:v>
      </x:c>
      <x:c r="G628" s="17" t="str">
        <x:v>Software implementation</x:v>
      </x:c>
      <x:c r="H628" s="17" t="str">
        <x:v>Planned</x:v>
      </x:c>
      <x:c r="I628" s="18" t="str">
        <x:v>Completed</x:v>
      </x:c>
      <x:c r="J628" s="17" t="str">
        <x:f>IF(OR(I628="Completed",I628="Not Applicable"),"No","Yes")</x:f>
        <x:v>No</x:v>
      </x:c>
      <x:c r="K628" s="17" t="str"/>
      <x:c r="L628" s="21" t="str">
        <x:v>Story-labeled commit 5ae47c84 contains delivery and focused test/test-result files: feat: implement story 29.1 ssp data model sections</x:v>
      </x:c>
      <x:c r="M628" s="17" t="str">
        <x:v>Implementation commit + focused test artifacts</x:v>
      </x:c>
      <x:c r="N628" s="21" t="str">
        <x:v>git commit 5ae47c84afa3620c727f80007ff49d9542215964; /Users/devups/Development/CodexProjects/Gccs/docs/development-story-test-cases.md</x:v>
      </x:c>
      <x:c r="O628" s="19" t="n">
        <x:v>46192.990532407406</x:v>
      </x:c>
      <x:c r="P628" s="21" t="str">
        <x:v>5 acceptance criteria; 5 TC references; implementation=yes; smoke=yes; automated=yes; Story-level regression template</x:v>
      </x:c>
      <x:c r="Q628" s="21" t="str"/>
      <x:c r="R628" s="21" t="str">
        <x:v>Retain traceability; rerun focused verification if the affected boundary changes.</x:v>
      </x:c>
      <x:c r="S628" s="18" t="str"/>
      <x:c r="T628" s="20"/>
      <x:c r="U628" s="21" t="str">
        <x:v>Completion is based on immutable repository evidence; tests were not rerun and current working-tree drift was not re-certified in this reporting-only task.</x:v>
      </x:c>
      <x:c r="V628" s="1"/>
    </x:row>
    <x:row r="629" ht="46" customHeight="1">
      <x:c r="A629" s="17" t="n">
        <x:v>625</x:v>
      </x:c>
      <x:c r="B629" s="17" t="str">
        <x:v>Phase 3</x:v>
      </x:c>
      <x:c r="C629" s="17" t="str">
        <x:v>29.1</x:v>
      </x:c>
      <x:c r="D629" s="21" t="str">
        <x:v>SSP Data Model And Sections</x:v>
      </x:c>
      <x:c r="E629" s="17" t="n">
        <x:v>2</x:v>
      </x:c>
      <x:c r="F629" s="21" t="str">
        <x:v>Link SSP sections to company profile, system boundary, assets, CMMC controls, responsibility matrix, policies, POA&amp;M items, and evidence.</x:v>
      </x:c>
      <x:c r="G629" s="17" t="str">
        <x:v>Software implementation</x:v>
      </x:c>
      <x:c r="H629" s="17" t="str">
        <x:v>Planned</x:v>
      </x:c>
      <x:c r="I629" s="18" t="str">
        <x:v>Completed</x:v>
      </x:c>
      <x:c r="J629" s="17" t="str">
        <x:f>IF(OR(I629="Completed",I629="Not Applicable"),"No","Yes")</x:f>
        <x:v>No</x:v>
      </x:c>
      <x:c r="K629" s="17" t="str">
        <x:v>29.1 task 1</x:v>
      </x:c>
      <x:c r="L629" s="21" t="str">
        <x:v>Story-labeled commit 5ae47c84 contains delivery and focused test/test-result files: feat: implement story 29.1 ssp data model sections</x:v>
      </x:c>
      <x:c r="M629" s="17" t="str">
        <x:v>Implementation commit + focused test artifacts</x:v>
      </x:c>
      <x:c r="N629" s="21" t="str">
        <x:v>git commit 5ae47c84afa3620c727f80007ff49d9542215964; /Users/devups/Development/CodexProjects/Gccs/docs/development-story-test-cases.md</x:v>
      </x:c>
      <x:c r="O629" s="19" t="n">
        <x:v>46192.990532407406</x:v>
      </x:c>
      <x:c r="P629" s="21" t="str">
        <x:v>5 acceptance criteria; 5 TC references; implementation=yes; smoke=yes; automated=yes; Story-level regression template</x:v>
      </x:c>
      <x:c r="Q629" s="21" t="str"/>
      <x:c r="R629" s="21" t="str">
        <x:v>Retain traceability; rerun focused verification if the affected boundary changes.</x:v>
      </x:c>
      <x:c r="S629" s="18" t="str"/>
      <x:c r="T629" s="20"/>
      <x:c r="U629" s="21" t="str">
        <x:v>Completion is based on immutable repository evidence; tests were not rerun and current working-tree drift was not re-certified in this reporting-only task.</x:v>
      </x:c>
      <x:c r="V629" s="1"/>
    </x:row>
    <x:row r="630" ht="46" customHeight="1">
      <x:c r="A630" s="17" t="n">
        <x:v>626</x:v>
      </x:c>
      <x:c r="B630" s="17" t="str">
        <x:v>Phase 3</x:v>
      </x:c>
      <x:c r="C630" s="17" t="str">
        <x:v>29.1</x:v>
      </x:c>
      <x:c r="D630" s="21" t="str">
        <x:v>SSP Data Model And Sections</x:v>
      </x:c>
      <x:c r="E630" s="17" t="n">
        <x:v>3</x:v>
      </x:c>
      <x:c r="F630" s="21" t="str">
        <x:v>Add section ownership, review status, reviewer, review date, and source references.</x:v>
      </x:c>
      <x:c r="G630" s="17" t="str">
        <x:v>Software implementation</x:v>
      </x:c>
      <x:c r="H630" s="17" t="str">
        <x:v>Planned</x:v>
      </x:c>
      <x:c r="I630" s="18" t="str">
        <x:v>Completed</x:v>
      </x:c>
      <x:c r="J630" s="17" t="str">
        <x:f>IF(OR(I630="Completed",I630="Not Applicable"),"No","Yes")</x:f>
        <x:v>No</x:v>
      </x:c>
      <x:c r="K630" s="17" t="str">
        <x:v>29.1 task 2</x:v>
      </x:c>
      <x:c r="L630" s="21" t="str">
        <x:v>Story-labeled commit 5ae47c84 contains delivery and focused test/test-result files: feat: implement story 29.1 ssp data model sections</x:v>
      </x:c>
      <x:c r="M630" s="17" t="str">
        <x:v>Implementation commit + focused test artifacts</x:v>
      </x:c>
      <x:c r="N630" s="21" t="str">
        <x:v>git commit 5ae47c84afa3620c727f80007ff49d9542215964; /Users/devups/Development/CodexProjects/Gccs/docs/development-story-test-cases.md</x:v>
      </x:c>
      <x:c r="O630" s="19" t="n">
        <x:v>46192.990532407406</x:v>
      </x:c>
      <x:c r="P630" s="21" t="str">
        <x:v>5 acceptance criteria; 5 TC references; implementation=yes; smoke=yes; automated=yes; Story-level regression template</x:v>
      </x:c>
      <x:c r="Q630" s="21" t="str"/>
      <x:c r="R630" s="21" t="str">
        <x:v>Retain traceability; rerun focused verification if the affected boundary changes.</x:v>
      </x:c>
      <x:c r="S630" s="18" t="str"/>
      <x:c r="T630" s="20"/>
      <x:c r="U630" s="21" t="str">
        <x:v>Completion is based on immutable repository evidence; tests were not rerun and current working-tree drift was not re-certified in this reporting-only task.</x:v>
      </x:c>
      <x:c r="V630" s="1"/>
    </x:row>
    <x:row r="631" ht="46" customHeight="1">
      <x:c r="A631" s="17" t="n">
        <x:v>627</x:v>
      </x:c>
      <x:c r="B631" s="17" t="str">
        <x:v>Phase 3</x:v>
      </x:c>
      <x:c r="C631" s="17" t="str">
        <x:v>29.1</x:v>
      </x:c>
      <x:c r="D631" s="21" t="str">
        <x:v>SSP Data Model And Sections</x:v>
      </x:c>
      <x:c r="E631" s="17" t="n">
        <x:v>4</x:v>
      </x:c>
      <x:c r="F631" s="21" t="str">
        <x:v>Add draft, in_review, approved, superseded, and archived states.</x:v>
      </x:c>
      <x:c r="G631" s="17" t="str">
        <x:v>Software implementation</x:v>
      </x:c>
      <x:c r="H631" s="17" t="str">
        <x:v>Planned</x:v>
      </x:c>
      <x:c r="I631" s="18" t="str">
        <x:v>Completed</x:v>
      </x:c>
      <x:c r="J631" s="17" t="str">
        <x:f>IF(OR(I631="Completed",I631="Not Applicable"),"No","Yes")</x:f>
        <x:v>No</x:v>
      </x:c>
      <x:c r="K631" s="17" t="str">
        <x:v>29.1 task 3</x:v>
      </x:c>
      <x:c r="L631" s="21" t="str">
        <x:v>Story-labeled commit 5ae47c84 contains delivery and focused test/test-result files: feat: implement story 29.1 ssp data model sections</x:v>
      </x:c>
      <x:c r="M631" s="17" t="str">
        <x:v>Implementation commit + focused test artifacts</x:v>
      </x:c>
      <x:c r="N631" s="21" t="str">
        <x:v>git commit 5ae47c84afa3620c727f80007ff49d9542215964; /Users/devups/Development/CodexProjects/Gccs/docs/development-story-test-cases.md</x:v>
      </x:c>
      <x:c r="O631" s="19" t="n">
        <x:v>46192.990532407406</x:v>
      </x:c>
      <x:c r="P631" s="21" t="str">
        <x:v>5 acceptance criteria; 5 TC references; implementation=yes; smoke=yes; automated=yes; Story-level regression template</x:v>
      </x:c>
      <x:c r="Q631" s="21" t="str"/>
      <x:c r="R631" s="21" t="str">
        <x:v>Retain traceability; rerun focused verification if the affected boundary changes.</x:v>
      </x:c>
      <x:c r="S631" s="18" t="str"/>
      <x:c r="T631" s="20"/>
      <x:c r="U631" s="21" t="str">
        <x:v>Completion is based on immutable repository evidence; tests were not rerun and current working-tree drift was not re-certified in this reporting-only task.</x:v>
      </x:c>
      <x:c r="V631" s="1"/>
    </x:row>
    <x:row r="632" ht="46" customHeight="1">
      <x:c r="A632" s="17" t="n">
        <x:v>628</x:v>
      </x:c>
      <x:c r="B632" s="17" t="str">
        <x:v>Phase 3</x:v>
      </x:c>
      <x:c r="C632" s="17" t="str">
        <x:v>29.1</x:v>
      </x:c>
      <x:c r="D632" s="21" t="str">
        <x:v>SSP Data Model And Sections</x:v>
      </x:c>
      <x:c r="E632" s="17" t="n">
        <x:v>5</x:v>
      </x:c>
      <x:c r="F632" s="21" t="str">
        <x:v>Add tenant-scoped API contracts and validation rules for SSP section data.</x:v>
      </x:c>
      <x:c r="G632" s="17" t="str">
        <x:v>Software implementation</x:v>
      </x:c>
      <x:c r="H632" s="17" t="str">
        <x:v>Planned</x:v>
      </x:c>
      <x:c r="I632" s="18" t="str">
        <x:v>Completed</x:v>
      </x:c>
      <x:c r="J632" s="17" t="str">
        <x:f>IF(OR(I632="Completed",I632="Not Applicable"),"No","Yes")</x:f>
        <x:v>No</x:v>
      </x:c>
      <x:c r="K632" s="17" t="str">
        <x:v>29.1 task 4</x:v>
      </x:c>
      <x:c r="L632" s="21" t="str">
        <x:v>Story-labeled commit 5ae47c84 contains delivery and focused test/test-result files: feat: implement story 29.1 ssp data model sections</x:v>
      </x:c>
      <x:c r="M632" s="17" t="str">
        <x:v>Implementation commit + focused test artifacts</x:v>
      </x:c>
      <x:c r="N632" s="21" t="str">
        <x:v>git commit 5ae47c84afa3620c727f80007ff49d9542215964; /Users/devups/Development/CodexProjects/Gccs/docs/development-story-test-cases.md</x:v>
      </x:c>
      <x:c r="O632" s="19" t="n">
        <x:v>46192.990532407406</x:v>
      </x:c>
      <x:c r="P632" s="21" t="str">
        <x:v>5 acceptance criteria; 5 TC references; implementation=yes; smoke=yes; automated=yes; Story-level regression template</x:v>
      </x:c>
      <x:c r="Q632" s="21" t="str"/>
      <x:c r="R632" s="21" t="str">
        <x:v>Retain traceability; rerun focused verification if the affected boundary changes.</x:v>
      </x:c>
      <x:c r="S632" s="18" t="str"/>
      <x:c r="T632" s="20"/>
      <x:c r="U632" s="21" t="str">
        <x:v>Completion is based on immutable repository evidence; tests were not rerun and current working-tree drift was not re-certified in this reporting-only task.</x:v>
      </x:c>
      <x:c r="V632" s="1"/>
    </x:row>
    <x:row r="633" ht="46" customHeight="1">
      <x:c r="A633" s="17" t="n">
        <x:v>629</x:v>
      </x:c>
      <x:c r="B633" s="17" t="str">
        <x:v>Phase 3</x:v>
      </x:c>
      <x:c r="C633" s="17" t="str">
        <x:v>29.2</x:v>
      </x:c>
      <x:c r="D633" s="21" t="str">
        <x:v>SSP Narrative Builder</x:v>
      </x:c>
      <x:c r="E633" s="17" t="n">
        <x:v>1</x:v>
      </x:c>
      <x:c r="F633" s="21" t="str">
        <x:v>Add narrative editor for each SSP section with generated draft, user-edited text, source links, and reviewer notes.</x:v>
      </x:c>
      <x:c r="G633" s="17" t="str">
        <x:v>Software implementation</x:v>
      </x:c>
      <x:c r="H633" s="17" t="str">
        <x:v>Planned</x:v>
      </x:c>
      <x:c r="I633" s="18" t="str">
        <x:v>Completed</x:v>
      </x:c>
      <x:c r="J633" s="17" t="str">
        <x:f>IF(OR(I633="Completed",I633="Not Applicable"),"No","Yes")</x:f>
        <x:v>No</x:v>
      </x:c>
      <x:c r="K633" s="17" t="str">
        <x:v>29.1</x:v>
      </x:c>
      <x:c r="L633" s="21" t="str">
        <x:v>Story-labeled commit 72fc12f7 contains delivery and focused test/test-result files: feat: implement story 29.2 ssp narrative builder</x:v>
      </x:c>
      <x:c r="M633" s="17" t="str">
        <x:v>Implementation commit + focused test artifacts</x:v>
      </x:c>
      <x:c r="N633" s="21" t="str">
        <x:v>git commit 72fc12f711dbf06d9eeb7c29e1024747dfe15a00; /Users/devups/Development/CodexProjects/Gccs/docs/development-story-test-cases.md</x:v>
      </x:c>
      <x:c r="O633" s="19" t="n">
        <x:v>46192.99674768518</x:v>
      </x:c>
      <x:c r="P633" s="21" t="str">
        <x:v>5 acceptance criteria; 5 TC references; implementation=yes; smoke=yes; automated=yes; Story-level regression template</x:v>
      </x:c>
      <x:c r="Q633" s="21" t="str"/>
      <x:c r="R633" s="21" t="str">
        <x:v>Retain traceability; rerun focused verification if the affected boundary changes.</x:v>
      </x:c>
      <x:c r="S633" s="18" t="str"/>
      <x:c r="T633" s="20"/>
      <x:c r="U633" s="21" t="str">
        <x:v>Completion is based on immutable repository evidence; tests were not rerun and current working-tree drift was not re-certified in this reporting-only task.</x:v>
      </x:c>
      <x:c r="V633" s="1"/>
    </x:row>
    <x:row r="634" ht="46" customHeight="1">
      <x:c r="A634" s="17" t="n">
        <x:v>630</x:v>
      </x:c>
      <x:c r="B634" s="17" t="str">
        <x:v>Phase 3</x:v>
      </x:c>
      <x:c r="C634" s="17" t="str">
        <x:v>29.2</x:v>
      </x:c>
      <x:c r="D634" s="21" t="str">
        <x:v>SSP Narrative Builder</x:v>
      </x:c>
      <x:c r="E634" s="17" t="n">
        <x:v>2</x:v>
      </x:c>
      <x:c r="F634" s="21" t="str">
        <x:v>Generate draft text only from approved tenant records and approved compliance content.</x:v>
      </x:c>
      <x:c r="G634" s="17" t="str">
        <x:v>Software implementation</x:v>
      </x:c>
      <x:c r="H634" s="17" t="str">
        <x:v>Planned</x:v>
      </x:c>
      <x:c r="I634" s="18" t="str">
        <x:v>Completed</x:v>
      </x:c>
      <x:c r="J634" s="17" t="str">
        <x:f>IF(OR(I634="Completed",I634="Not Applicable"),"No","Yes")</x:f>
        <x:v>No</x:v>
      </x:c>
      <x:c r="K634" s="17" t="str">
        <x:v>29.2 task 1</x:v>
      </x:c>
      <x:c r="L634" s="21" t="str">
        <x:v>Story-labeled commit 72fc12f7 contains delivery and focused test/test-result files: feat: implement story 29.2 ssp narrative builder</x:v>
      </x:c>
      <x:c r="M634" s="17" t="str">
        <x:v>Implementation commit + focused test artifacts</x:v>
      </x:c>
      <x:c r="N634" s="21" t="str">
        <x:v>git commit 72fc12f711dbf06d9eeb7c29e1024747dfe15a00; /Users/devups/Development/CodexProjects/Gccs/docs/development-story-test-cases.md</x:v>
      </x:c>
      <x:c r="O634" s="19" t="n">
        <x:v>46192.99674768518</x:v>
      </x:c>
      <x:c r="P634" s="21" t="str">
        <x:v>5 acceptance criteria; 5 TC references; implementation=yes; smoke=yes; automated=yes; Story-level regression template</x:v>
      </x:c>
      <x:c r="Q634" s="21" t="str"/>
      <x:c r="R634" s="21" t="str">
        <x:v>Retain traceability; rerun focused verification if the affected boundary changes.</x:v>
      </x:c>
      <x:c r="S634" s="18" t="str"/>
      <x:c r="T634" s="20"/>
      <x:c r="U634" s="21" t="str">
        <x:v>Completion is based on immutable repository evidence; tests were not rerun and current working-tree drift was not re-certified in this reporting-only task.</x:v>
      </x:c>
      <x:c r="V634" s="1"/>
    </x:row>
    <x:row r="635" ht="46" customHeight="1">
      <x:c r="A635" s="17" t="n">
        <x:v>631</x:v>
      </x:c>
      <x:c r="B635" s="17" t="str">
        <x:v>Phase 3</x:v>
      </x:c>
      <x:c r="C635" s="17" t="str">
        <x:v>29.2</x:v>
      </x:c>
      <x:c r="D635" s="21" t="str">
        <x:v>SSP Narrative Builder</x:v>
      </x:c>
      <x:c r="E635" s="17" t="n">
        <x:v>3</x:v>
      </x:c>
      <x:c r="F635" s="21" t="str">
        <x:v>Mark generated or AI-assisted text as draft until human reviewed.</x:v>
      </x:c>
      <x:c r="G635" s="17" t="str">
        <x:v>Software implementation</x:v>
      </x:c>
      <x:c r="H635" s="17" t="str">
        <x:v>Planned</x:v>
      </x:c>
      <x:c r="I635" s="18" t="str">
        <x:v>Completed</x:v>
      </x:c>
      <x:c r="J635" s="17" t="str">
        <x:f>IF(OR(I635="Completed",I635="Not Applicable"),"No","Yes")</x:f>
        <x:v>No</x:v>
      </x:c>
      <x:c r="K635" s="17" t="str">
        <x:v>29.2 task 2</x:v>
      </x:c>
      <x:c r="L635" s="21" t="str">
        <x:v>Story-labeled commit 72fc12f7 contains delivery and focused test/test-result files: feat: implement story 29.2 ssp narrative builder</x:v>
      </x:c>
      <x:c r="M635" s="17" t="str">
        <x:v>Implementation commit + focused test artifacts</x:v>
      </x:c>
      <x:c r="N635" s="21" t="str">
        <x:v>git commit 72fc12f711dbf06d9eeb7c29e1024747dfe15a00; /Users/devups/Development/CodexProjects/Gccs/docs/development-story-test-cases.md</x:v>
      </x:c>
      <x:c r="O635" s="19" t="n">
        <x:v>46192.99674768518</x:v>
      </x:c>
      <x:c r="P635" s="21" t="str">
        <x:v>5 acceptance criteria; 5 TC references; implementation=yes; smoke=yes; automated=yes; Story-level regression template</x:v>
      </x:c>
      <x:c r="Q635" s="21" t="str"/>
      <x:c r="R635" s="21" t="str">
        <x:v>Retain traceability; rerun focused verification if the affected boundary changes.</x:v>
      </x:c>
      <x:c r="S635" s="18" t="str"/>
      <x:c r="T635" s="20"/>
      <x:c r="U635" s="21" t="str">
        <x:v>Completion is based on immutable repository evidence; tests were not rerun and current working-tree drift was not re-certified in this reporting-only task.</x:v>
      </x:c>
      <x:c r="V635" s="1"/>
    </x:row>
    <x:row r="636" ht="46" customHeight="1">
      <x:c r="A636" s="17" t="n">
        <x:v>632</x:v>
      </x:c>
      <x:c r="B636" s="17" t="str">
        <x:v>Phase 3</x:v>
      </x:c>
      <x:c r="C636" s="17" t="str">
        <x:v>29.2</x:v>
      </x:c>
      <x:c r="D636" s="21" t="str">
        <x:v>SSP Narrative Builder</x:v>
      </x:c>
      <x:c r="E636" s="17" t="n">
        <x:v>4</x:v>
      </x:c>
      <x:c r="F636" s="21" t="str">
        <x:v>Add comparison view between current approved narrative and proposed changes.</x:v>
      </x:c>
      <x:c r="G636" s="17" t="str">
        <x:v>Software implementation</x:v>
      </x:c>
      <x:c r="H636" s="17" t="str">
        <x:v>Planned</x:v>
      </x:c>
      <x:c r="I636" s="18" t="str">
        <x:v>Completed</x:v>
      </x:c>
      <x:c r="J636" s="17" t="str">
        <x:f>IF(OR(I636="Completed",I636="Not Applicable"),"No","Yes")</x:f>
        <x:v>No</x:v>
      </x:c>
      <x:c r="K636" s="17" t="str">
        <x:v>29.2 task 3</x:v>
      </x:c>
      <x:c r="L636" s="21" t="str">
        <x:v>Story-labeled commit 72fc12f7 contains delivery and focused test/test-result files: feat: implement story 29.2 ssp narrative builder</x:v>
      </x:c>
      <x:c r="M636" s="17" t="str">
        <x:v>Implementation commit + focused test artifacts</x:v>
      </x:c>
      <x:c r="N636" s="21" t="str">
        <x:v>git commit 72fc12f711dbf06d9eeb7c29e1024747dfe15a00; /Users/devups/Development/CodexProjects/Gccs/docs/development-story-test-cases.md</x:v>
      </x:c>
      <x:c r="O636" s="19" t="n">
        <x:v>46192.99674768518</x:v>
      </x:c>
      <x:c r="P636" s="21" t="str">
        <x:v>5 acceptance criteria; 5 TC references; implementation=yes; smoke=yes; automated=yes; Story-level regression template</x:v>
      </x:c>
      <x:c r="Q636" s="21" t="str"/>
      <x:c r="R636" s="21" t="str">
        <x:v>Retain traceability; rerun focused verification if the affected boundary changes.</x:v>
      </x:c>
      <x:c r="S636" s="18" t="str"/>
      <x:c r="T636" s="20"/>
      <x:c r="U636" s="21" t="str">
        <x:v>Completion is based on immutable repository evidence; tests were not rerun and current working-tree drift was not re-certified in this reporting-only task.</x:v>
      </x:c>
      <x:c r="V636" s="1"/>
    </x:row>
    <x:row r="637" ht="46" customHeight="1">
      <x:c r="A637" s="17" t="n">
        <x:v>633</x:v>
      </x:c>
      <x:c r="B637" s="17" t="str">
        <x:v>Phase 3</x:v>
      </x:c>
      <x:c r="C637" s="17" t="str">
        <x:v>29.2</x:v>
      </x:c>
      <x:c r="D637" s="21" t="str">
        <x:v>SSP Narrative Builder</x:v>
      </x:c>
      <x:c r="E637" s="17" t="n">
        <x:v>5</x:v>
      </x:c>
      <x:c r="F637" s="21" t="str">
        <x:v>Add validation for missing source links, unresolved placeholders, and outdated control or evidence references.</x:v>
      </x:c>
      <x:c r="G637" s="17" t="str">
        <x:v>Software implementation</x:v>
      </x:c>
      <x:c r="H637" s="17" t="str">
        <x:v>Planned</x:v>
      </x:c>
      <x:c r="I637" s="18" t="str">
        <x:v>Completed</x:v>
      </x:c>
      <x:c r="J637" s="17" t="str">
        <x:f>IF(OR(I637="Completed",I637="Not Applicable"),"No","Yes")</x:f>
        <x:v>No</x:v>
      </x:c>
      <x:c r="K637" s="17" t="str">
        <x:v>29.2 task 4</x:v>
      </x:c>
      <x:c r="L637" s="21" t="str">
        <x:v>Story-labeled commit 72fc12f7 contains delivery and focused test/test-result files: feat: implement story 29.2 ssp narrative builder</x:v>
      </x:c>
      <x:c r="M637" s="17" t="str">
        <x:v>Implementation commit + focused test artifacts</x:v>
      </x:c>
      <x:c r="N637" s="21" t="str">
        <x:v>git commit 72fc12f711dbf06d9eeb7c29e1024747dfe15a00; /Users/devups/Development/CodexProjects/Gccs/docs/development-story-test-cases.md</x:v>
      </x:c>
      <x:c r="O637" s="19" t="n">
        <x:v>46192.99674768518</x:v>
      </x:c>
      <x:c r="P637" s="21" t="str">
        <x:v>5 acceptance criteria; 5 TC references; implementation=yes; smoke=yes; automated=yes; Story-level regression template</x:v>
      </x:c>
      <x:c r="Q637" s="21" t="str"/>
      <x:c r="R637" s="21" t="str">
        <x:v>Retain traceability; rerun focused verification if the affected boundary changes.</x:v>
      </x:c>
      <x:c r="S637" s="18" t="str"/>
      <x:c r="T637" s="20"/>
      <x:c r="U637" s="21" t="str">
        <x:v>Completion is based on immutable repository evidence; tests were not rerun and current working-tree drift was not re-certified in this reporting-only task.</x:v>
      </x:c>
      <x:c r="V637" s="1"/>
    </x:row>
    <x:row r="638" ht="46" customHeight="1">
      <x:c r="A638" s="17" t="n">
        <x:v>634</x:v>
      </x:c>
      <x:c r="B638" s="17" t="str">
        <x:v>Phase 3</x:v>
      </x:c>
      <x:c r="C638" s="17" t="str">
        <x:v>29.3</x:v>
      </x:c>
      <x:c r="D638" s="21" t="str">
        <x:v>SSP Export And Review Package</x:v>
      </x:c>
      <x:c r="E638" s="17" t="n">
        <x:v>1</x:v>
      </x:c>
      <x:c r="F638" s="21" t="str">
        <x:v>Add SSP export options for human-readable report and machine-readable package metadata.</x:v>
      </x:c>
      <x:c r="G638" s="17" t="str">
        <x:v>Software implementation</x:v>
      </x:c>
      <x:c r="H638" s="17" t="str">
        <x:v>Planned</x:v>
      </x:c>
      <x:c r="I638" s="18" t="str">
        <x:v>Completed</x:v>
      </x:c>
      <x:c r="J638" s="17" t="str">
        <x:f>IF(OR(I638="Completed",I638="Not Applicable"),"No","Yes")</x:f>
        <x:v>No</x:v>
      </x:c>
      <x:c r="K638" s="17" t="str">
        <x:v>29.2</x:v>
      </x:c>
      <x:c r="L638" s="21" t="str">
        <x:v>Story-labeled commit edcefb14 contains delivery and focused test/test-result files: feat: implement story 29.3 ssp export package</x:v>
      </x:c>
      <x:c r="M638" s="17" t="str">
        <x:v>Implementation commit + focused test artifacts</x:v>
      </x:c>
      <x:c r="N638" s="21" t="str">
        <x:v>git commit edcefb14dfd19cce927fc50330d405c8ea1190d1; /Users/devups/Development/CodexProjects/Gccs/docs/development-story-test-cases.md</x:v>
      </x:c>
      <x:c r="O638" s="19" t="n">
        <x:v>46193.00072916667</x:v>
      </x:c>
      <x:c r="P638" s="21" t="str">
        <x:v>5 acceptance criteria; 6 TC references; implementation=yes; smoke=yes; automated=yes; Story-level regression template</x:v>
      </x:c>
      <x:c r="Q638" s="21" t="str"/>
      <x:c r="R638" s="21" t="str">
        <x:v>Retain traceability; rerun focused verification if the affected boundary changes.</x:v>
      </x:c>
      <x:c r="S638" s="18" t="str"/>
      <x:c r="T638" s="20"/>
      <x:c r="U638" s="21" t="str">
        <x:v>Completion is based on immutable repository evidence; tests were not rerun and current working-tree drift was not re-certified in this reporting-only task.</x:v>
      </x:c>
      <x:c r="V638" s="1"/>
    </x:row>
    <x:row r="639" ht="46" customHeight="1">
      <x:c r="A639" s="17" t="n">
        <x:v>635</x:v>
      </x:c>
      <x:c r="B639" s="17" t="str">
        <x:v>Phase 3</x:v>
      </x:c>
      <x:c r="C639" s="17" t="str">
        <x:v>29.3</x:v>
      </x:c>
      <x:c r="D639" s="21" t="str">
        <x:v>SSP Export And Review Package</x:v>
      </x:c>
      <x:c r="E639" s="17" t="n">
        <x:v>2</x:v>
      </x:c>
      <x:c r="F639" s="21" t="str">
        <x:v>Include section status, generated date, tenant, system boundary, control implementation summaries, evidence references, POA&amp;M references, reviewer metadata, and disclaimers.</x:v>
      </x:c>
      <x:c r="G639" s="17" t="str">
        <x:v>Software implementation</x:v>
      </x:c>
      <x:c r="H639" s="17" t="str">
        <x:v>Planned</x:v>
      </x:c>
      <x:c r="I639" s="18" t="str">
        <x:v>Completed</x:v>
      </x:c>
      <x:c r="J639" s="17" t="str">
        <x:f>IF(OR(I639="Completed",I639="Not Applicable"),"No","Yes")</x:f>
        <x:v>No</x:v>
      </x:c>
      <x:c r="K639" s="17" t="str">
        <x:v>29.3 task 1</x:v>
      </x:c>
      <x:c r="L639" s="21" t="str">
        <x:v>Story-labeled commit edcefb14 contains delivery and focused test/test-result files: feat: implement story 29.3 ssp export package</x:v>
      </x:c>
      <x:c r="M639" s="17" t="str">
        <x:v>Implementation commit + focused test artifacts</x:v>
      </x:c>
      <x:c r="N639" s="21" t="str">
        <x:v>git commit edcefb14dfd19cce927fc50330d405c8ea1190d1; /Users/devups/Development/CodexProjects/Gccs/docs/development-story-test-cases.md</x:v>
      </x:c>
      <x:c r="O639" s="19" t="n">
        <x:v>46193.00072916667</x:v>
      </x:c>
      <x:c r="P639" s="21" t="str">
        <x:v>5 acceptance criteria; 6 TC references; implementation=yes; smoke=yes; automated=yes; Story-level regression template</x:v>
      </x:c>
      <x:c r="Q639" s="21" t="str"/>
      <x:c r="R639" s="21" t="str">
        <x:v>Retain traceability; rerun focused verification if the affected boundary changes.</x:v>
      </x:c>
      <x:c r="S639" s="18" t="str"/>
      <x:c r="T639" s="20"/>
      <x:c r="U639" s="21" t="str">
        <x:v>Completion is based on immutable repository evidence; tests were not rerun and current working-tree drift was not re-certified in this reporting-only task.</x:v>
      </x:c>
      <x:c r="V639" s="1"/>
    </x:row>
    <x:row r="640" ht="46" customHeight="1">
      <x:c r="A640" s="17" t="n">
        <x:v>636</x:v>
      </x:c>
      <x:c r="B640" s="17" t="str">
        <x:v>Phase 3</x:v>
      </x:c>
      <x:c r="C640" s="17" t="str">
        <x:v>29.3</x:v>
      </x:c>
      <x:c r="D640" s="21" t="str">
        <x:v>SSP Export And Review Package</x:v>
      </x:c>
      <x:c r="E640" s="17" t="n">
        <x:v>3</x:v>
      </x:c>
      <x:c r="F640" s="21" t="str">
        <x:v>Exclude prohibited, unknown, unapproved, or cross-tenant evidence.</x:v>
      </x:c>
      <x:c r="G640" s="17" t="str">
        <x:v>Software implementation</x:v>
      </x:c>
      <x:c r="H640" s="17" t="str">
        <x:v>Planned</x:v>
      </x:c>
      <x:c r="I640" s="18" t="str">
        <x:v>Completed</x:v>
      </x:c>
      <x:c r="J640" s="17" t="str">
        <x:f>IF(OR(I640="Completed",I640="Not Applicable"),"No","Yes")</x:f>
        <x:v>No</x:v>
      </x:c>
      <x:c r="K640" s="17" t="str">
        <x:v>29.3 task 2</x:v>
      </x:c>
      <x:c r="L640" s="21" t="str">
        <x:v>Story-labeled commit edcefb14 contains delivery and focused test/test-result files: feat: implement story 29.3 ssp export package</x:v>
      </x:c>
      <x:c r="M640" s="17" t="str">
        <x:v>Implementation commit + focused test artifacts</x:v>
      </x:c>
      <x:c r="N640" s="21" t="str">
        <x:v>git commit edcefb14dfd19cce927fc50330d405c8ea1190d1; /Users/devups/Development/CodexProjects/Gccs/docs/development-story-test-cases.md</x:v>
      </x:c>
      <x:c r="O640" s="19" t="n">
        <x:v>46193.00072916667</x:v>
      </x:c>
      <x:c r="P640" s="21" t="str">
        <x:v>5 acceptance criteria; 6 TC references; implementation=yes; smoke=yes; automated=yes; Story-level regression template</x:v>
      </x:c>
      <x:c r="Q640" s="21" t="str"/>
      <x:c r="R640" s="21" t="str">
        <x:v>Retain traceability; rerun focused verification if the affected boundary changes.</x:v>
      </x:c>
      <x:c r="S640" s="18" t="str"/>
      <x:c r="T640" s="20"/>
      <x:c r="U640" s="21" t="str">
        <x:v>Completion is based on immutable repository evidence; tests were not rerun and current working-tree drift was not re-certified in this reporting-only task.</x:v>
      </x:c>
      <x:c r="V640" s="1"/>
    </x:row>
    <x:row r="641" ht="46" customHeight="1">
      <x:c r="A641" s="17" t="n">
        <x:v>637</x:v>
      </x:c>
      <x:c r="B641" s="17" t="str">
        <x:v>Phase 3</x:v>
      </x:c>
      <x:c r="C641" s="17" t="str">
        <x:v>29.3</x:v>
      </x:c>
      <x:c r="D641" s="21" t="str">
        <x:v>SSP Export And Review Package</x:v>
      </x:c>
      <x:c r="E641" s="17" t="n">
        <x:v>4</x:v>
      </x:c>
      <x:c r="F641" s="21" t="str">
        <x:v>Add export permission checks and external-share restrictions.</x:v>
      </x:c>
      <x:c r="G641" s="17" t="str">
        <x:v>Software implementation</x:v>
      </x:c>
      <x:c r="H641" s="17" t="str">
        <x:v>Planned</x:v>
      </x:c>
      <x:c r="I641" s="18" t="str">
        <x:v>Completed</x:v>
      </x:c>
      <x:c r="J641" s="17" t="str">
        <x:f>IF(OR(I641="Completed",I641="Not Applicable"),"No","Yes")</x:f>
        <x:v>No</x:v>
      </x:c>
      <x:c r="K641" s="17" t="str">
        <x:v>29.3 task 3</x:v>
      </x:c>
      <x:c r="L641" s="21" t="str">
        <x:v>Story-labeled commit edcefb14 contains delivery and focused test/test-result files: feat: implement story 29.3 ssp export package</x:v>
      </x:c>
      <x:c r="M641" s="17" t="str">
        <x:v>Implementation commit + focused test artifacts</x:v>
      </x:c>
      <x:c r="N641" s="21" t="str">
        <x:v>git commit edcefb14dfd19cce927fc50330d405c8ea1190d1; /Users/devups/Development/CodexProjects/Gccs/docs/development-story-test-cases.md</x:v>
      </x:c>
      <x:c r="O641" s="19" t="n">
        <x:v>46193.00072916667</x:v>
      </x:c>
      <x:c r="P641" s="21" t="str">
        <x:v>5 acceptance criteria; 6 TC references; implementation=yes; smoke=yes; automated=yes; Story-level regression template</x:v>
      </x:c>
      <x:c r="Q641" s="21" t="str"/>
      <x:c r="R641" s="21" t="str">
        <x:v>Retain traceability; rerun focused verification if the affected boundary changes.</x:v>
      </x:c>
      <x:c r="S641" s="18" t="str"/>
      <x:c r="T641" s="20"/>
      <x:c r="U641" s="21" t="str">
        <x:v>Completion is based on immutable repository evidence; tests were not rerun and current working-tree drift was not re-certified in this reporting-only task.</x:v>
      </x:c>
      <x:c r="V641" s="1"/>
    </x:row>
    <x:row r="642" ht="46" customHeight="1">
      <x:c r="A642" s="17" t="n">
        <x:v>638</x:v>
      </x:c>
      <x:c r="B642" s="17" t="str">
        <x:v>Phase 3</x:v>
      </x:c>
      <x:c r="C642" s="17" t="str">
        <x:v>29.3</x:v>
      </x:c>
      <x:c r="D642" s="21" t="str">
        <x:v>SSP Export And Review Package</x:v>
      </x:c>
      <x:c r="E642" s="17" t="n">
        <x:v>5</x:v>
      </x:c>
      <x:c r="F642" s="21" t="str">
        <x:v>Add export history and package versioning.</x:v>
      </x:c>
      <x:c r="G642" s="17" t="str">
        <x:v>Software implementation</x:v>
      </x:c>
      <x:c r="H642" s="17" t="str">
        <x:v>Planned</x:v>
      </x:c>
      <x:c r="I642" s="18" t="str">
        <x:v>Completed</x:v>
      </x:c>
      <x:c r="J642" s="17" t="str">
        <x:f>IF(OR(I642="Completed",I642="Not Applicable"),"No","Yes")</x:f>
        <x:v>No</x:v>
      </x:c>
      <x:c r="K642" s="17" t="str">
        <x:v>29.3 task 4</x:v>
      </x:c>
      <x:c r="L642" s="21" t="str">
        <x:v>Story-labeled commit edcefb14 contains delivery and focused test/test-result files: feat: implement story 29.3 ssp export package</x:v>
      </x:c>
      <x:c r="M642" s="17" t="str">
        <x:v>Implementation commit + focused test artifacts</x:v>
      </x:c>
      <x:c r="N642" s="21" t="str">
        <x:v>git commit edcefb14dfd19cce927fc50330d405c8ea1190d1; /Users/devups/Development/CodexProjects/Gccs/docs/development-story-test-cases.md</x:v>
      </x:c>
      <x:c r="O642" s="19" t="n">
        <x:v>46193.00072916667</x:v>
      </x:c>
      <x:c r="P642" s="21" t="str">
        <x:v>5 acceptance criteria; 6 TC references; implementation=yes; smoke=yes; automated=yes; Story-level regression template</x:v>
      </x:c>
      <x:c r="Q642" s="21" t="str"/>
      <x:c r="R642" s="21" t="str">
        <x:v>Retain traceability; rerun focused verification if the affected boundary changes.</x:v>
      </x:c>
      <x:c r="S642" s="18" t="str"/>
      <x:c r="T642" s="20"/>
      <x:c r="U642" s="21" t="str">
        <x:v>Completion is based on immutable repository evidence; tests were not rerun and current working-tree drift was not re-certified in this reporting-only task.</x:v>
      </x:c>
      <x:c r="V642" s="1"/>
    </x:row>
    <x:row r="643" ht="46" customHeight="1">
      <x:c r="A643" s="17" t="n">
        <x:v>639</x:v>
      </x:c>
      <x:c r="B643" s="17" t="str">
        <x:v>Phase 3</x:v>
      </x:c>
      <x:c r="C643" s="17" t="str">
        <x:v>30.1</x:v>
      </x:c>
      <x:c r="D643" s="21" t="str">
        <x:v>Scoring Rule Baseline</x:v>
      </x:c>
      <x:c r="E643" s="17" t="n">
        <x:v>1</x:v>
      </x:c>
      <x:c r="F643" s="21" t="str">
        <x:v>Define scoring rules for applicable NIST SP 800-171 Rev. 2 requirements and assessment objective status.</x:v>
      </x:c>
      <x:c r="G643" s="17" t="str">
        <x:v>Software implementation</x:v>
      </x:c>
      <x:c r="H643" s="17" t="str">
        <x:v>Planned</x:v>
      </x:c>
      <x:c r="I643" s="18" t="str">
        <x:v>Completed</x:v>
      </x:c>
      <x:c r="J643" s="17" t="str">
        <x:f>IF(OR(I643="Completed",I643="Not Applicable"),"No","Yes")</x:f>
        <x:v>No</x:v>
      </x:c>
      <x:c r="K643" s="17" t="str">
        <x:v>29.3</x:v>
      </x:c>
      <x:c r="L643" s="21" t="str">
        <x:v>Story-labeled commit 2d1b1078 contains delivery and focused test/test-result files: feat: implement story 30.1 sprs scoring rules</x:v>
      </x:c>
      <x:c r="M643" s="17" t="str">
        <x:v>Implementation commit + focused test artifacts</x:v>
      </x:c>
      <x:c r="N643" s="21" t="str">
        <x:v>git commit 2d1b10784a77cdede7ca0456529f2d356680736c; /Users/devups/Development/CodexProjects/Gccs/docs/development-story-test-cases.md</x:v>
      </x:c>
      <x:c r="O643" s="19" t="n">
        <x:v>46192.71375</x:v>
      </x:c>
      <x:c r="P643" s="21" t="str">
        <x:v>5 acceptance criteria; 5 TC references; implementation=yes; smoke=yes; automated=yes; Story-level regression template</x:v>
      </x:c>
      <x:c r="Q643" s="21" t="str"/>
      <x:c r="R643" s="21" t="str">
        <x:v>Retain traceability; rerun focused verification if the affected boundary changes.</x:v>
      </x:c>
      <x:c r="S643" s="18" t="str"/>
      <x:c r="T643" s="20"/>
      <x:c r="U643" s="21" t="str">
        <x:v>Completion is based on immutable repository evidence; tests were not rerun and current working-tree drift was not re-certified in this reporting-only task.</x:v>
      </x:c>
      <x:c r="V643" s="1"/>
    </x:row>
    <x:row r="644" ht="46" customHeight="1">
      <x:c r="A644" s="17" t="n">
        <x:v>640</x:v>
      </x:c>
      <x:c r="B644" s="17" t="str">
        <x:v>Phase 3</x:v>
      </x:c>
      <x:c r="C644" s="17" t="str">
        <x:v>30.1</x:v>
      </x:c>
      <x:c r="D644" s="21" t="str">
        <x:v>Scoring Rule Baseline</x:v>
      </x:c>
      <x:c r="E644" s="17" t="n">
        <x:v>2</x:v>
      </x:c>
      <x:c r="F644" s="21" t="str">
        <x:v>Store score weights, maximum score, deduction logic, source references, version, owner, reviewer, review date, and effective date.</x:v>
      </x:c>
      <x:c r="G644" s="17" t="str">
        <x:v>Software implementation</x:v>
      </x:c>
      <x:c r="H644" s="17" t="str">
        <x:v>Planned</x:v>
      </x:c>
      <x:c r="I644" s="18" t="str">
        <x:v>Completed</x:v>
      </x:c>
      <x:c r="J644" s="17" t="str">
        <x:f>IF(OR(I644="Completed",I644="Not Applicable"),"No","Yes")</x:f>
        <x:v>No</x:v>
      </x:c>
      <x:c r="K644" s="17" t="str">
        <x:v>30.1 task 1</x:v>
      </x:c>
      <x:c r="L644" s="21" t="str">
        <x:v>Story-labeled commit 2d1b1078 contains delivery and focused test/test-result files: feat: implement story 30.1 sprs scoring rules</x:v>
      </x:c>
      <x:c r="M644" s="17" t="str">
        <x:v>Implementation commit + focused test artifacts</x:v>
      </x:c>
      <x:c r="N644" s="21" t="str">
        <x:v>git commit 2d1b10784a77cdede7ca0456529f2d356680736c; /Users/devups/Development/CodexProjects/Gccs/docs/development-story-test-cases.md</x:v>
      </x:c>
      <x:c r="O644" s="19" t="n">
        <x:v>46192.71375</x:v>
      </x:c>
      <x:c r="P644" s="21" t="str">
        <x:v>5 acceptance criteria; 5 TC references; implementation=yes; smoke=yes; automated=yes; Story-level regression template</x:v>
      </x:c>
      <x:c r="Q644" s="21" t="str"/>
      <x:c r="R644" s="21" t="str">
        <x:v>Retain traceability; rerun focused verification if the affected boundary changes.</x:v>
      </x:c>
      <x:c r="S644" s="18" t="str"/>
      <x:c r="T644" s="20"/>
      <x:c r="U644" s="21" t="str">
        <x:v>Completion is based on immutable repository evidence; tests were not rerun and current working-tree drift was not re-certified in this reporting-only task.</x:v>
      </x:c>
      <x:c r="V644" s="1"/>
    </x:row>
    <x:row r="645" ht="46" customHeight="1">
      <x:c r="A645" s="17" t="n">
        <x:v>641</x:v>
      </x:c>
      <x:c r="B645" s="17" t="str">
        <x:v>Phase 3</x:v>
      </x:c>
      <x:c r="C645" s="17" t="str">
        <x:v>30.1</x:v>
      </x:c>
      <x:c r="D645" s="21" t="str">
        <x:v>Scoring Rule Baseline</x:v>
      </x:c>
      <x:c r="E645" s="17" t="n">
        <x:v>3</x:v>
      </x:c>
      <x:c r="F645" s="21" t="str">
        <x:v>Add draft, approved, published, retired, and superseded scoring rule states.</x:v>
      </x:c>
      <x:c r="G645" s="17" t="str">
        <x:v>Software implementation</x:v>
      </x:c>
      <x:c r="H645" s="17" t="str">
        <x:v>Planned</x:v>
      </x:c>
      <x:c r="I645" s="18" t="str">
        <x:v>Completed</x:v>
      </x:c>
      <x:c r="J645" s="17" t="str">
        <x:f>IF(OR(I645="Completed",I645="Not Applicable"),"No","Yes")</x:f>
        <x:v>No</x:v>
      </x:c>
      <x:c r="K645" s="17" t="str">
        <x:v>30.1 task 2</x:v>
      </x:c>
      <x:c r="L645" s="21" t="str">
        <x:v>Story-labeled commit 2d1b1078 contains delivery and focused test/test-result files: feat: implement story 30.1 sprs scoring rules</x:v>
      </x:c>
      <x:c r="M645" s="17" t="str">
        <x:v>Implementation commit + focused test artifacts</x:v>
      </x:c>
      <x:c r="N645" s="21" t="str">
        <x:v>git commit 2d1b10784a77cdede7ca0456529f2d356680736c; /Users/devups/Development/CodexProjects/Gccs/docs/development-story-test-cases.md</x:v>
      </x:c>
      <x:c r="O645" s="19" t="n">
        <x:v>46192.71375</x:v>
      </x:c>
      <x:c r="P645" s="21" t="str">
        <x:v>5 acceptance criteria; 5 TC references; implementation=yes; smoke=yes; automated=yes; Story-level regression template</x:v>
      </x:c>
      <x:c r="Q645" s="21" t="str"/>
      <x:c r="R645" s="21" t="str">
        <x:v>Retain traceability; rerun focused verification if the affected boundary changes.</x:v>
      </x:c>
      <x:c r="S645" s="18" t="str"/>
      <x:c r="T645" s="20"/>
      <x:c r="U645" s="21" t="str">
        <x:v>Completion is based on immutable repository evidence; tests were not rerun and current working-tree drift was not re-certified in this reporting-only task.</x:v>
      </x:c>
      <x:c r="V645" s="1"/>
    </x:row>
    <x:row r="646" ht="46" customHeight="1">
      <x:c r="A646" s="17" t="n">
        <x:v>642</x:v>
      </x:c>
      <x:c r="B646" s="17" t="str">
        <x:v>Phase 3</x:v>
      </x:c>
      <x:c r="C646" s="17" t="str">
        <x:v>30.1</x:v>
      </x:c>
      <x:c r="D646" s="21" t="str">
        <x:v>Scoring Rule Baseline</x:v>
      </x:c>
      <x:c r="E646" s="17" t="n">
        <x:v>4</x:v>
      </x:c>
      <x:c r="F646" s="21" t="str">
        <x:v>Add validation that published scoring rules require source and review metadata.</x:v>
      </x:c>
      <x:c r="G646" s="17" t="str">
        <x:v>Software implementation</x:v>
      </x:c>
      <x:c r="H646" s="17" t="str">
        <x:v>Planned</x:v>
      </x:c>
      <x:c r="I646" s="18" t="str">
        <x:v>Completed</x:v>
      </x:c>
      <x:c r="J646" s="17" t="str">
        <x:f>IF(OR(I646="Completed",I646="Not Applicable"),"No","Yes")</x:f>
        <x:v>No</x:v>
      </x:c>
      <x:c r="K646" s="17" t="str">
        <x:v>30.1 task 3</x:v>
      </x:c>
      <x:c r="L646" s="21" t="str">
        <x:v>Story-labeled commit 2d1b1078 contains delivery and focused test/test-result files: feat: implement story 30.1 sprs scoring rules</x:v>
      </x:c>
      <x:c r="M646" s="17" t="str">
        <x:v>Implementation commit + focused test artifacts</x:v>
      </x:c>
      <x:c r="N646" s="21" t="str">
        <x:v>git commit 2d1b10784a77cdede7ca0456529f2d356680736c; /Users/devups/Development/CodexProjects/Gccs/docs/development-story-test-cases.md</x:v>
      </x:c>
      <x:c r="O646" s="19" t="n">
        <x:v>46192.71375</x:v>
      </x:c>
      <x:c r="P646" s="21" t="str">
        <x:v>5 acceptance criteria; 5 TC references; implementation=yes; smoke=yes; automated=yes; Story-level regression template</x:v>
      </x:c>
      <x:c r="Q646" s="21" t="str"/>
      <x:c r="R646" s="21" t="str">
        <x:v>Retain traceability; rerun focused verification if the affected boundary changes.</x:v>
      </x:c>
      <x:c r="S646" s="18" t="str"/>
      <x:c r="T646" s="20"/>
      <x:c r="U646" s="21" t="str">
        <x:v>Completion is based on immutable repository evidence; tests were not rerun and current working-tree drift was not re-certified in this reporting-only task.</x:v>
      </x:c>
      <x:c r="V646" s="1"/>
    </x:row>
    <x:row r="647" ht="46" customHeight="1">
      <x:c r="A647" s="17" t="n">
        <x:v>643</x:v>
      </x:c>
      <x:c r="B647" s="17" t="str">
        <x:v>Phase 3</x:v>
      </x:c>
      <x:c r="C647" s="17" t="str">
        <x:v>30.1</x:v>
      </x:c>
      <x:c r="D647" s="21" t="str">
        <x:v>Scoring Rule Baseline</x:v>
      </x:c>
      <x:c r="E647" s="17" t="n">
        <x:v>5</x:v>
      </x:c>
      <x:c r="F647" s="21" t="str">
        <x:v>Add tests for scoring edge cases.</x:v>
      </x:c>
      <x:c r="G647" s="17" t="str">
        <x:v>Software implementation</x:v>
      </x:c>
      <x:c r="H647" s="17" t="str">
        <x:v>Planned</x:v>
      </x:c>
      <x:c r="I647" s="18" t="str">
        <x:v>Completed</x:v>
      </x:c>
      <x:c r="J647" s="17" t="str">
        <x:f>IF(OR(I647="Completed",I647="Not Applicable"),"No","Yes")</x:f>
        <x:v>No</x:v>
      </x:c>
      <x:c r="K647" s="17" t="str">
        <x:v>30.1 task 4</x:v>
      </x:c>
      <x:c r="L647" s="21" t="str">
        <x:v>Story-labeled commit 2d1b1078 contains delivery and focused test/test-result files: feat: implement story 30.1 sprs scoring rules</x:v>
      </x:c>
      <x:c r="M647" s="17" t="str">
        <x:v>Implementation commit + focused test artifacts</x:v>
      </x:c>
      <x:c r="N647" s="21" t="str">
        <x:v>git commit 2d1b10784a77cdede7ca0456529f2d356680736c; /Users/devups/Development/CodexProjects/Gccs/docs/development-story-test-cases.md</x:v>
      </x:c>
      <x:c r="O647" s="19" t="n">
        <x:v>46192.71375</x:v>
      </x:c>
      <x:c r="P647" s="21" t="str">
        <x:v>5 acceptance criteria; 5 TC references; implementation=yes; smoke=yes; automated=yes; Story-level regression template</x:v>
      </x:c>
      <x:c r="Q647" s="21" t="str"/>
      <x:c r="R647" s="21" t="str">
        <x:v>Retain traceability; rerun focused verification if the affected boundary changes.</x:v>
      </x:c>
      <x:c r="S647" s="18" t="str"/>
      <x:c r="T647" s="20"/>
      <x:c r="U647" s="21" t="str">
        <x:v>Completion is based on immutable repository evidence; tests were not rerun and current working-tree drift was not re-certified in this reporting-only task.</x:v>
      </x:c>
      <x:c r="V647" s="1"/>
    </x:row>
    <x:row r="648" ht="46" customHeight="1">
      <x:c r="A648" s="17" t="n">
        <x:v>644</x:v>
      </x:c>
      <x:c r="B648" s="17" t="str">
        <x:v>Phase 3</x:v>
      </x:c>
      <x:c r="C648" s="17" t="str">
        <x:v>30.2</x:v>
      </x:c>
      <x:c r="D648" s="21" t="str">
        <x:v>Score Calculation Workspace</x:v>
      </x:c>
      <x:c r="E648" s="17" t="n">
        <x:v>1</x:v>
      </x:c>
      <x:c r="F648" s="21" t="str">
        <x:v>Add calculation workflow from Level 2 control assessment statuses and scoring rule version.</x:v>
      </x:c>
      <x:c r="G648" s="17" t="str">
        <x:v>Software implementation</x:v>
      </x:c>
      <x:c r="H648" s="17" t="str">
        <x:v>Planned</x:v>
      </x:c>
      <x:c r="I648" s="18" t="str">
        <x:v>Completed</x:v>
      </x:c>
      <x:c r="J648" s="17" t="str">
        <x:f>IF(OR(I648="Completed",I648="Not Applicable"),"No","Yes")</x:f>
        <x:v>No</x:v>
      </x:c>
      <x:c r="K648" s="17" t="str">
        <x:v>30.1</x:v>
      </x:c>
      <x:c r="L648" s="21" t="str">
        <x:v>Story-labeled commit e785faa1 contains delivery and focused test/test-result files: feat: implement story 30.2 sprs score calculation</x:v>
      </x:c>
      <x:c r="M648" s="17" t="str">
        <x:v>Implementation commit + focused test artifacts</x:v>
      </x:c>
      <x:c r="N648" s="21" t="str">
        <x:v>git commit e785faa18508a315e3d4d763b8d9346fba816d97; /Users/devups/Development/CodexProjects/Gccs/docs/development-story-test-cases.md</x:v>
      </x:c>
      <x:c r="O648" s="19" t="n">
        <x:v>46192.716678240744</x:v>
      </x:c>
      <x:c r="P648" s="21" t="str">
        <x:v>5 acceptance criteria; 5 TC references; implementation=yes; smoke=yes; automated=yes; Story-level regression template</x:v>
      </x:c>
      <x:c r="Q648" s="21" t="str"/>
      <x:c r="R648" s="21" t="str">
        <x:v>Retain traceability; rerun focused verification if the affected boundary changes.</x:v>
      </x:c>
      <x:c r="S648" s="18" t="str"/>
      <x:c r="T648" s="20"/>
      <x:c r="U648" s="21" t="str">
        <x:v>Completion is based on immutable repository evidence; tests were not rerun and current working-tree drift was not re-certified in this reporting-only task.</x:v>
      </x:c>
      <x:c r="V648" s="1"/>
    </x:row>
    <x:row r="649" ht="46" customHeight="1">
      <x:c r="A649" s="17" t="n">
        <x:v>645</x:v>
      </x:c>
      <x:c r="B649" s="17" t="str">
        <x:v>Phase 3</x:v>
      </x:c>
      <x:c r="C649" s="17" t="str">
        <x:v>30.2</x:v>
      </x:c>
      <x:c r="D649" s="21" t="str">
        <x:v>Score Calculation Workspace</x:v>
      </x:c>
      <x:c r="E649" s="17" t="n">
        <x:v>2</x:v>
      </x:c>
      <x:c r="F649" s="21" t="str">
        <x:v>Show current score, maximum score, deductions, requirement-level reasons, excluded or not-applicable rationale, and unresolved gaps.</x:v>
      </x:c>
      <x:c r="G649" s="17" t="str">
        <x:v>Software implementation</x:v>
      </x:c>
      <x:c r="H649" s="17" t="str">
        <x:v>Planned</x:v>
      </x:c>
      <x:c r="I649" s="18" t="str">
        <x:v>Completed</x:v>
      </x:c>
      <x:c r="J649" s="17" t="str">
        <x:f>IF(OR(I649="Completed",I649="Not Applicable"),"No","Yes")</x:f>
        <x:v>No</x:v>
      </x:c>
      <x:c r="K649" s="17" t="str">
        <x:v>30.2 task 1</x:v>
      </x:c>
      <x:c r="L649" s="21" t="str">
        <x:v>Story-labeled commit e785faa1 contains delivery and focused test/test-result files: feat: implement story 30.2 sprs score calculation</x:v>
      </x:c>
      <x:c r="M649" s="17" t="str">
        <x:v>Implementation commit + focused test artifacts</x:v>
      </x:c>
      <x:c r="N649" s="21" t="str">
        <x:v>git commit e785faa18508a315e3d4d763b8d9346fba816d97; /Users/devups/Development/CodexProjects/Gccs/docs/development-story-test-cases.md</x:v>
      </x:c>
      <x:c r="O649" s="19" t="n">
        <x:v>46192.716678240744</x:v>
      </x:c>
      <x:c r="P649" s="21" t="str">
        <x:v>5 acceptance criteria; 5 TC references; implementation=yes; smoke=yes; automated=yes; Story-level regression template</x:v>
      </x:c>
      <x:c r="Q649" s="21" t="str"/>
      <x:c r="R649" s="21" t="str">
        <x:v>Retain traceability; rerun focused verification if the affected boundary changes.</x:v>
      </x:c>
      <x:c r="S649" s="18" t="str"/>
      <x:c r="T649" s="20"/>
      <x:c r="U649" s="21" t="str">
        <x:v>Completion is based on immutable repository evidence; tests were not rerun and current working-tree drift was not re-certified in this reporting-only task.</x:v>
      </x:c>
      <x:c r="V649" s="1"/>
    </x:row>
    <x:row r="650" ht="46" customHeight="1">
      <x:c r="A650" s="17" t="n">
        <x:v>646</x:v>
      </x:c>
      <x:c r="B650" s="17" t="str">
        <x:v>Phase 3</x:v>
      </x:c>
      <x:c r="C650" s="17" t="str">
        <x:v>30.2</x:v>
      </x:c>
      <x:c r="D650" s="21" t="str">
        <x:v>Score Calculation Workspace</x:v>
      </x:c>
      <x:c r="E650" s="17" t="n">
        <x:v>3</x:v>
      </x:c>
      <x:c r="F650" s="21" t="str">
        <x:v>Allow manual reviewer notes without overriding the rule calculation.</x:v>
      </x:c>
      <x:c r="G650" s="17" t="str">
        <x:v>Software implementation</x:v>
      </x:c>
      <x:c r="H650" s="17" t="str">
        <x:v>Planned</x:v>
      </x:c>
      <x:c r="I650" s="18" t="str">
        <x:v>Completed</x:v>
      </x:c>
      <x:c r="J650" s="17" t="str">
        <x:f>IF(OR(I650="Completed",I650="Not Applicable"),"No","Yes")</x:f>
        <x:v>No</x:v>
      </x:c>
      <x:c r="K650" s="17" t="str">
        <x:v>30.2 task 2</x:v>
      </x:c>
      <x:c r="L650" s="21" t="str">
        <x:v>Story-labeled commit e785faa1 contains delivery and focused test/test-result files: feat: implement story 30.2 sprs score calculation</x:v>
      </x:c>
      <x:c r="M650" s="17" t="str">
        <x:v>Implementation commit + focused test artifacts</x:v>
      </x:c>
      <x:c r="N650" s="21" t="str">
        <x:v>git commit e785faa18508a315e3d4d763b8d9346fba816d97; /Users/devups/Development/CodexProjects/Gccs/docs/development-story-test-cases.md</x:v>
      </x:c>
      <x:c r="O650" s="19" t="n">
        <x:v>46192.716678240744</x:v>
      </x:c>
      <x:c r="P650" s="21" t="str">
        <x:v>5 acceptance criteria; 5 TC references; implementation=yes; smoke=yes; automated=yes; Story-level regression template</x:v>
      </x:c>
      <x:c r="Q650" s="21" t="str"/>
      <x:c r="R650" s="21" t="str">
        <x:v>Retain traceability; rerun focused verification if the affected boundary changes.</x:v>
      </x:c>
      <x:c r="S650" s="18" t="str"/>
      <x:c r="T650" s="20"/>
      <x:c r="U650" s="21" t="str">
        <x:v>Completion is based on immutable repository evidence; tests were not rerun and current working-tree drift was not re-certified in this reporting-only task.</x:v>
      </x:c>
      <x:c r="V650" s="1"/>
    </x:row>
    <x:row r="651" ht="46" customHeight="1">
      <x:c r="A651" s="17" t="n">
        <x:v>647</x:v>
      </x:c>
      <x:c r="B651" s="17" t="str">
        <x:v>Phase 3</x:v>
      </x:c>
      <x:c r="C651" s="17" t="str">
        <x:v>30.2</x:v>
      </x:c>
      <x:c r="D651" s="21" t="str">
        <x:v>Score Calculation Workspace</x:v>
      </x:c>
      <x:c r="E651" s="17" t="n">
        <x:v>4</x:v>
      </x:c>
      <x:c r="F651" s="21" t="str">
        <x:v>Add recalculation when control assessment status changes.</x:v>
      </x:c>
      <x:c r="G651" s="17" t="str">
        <x:v>Software implementation</x:v>
      </x:c>
      <x:c r="H651" s="17" t="str">
        <x:v>Planned</x:v>
      </x:c>
      <x:c r="I651" s="18" t="str">
        <x:v>Completed</x:v>
      </x:c>
      <x:c r="J651" s="17" t="str">
        <x:f>IF(OR(I651="Completed",I651="Not Applicable"),"No","Yes")</x:f>
        <x:v>No</x:v>
      </x:c>
      <x:c r="K651" s="17" t="str">
        <x:v>30.2 task 3</x:v>
      </x:c>
      <x:c r="L651" s="21" t="str">
        <x:v>Story-labeled commit e785faa1 contains delivery and focused test/test-result files: feat: implement story 30.2 sprs score calculation</x:v>
      </x:c>
      <x:c r="M651" s="17" t="str">
        <x:v>Implementation commit + focused test artifacts</x:v>
      </x:c>
      <x:c r="N651" s="21" t="str">
        <x:v>git commit e785faa18508a315e3d4d763b8d9346fba816d97; /Users/devups/Development/CodexProjects/Gccs/docs/development-story-test-cases.md</x:v>
      </x:c>
      <x:c r="O651" s="19" t="n">
        <x:v>46192.716678240744</x:v>
      </x:c>
      <x:c r="P651" s="21" t="str">
        <x:v>5 acceptance criteria; 5 TC references; implementation=yes; smoke=yes; automated=yes; Story-level regression template</x:v>
      </x:c>
      <x:c r="Q651" s="21" t="str"/>
      <x:c r="R651" s="21" t="str">
        <x:v>Retain traceability; rerun focused verification if the affected boundary changes.</x:v>
      </x:c>
      <x:c r="S651" s="18" t="str"/>
      <x:c r="T651" s="20"/>
      <x:c r="U651" s="21" t="str">
        <x:v>Completion is based on immutable repository evidence; tests were not rerun and current working-tree drift was not re-certified in this reporting-only task.</x:v>
      </x:c>
      <x:c r="V651" s="1"/>
    </x:row>
    <x:row r="652" ht="46" customHeight="1">
      <x:c r="A652" s="17" t="n">
        <x:v>648</x:v>
      </x:c>
      <x:c r="B652" s="17" t="str">
        <x:v>Phase 3</x:v>
      </x:c>
      <x:c r="C652" s="17" t="str">
        <x:v>30.2</x:v>
      </x:c>
      <x:c r="D652" s="21" t="str">
        <x:v>Score Calculation Workspace</x:v>
      </x:c>
      <x:c r="E652" s="17" t="n">
        <x:v>5</x:v>
      </x:c>
      <x:c r="F652" s="21" t="str">
        <x:v>Add tenant-scoped calculation history.</x:v>
      </x:c>
      <x:c r="G652" s="17" t="str">
        <x:v>Software implementation</x:v>
      </x:c>
      <x:c r="H652" s="17" t="str">
        <x:v>Planned</x:v>
      </x:c>
      <x:c r="I652" s="18" t="str">
        <x:v>Completed</x:v>
      </x:c>
      <x:c r="J652" s="17" t="str">
        <x:f>IF(OR(I652="Completed",I652="Not Applicable"),"No","Yes")</x:f>
        <x:v>No</x:v>
      </x:c>
      <x:c r="K652" s="17" t="str">
        <x:v>30.2 task 4</x:v>
      </x:c>
      <x:c r="L652" s="21" t="str">
        <x:v>Story-labeled commit e785faa1 contains delivery and focused test/test-result files: feat: implement story 30.2 sprs score calculation</x:v>
      </x:c>
      <x:c r="M652" s="17" t="str">
        <x:v>Implementation commit + focused test artifacts</x:v>
      </x:c>
      <x:c r="N652" s="21" t="str">
        <x:v>git commit e785faa18508a315e3d4d763b8d9346fba816d97; /Users/devups/Development/CodexProjects/Gccs/docs/development-story-test-cases.md</x:v>
      </x:c>
      <x:c r="O652" s="19" t="n">
        <x:v>46192.716678240744</x:v>
      </x:c>
      <x:c r="P652" s="21" t="str">
        <x:v>5 acceptance criteria; 5 TC references; implementation=yes; smoke=yes; automated=yes; Story-level regression template</x:v>
      </x:c>
      <x:c r="Q652" s="21" t="str"/>
      <x:c r="R652" s="21" t="str">
        <x:v>Retain traceability; rerun focused verification if the affected boundary changes.</x:v>
      </x:c>
      <x:c r="S652" s="18" t="str"/>
      <x:c r="T652" s="20"/>
      <x:c r="U652" s="21" t="str">
        <x:v>Completion is based on immutable repository evidence; tests were not rerun and current working-tree drift was not re-certified in this reporting-only task.</x:v>
      </x:c>
      <x:c r="V652" s="1"/>
    </x:row>
    <x:row r="653" ht="46" customHeight="1">
      <x:c r="A653" s="17" t="n">
        <x:v>649</x:v>
      </x:c>
      <x:c r="B653" s="17" t="str">
        <x:v>Phase 3</x:v>
      </x:c>
      <x:c r="C653" s="17" t="str">
        <x:v>30.3</x:v>
      </x:c>
      <x:c r="D653" s="21" t="str">
        <x:v>SPRS Readiness Report</x:v>
      </x:c>
      <x:c r="E653" s="17" t="n">
        <x:v>1</x:v>
      </x:c>
      <x:c r="F653" s="21" t="str">
        <x:v>Add report sections for score summary, major deductions, unresolved controls, POA&amp;M references, evidence status, assessment date, scoring rule version, and reviewer notes.</x:v>
      </x:c>
      <x:c r="G653" s="17" t="str">
        <x:v>Software implementation</x:v>
      </x:c>
      <x:c r="H653" s="17" t="str">
        <x:v>Planned</x:v>
      </x:c>
      <x:c r="I653" s="18" t="str">
        <x:v>Completed</x:v>
      </x:c>
      <x:c r="J653" s="17" t="str">
        <x:f>IF(OR(I653="Completed",I653="Not Applicable"),"No","Yes")</x:f>
        <x:v>No</x:v>
      </x:c>
      <x:c r="K653" s="17" t="str">
        <x:v>30.2</x:v>
      </x:c>
      <x:c r="L653" s="21" t="str">
        <x:v>Story-labeled commit 647dd90e contains delivery and focused test/test-result files: feat: implement story 30.3 sprs readiness report</x:v>
      </x:c>
      <x:c r="M653" s="17" t="str">
        <x:v>Implementation commit + focused test artifacts</x:v>
      </x:c>
      <x:c r="N653" s="21" t="str">
        <x:v>git commit 647dd90efeea30c4c0f464692f2148623f8cd1a3; /Users/devups/Development/CodexProjects/Gccs/docs/development-story-test-cases.md</x:v>
      </x:c>
      <x:c r="O653" s="19" t="n">
        <x:v>46192.71896990741</x:v>
      </x:c>
      <x:c r="P653" s="21" t="str">
        <x:v>5 acceptance criteria; 5 TC references; implementation=yes; smoke=yes; automated=yes; Story-level regression template</x:v>
      </x:c>
      <x:c r="Q653" s="21" t="str"/>
      <x:c r="R653" s="21" t="str">
        <x:v>Retain traceability; rerun focused verification if the affected boundary changes.</x:v>
      </x:c>
      <x:c r="S653" s="18" t="str"/>
      <x:c r="T653" s="20"/>
      <x:c r="U653" s="21" t="str">
        <x:v>Completion is based on immutable repository evidence; tests were not rerun and current working-tree drift was not re-certified in this reporting-only task.</x:v>
      </x:c>
      <x:c r="V653" s="1"/>
    </x:row>
    <x:row r="654" ht="46" customHeight="1">
      <x:c r="A654" s="17" t="n">
        <x:v>650</x:v>
      </x:c>
      <x:c r="B654" s="17" t="str">
        <x:v>Phase 3</x:v>
      </x:c>
      <x:c r="C654" s="17" t="str">
        <x:v>30.3</x:v>
      </x:c>
      <x:c r="D654" s="21" t="str">
        <x:v>SPRS Readiness Report</x:v>
      </x:c>
      <x:c r="E654" s="17" t="n">
        <x:v>2</x:v>
      </x:c>
      <x:c r="F654" s="21" t="str">
        <x:v>Include draft-only and not-submitted language.</x:v>
      </x:c>
      <x:c r="G654" s="17" t="str">
        <x:v>Software implementation</x:v>
      </x:c>
      <x:c r="H654" s="17" t="str">
        <x:v>Planned</x:v>
      </x:c>
      <x:c r="I654" s="18" t="str">
        <x:v>Completed</x:v>
      </x:c>
      <x:c r="J654" s="17" t="str">
        <x:f>IF(OR(I654="Completed",I654="Not Applicable"),"No","Yes")</x:f>
        <x:v>No</x:v>
      </x:c>
      <x:c r="K654" s="17" t="str">
        <x:v>30.3 task 1</x:v>
      </x:c>
      <x:c r="L654" s="21" t="str">
        <x:v>Story-labeled commit 647dd90e contains delivery and focused test/test-result files: feat: implement story 30.3 sprs readiness report</x:v>
      </x:c>
      <x:c r="M654" s="17" t="str">
        <x:v>Implementation commit + focused test artifacts</x:v>
      </x:c>
      <x:c r="N654" s="21" t="str">
        <x:v>git commit 647dd90efeea30c4c0f464692f2148623f8cd1a3; /Users/devups/Development/CodexProjects/Gccs/docs/development-story-test-cases.md</x:v>
      </x:c>
      <x:c r="O654" s="19" t="n">
        <x:v>46192.71896990741</x:v>
      </x:c>
      <x:c r="P654" s="21" t="str">
        <x:v>5 acceptance criteria; 5 TC references; implementation=yes; smoke=yes; automated=yes; Story-level regression template</x:v>
      </x:c>
      <x:c r="Q654" s="21" t="str"/>
      <x:c r="R654" s="21" t="str">
        <x:v>Retain traceability; rerun focused verification if the affected boundary changes.</x:v>
      </x:c>
      <x:c r="S654" s="18" t="str"/>
      <x:c r="T654" s="20"/>
      <x:c r="U654" s="21" t="str">
        <x:v>Completion is based on immutable repository evidence; tests were not rerun and current working-tree drift was not re-certified in this reporting-only task.</x:v>
      </x:c>
      <x:c r="V654" s="1"/>
    </x:row>
    <x:row r="655" ht="46" customHeight="1">
      <x:c r="A655" s="17" t="n">
        <x:v>651</x:v>
      </x:c>
      <x:c r="B655" s="17" t="str">
        <x:v>Phase 3</x:v>
      </x:c>
      <x:c r="C655" s="17" t="str">
        <x:v>30.3</x:v>
      </x:c>
      <x:c r="D655" s="21" t="str">
        <x:v>SPRS Readiness Report</x:v>
      </x:c>
      <x:c r="E655" s="17" t="n">
        <x:v>3</x:v>
      </x:c>
      <x:c r="F655" s="21" t="str">
        <x:v>Add optional leadership review status.</x:v>
      </x:c>
      <x:c r="G655" s="17" t="str">
        <x:v>Software implementation</x:v>
      </x:c>
      <x:c r="H655" s="17" t="str">
        <x:v>Planned</x:v>
      </x:c>
      <x:c r="I655" s="18" t="str">
        <x:v>Completed</x:v>
      </x:c>
      <x:c r="J655" s="17" t="str">
        <x:f>IF(OR(I655="Completed",I655="Not Applicable"),"No","Yes")</x:f>
        <x:v>No</x:v>
      </x:c>
      <x:c r="K655" s="17" t="str">
        <x:v>30.3 task 2</x:v>
      </x:c>
      <x:c r="L655" s="21" t="str">
        <x:v>Story-labeled commit 647dd90e contains delivery and focused test/test-result files: feat: implement story 30.3 sprs readiness report</x:v>
      </x:c>
      <x:c r="M655" s="17" t="str">
        <x:v>Implementation commit + focused test artifacts</x:v>
      </x:c>
      <x:c r="N655" s="21" t="str">
        <x:v>git commit 647dd90efeea30c4c0f464692f2148623f8cd1a3; /Users/devups/Development/CodexProjects/Gccs/docs/development-story-test-cases.md</x:v>
      </x:c>
      <x:c r="O655" s="19" t="n">
        <x:v>46192.71896990741</x:v>
      </x:c>
      <x:c r="P655" s="21" t="str">
        <x:v>5 acceptance criteria; 5 TC references; implementation=yes; smoke=yes; automated=yes; Story-level regression template</x:v>
      </x:c>
      <x:c r="Q655" s="21" t="str"/>
      <x:c r="R655" s="21" t="str">
        <x:v>Retain traceability; rerun focused verification if the affected boundary changes.</x:v>
      </x:c>
      <x:c r="S655" s="18" t="str"/>
      <x:c r="T655" s="20"/>
      <x:c r="U655" s="21" t="str">
        <x:v>Completion is based on immutable repository evidence; tests were not rerun and current working-tree drift was not re-certified in this reporting-only task.</x:v>
      </x:c>
      <x:c r="V655" s="1"/>
    </x:row>
    <x:row r="656" ht="46" customHeight="1">
      <x:c r="A656" s="17" t="n">
        <x:v>652</x:v>
      </x:c>
      <x:c r="B656" s="17" t="str">
        <x:v>Phase 3</x:v>
      </x:c>
      <x:c r="C656" s="17" t="str">
        <x:v>30.3</x:v>
      </x:c>
      <x:c r="D656" s="21" t="str">
        <x:v>SPRS Readiness Report</x:v>
      </x:c>
      <x:c r="E656" s="17" t="n">
        <x:v>4</x:v>
      </x:c>
      <x:c r="F656" s="21" t="str">
        <x:v>Add export and report history.</x:v>
      </x:c>
      <x:c r="G656" s="17" t="str">
        <x:v>Software implementation</x:v>
      </x:c>
      <x:c r="H656" s="17" t="str">
        <x:v>Planned</x:v>
      </x:c>
      <x:c r="I656" s="18" t="str">
        <x:v>Completed</x:v>
      </x:c>
      <x:c r="J656" s="17" t="str">
        <x:f>IF(OR(I656="Completed",I656="Not Applicable"),"No","Yes")</x:f>
        <x:v>No</x:v>
      </x:c>
      <x:c r="K656" s="17" t="str">
        <x:v>30.3 task 3</x:v>
      </x:c>
      <x:c r="L656" s="21" t="str">
        <x:v>Story-labeled commit 647dd90e contains delivery and focused test/test-result files: feat: implement story 30.3 sprs readiness report</x:v>
      </x:c>
      <x:c r="M656" s="17" t="str">
        <x:v>Implementation commit + focused test artifacts</x:v>
      </x:c>
      <x:c r="N656" s="21" t="str">
        <x:v>git commit 647dd90efeea30c4c0f464692f2148623f8cd1a3; /Users/devups/Development/CodexProjects/Gccs/docs/development-story-test-cases.md</x:v>
      </x:c>
      <x:c r="O656" s="19" t="n">
        <x:v>46192.71896990741</x:v>
      </x:c>
      <x:c r="P656" s="21" t="str">
        <x:v>5 acceptance criteria; 5 TC references; implementation=yes; smoke=yes; automated=yes; Story-level regression template</x:v>
      </x:c>
      <x:c r="Q656" s="21" t="str"/>
      <x:c r="R656" s="21" t="str">
        <x:v>Retain traceability; rerun focused verification if the affected boundary changes.</x:v>
      </x:c>
      <x:c r="S656" s="18" t="str"/>
      <x:c r="T656" s="20"/>
      <x:c r="U656" s="21" t="str">
        <x:v>Completion is based on immutable repository evidence; tests were not rerun and current working-tree drift was not re-certified in this reporting-only task.</x:v>
      </x:c>
      <x:c r="V656" s="1"/>
    </x:row>
    <x:row r="657" ht="46" customHeight="1">
      <x:c r="A657" s="17" t="n">
        <x:v>653</x:v>
      </x:c>
      <x:c r="B657" s="17" t="str">
        <x:v>Phase 3</x:v>
      </x:c>
      <x:c r="C657" s="17" t="str">
        <x:v>30.3</x:v>
      </x:c>
      <x:c r="D657" s="21" t="str">
        <x:v>SPRS Readiness Report</x:v>
      </x:c>
      <x:c r="E657" s="17" t="n">
        <x:v>5</x:v>
      </x:c>
      <x:c r="F657" s="21" t="str">
        <x:v>Add permission checks for report generation and viewing.</x:v>
      </x:c>
      <x:c r="G657" s="17" t="str">
        <x:v>Software implementation</x:v>
      </x:c>
      <x:c r="H657" s="17" t="str">
        <x:v>Planned</x:v>
      </x:c>
      <x:c r="I657" s="18" t="str">
        <x:v>Completed</x:v>
      </x:c>
      <x:c r="J657" s="17" t="str">
        <x:f>IF(OR(I657="Completed",I657="Not Applicable"),"No","Yes")</x:f>
        <x:v>No</x:v>
      </x:c>
      <x:c r="K657" s="17" t="str">
        <x:v>30.3 task 4</x:v>
      </x:c>
      <x:c r="L657" s="21" t="str">
        <x:v>Story-labeled commit 647dd90e contains delivery and focused test/test-result files: feat: implement story 30.3 sprs readiness report</x:v>
      </x:c>
      <x:c r="M657" s="17" t="str">
        <x:v>Implementation commit + focused test artifacts</x:v>
      </x:c>
      <x:c r="N657" s="21" t="str">
        <x:v>git commit 647dd90efeea30c4c0f464692f2148623f8cd1a3; /Users/devups/Development/CodexProjects/Gccs/docs/development-story-test-cases.md</x:v>
      </x:c>
      <x:c r="O657" s="19" t="n">
        <x:v>46192.71896990741</x:v>
      </x:c>
      <x:c r="P657" s="21" t="str">
        <x:v>5 acceptance criteria; 5 TC references; implementation=yes; smoke=yes; automated=yes; Story-level regression template</x:v>
      </x:c>
      <x:c r="Q657" s="21" t="str"/>
      <x:c r="R657" s="21" t="str">
        <x:v>Retain traceability; rerun focused verification if the affected boundary changes.</x:v>
      </x:c>
      <x:c r="S657" s="18" t="str"/>
      <x:c r="T657" s="20"/>
      <x:c r="U657" s="21" t="str">
        <x:v>Completion is based on immutable repository evidence; tests were not rerun and current working-tree drift was not re-certified in this reporting-only task.</x:v>
      </x:c>
      <x:c r="V657" s="1"/>
    </x:row>
    <x:row r="658" ht="46" customHeight="1">
      <x:c r="A658" s="17" t="n">
        <x:v>654</x:v>
      </x:c>
      <x:c r="B658" s="17" t="str">
        <x:v>Phase 3</x:v>
      </x:c>
      <x:c r="C658" s="17" t="str">
        <x:v>31.1</x:v>
      </x:c>
      <x:c r="D658" s="21" t="str">
        <x:v>eSRS Applicability And Reporting Calendar</x:v>
      </x:c>
      <x:c r="E658" s="17" t="n">
        <x:v>1</x:v>
      </x:c>
      <x:c r="F658" s="21" t="str">
        <x:v>Add eSRS applicability fields for contract type, agency, subcontracting plan type, prime/lower-tier role, reporting period, report type, due date, and source clause.</x:v>
      </x:c>
      <x:c r="G658" s="17" t="str">
        <x:v>Software implementation</x:v>
      </x:c>
      <x:c r="H658" s="17" t="str">
        <x:v>Planned</x:v>
      </x:c>
      <x:c r="I658" s="18" t="str">
        <x:v>Completed</x:v>
      </x:c>
      <x:c r="J658" s="17" t="str">
        <x:f>IF(OR(I658="Completed",I658="Not Applicable"),"No","Yes")</x:f>
        <x:v>No</x:v>
      </x:c>
      <x:c r="K658" s="17" t="str">
        <x:v>30.3</x:v>
      </x:c>
      <x:c r="L658" s="21" t="str">
        <x:v>Story-labeled commit 3bafa680 contains delivery and focused test/test-result files: feat: implement story 31.1 esrs reporting calendar</x:v>
      </x:c>
      <x:c r="M658" s="17" t="str">
        <x:v>Implementation commit + focused test artifacts</x:v>
      </x:c>
      <x:c r="N658" s="21" t="str">
        <x:v>git commit 3bafa680135122b729967748110276b6ffc95a1f; /Users/devups/Development/CodexProjects/Gccs/docs/development-story-test-cases.md</x:v>
      </x:c>
      <x:c r="O658" s="19" t="n">
        <x:v>46192.722407407404</x:v>
      </x:c>
      <x:c r="P658" s="21" t="str">
        <x:v>5 acceptance criteria; 5 TC references; implementation=yes; smoke=yes; automated=yes; Story-level regression template</x:v>
      </x:c>
      <x:c r="Q658" s="21" t="str"/>
      <x:c r="R658" s="21" t="str">
        <x:v>Retain traceability; rerun focused verification if the affected boundary changes.</x:v>
      </x:c>
      <x:c r="S658" s="18" t="str"/>
      <x:c r="T658" s="20"/>
      <x:c r="U658" s="21" t="str">
        <x:v>Completion is based on immutable repository evidence; tests were not rerun and current working-tree drift was not re-certified in this reporting-only task.</x:v>
      </x:c>
      <x:c r="V658" s="1"/>
    </x:row>
    <x:row r="659" ht="46" customHeight="1">
      <x:c r="A659" s="17" t="n">
        <x:v>655</x:v>
      </x:c>
      <x:c r="B659" s="17" t="str">
        <x:v>Phase 3</x:v>
      </x:c>
      <x:c r="C659" s="17" t="str">
        <x:v>31.1</x:v>
      </x:c>
      <x:c r="D659" s="21" t="str">
        <x:v>eSRS Applicability And Reporting Calendar</x:v>
      </x:c>
      <x:c r="E659" s="17" t="n">
        <x:v>2</x:v>
      </x:c>
      <x:c r="F659" s="21" t="str">
        <x:v>Link eSRS obligations to contracts, subcontractors, tasks, and calendar items.</x:v>
      </x:c>
      <x:c r="G659" s="17" t="str">
        <x:v>Software implementation</x:v>
      </x:c>
      <x:c r="H659" s="17" t="str">
        <x:v>Planned</x:v>
      </x:c>
      <x:c r="I659" s="18" t="str">
        <x:v>Completed</x:v>
      </x:c>
      <x:c r="J659" s="17" t="str">
        <x:f>IF(OR(I659="Completed",I659="Not Applicable"),"No","Yes")</x:f>
        <x:v>No</x:v>
      </x:c>
      <x:c r="K659" s="17" t="str">
        <x:v>31.1 task 1</x:v>
      </x:c>
      <x:c r="L659" s="21" t="str">
        <x:v>Story-labeled commit 3bafa680 contains delivery and focused test/test-result files: feat: implement story 31.1 esrs reporting calendar</x:v>
      </x:c>
      <x:c r="M659" s="17" t="str">
        <x:v>Implementation commit + focused test artifacts</x:v>
      </x:c>
      <x:c r="N659" s="21" t="str">
        <x:v>git commit 3bafa680135122b729967748110276b6ffc95a1f; /Users/devups/Development/CodexProjects/Gccs/docs/development-story-test-cases.md</x:v>
      </x:c>
      <x:c r="O659" s="19" t="n">
        <x:v>46192.722407407404</x:v>
      </x:c>
      <x:c r="P659" s="21" t="str">
        <x:v>5 acceptance criteria; 5 TC references; implementation=yes; smoke=yes; automated=yes; Story-level regression template</x:v>
      </x:c>
      <x:c r="Q659" s="21" t="str"/>
      <x:c r="R659" s="21" t="str">
        <x:v>Retain traceability; rerun focused verification if the affected boundary changes.</x:v>
      </x:c>
      <x:c r="S659" s="18" t="str"/>
      <x:c r="T659" s="20"/>
      <x:c r="U659" s="21" t="str">
        <x:v>Completion is based on immutable repository evidence; tests were not rerun and current working-tree drift was not re-certified in this reporting-only task.</x:v>
      </x:c>
      <x:c r="V659" s="1"/>
    </x:row>
    <x:row r="660" ht="46" customHeight="1">
      <x:c r="A660" s="17" t="n">
        <x:v>656</x:v>
      </x:c>
      <x:c r="B660" s="17" t="str">
        <x:v>Phase 3</x:v>
      </x:c>
      <x:c r="C660" s="17" t="str">
        <x:v>31.1</x:v>
      </x:c>
      <x:c r="D660" s="21" t="str">
        <x:v>eSRS Applicability And Reporting Calendar</x:v>
      </x:c>
      <x:c r="E660" s="17" t="n">
        <x:v>3</x:v>
      </x:c>
      <x:c r="F660" s="21" t="str">
        <x:v>Add default reporting schedule templates for ISR and SSR tracking where applicable.</x:v>
      </x:c>
      <x:c r="G660" s="17" t="str">
        <x:v>Software implementation</x:v>
      </x:c>
      <x:c r="H660" s="17" t="str">
        <x:v>Planned</x:v>
      </x:c>
      <x:c r="I660" s="18" t="str">
        <x:v>Completed</x:v>
      </x:c>
      <x:c r="J660" s="17" t="str">
        <x:f>IF(OR(I660="Completed",I660="Not Applicable"),"No","Yes")</x:f>
        <x:v>No</x:v>
      </x:c>
      <x:c r="K660" s="17" t="str">
        <x:v>31.1 task 2</x:v>
      </x:c>
      <x:c r="L660" s="21" t="str">
        <x:v>Story-labeled commit 3bafa680 contains delivery and focused test/test-result files: feat: implement story 31.1 esrs reporting calendar</x:v>
      </x:c>
      <x:c r="M660" s="17" t="str">
        <x:v>Implementation commit + focused test artifacts</x:v>
      </x:c>
      <x:c r="N660" s="21" t="str">
        <x:v>git commit 3bafa680135122b729967748110276b6ffc95a1f; /Users/devups/Development/CodexProjects/Gccs/docs/development-story-test-cases.md</x:v>
      </x:c>
      <x:c r="O660" s="19" t="n">
        <x:v>46192.722407407404</x:v>
      </x:c>
      <x:c r="P660" s="21" t="str">
        <x:v>5 acceptance criteria; 5 TC references; implementation=yes; smoke=yes; automated=yes; Story-level regression template</x:v>
      </x:c>
      <x:c r="Q660" s="21" t="str"/>
      <x:c r="R660" s="21" t="str">
        <x:v>Retain traceability; rerun focused verification if the affected boundary changes.</x:v>
      </x:c>
      <x:c r="S660" s="18" t="str"/>
      <x:c r="T660" s="20"/>
      <x:c r="U660" s="21" t="str">
        <x:v>Completion is based on immutable repository evidence; tests were not rerun and current working-tree drift was not re-certified in this reporting-only task.</x:v>
      </x:c>
      <x:c r="V660" s="1"/>
    </x:row>
    <x:row r="661" ht="46" customHeight="1">
      <x:c r="A661" s="17" t="n">
        <x:v>657</x:v>
      </x:c>
      <x:c r="B661" s="17" t="str">
        <x:v>Phase 3</x:v>
      </x:c>
      <x:c r="C661" s="17" t="str">
        <x:v>31.1</x:v>
      </x:c>
      <x:c r="D661" s="21" t="str">
        <x:v>eSRS Applicability And Reporting Calendar</x:v>
      </x:c>
      <x:c r="E661" s="17" t="n">
        <x:v>4</x:v>
      </x:c>
      <x:c r="F661" s="21" t="str">
        <x:v>Add validation requiring source clause or documented rationale.</x:v>
      </x:c>
      <x:c r="G661" s="17" t="str">
        <x:v>Software implementation</x:v>
      </x:c>
      <x:c r="H661" s="17" t="str">
        <x:v>Planned</x:v>
      </x:c>
      <x:c r="I661" s="18" t="str">
        <x:v>Completed</x:v>
      </x:c>
      <x:c r="J661" s="17" t="str">
        <x:f>IF(OR(I661="Completed",I661="Not Applicable"),"No","Yes")</x:f>
        <x:v>No</x:v>
      </x:c>
      <x:c r="K661" s="17" t="str">
        <x:v>31.1 task 3</x:v>
      </x:c>
      <x:c r="L661" s="21" t="str">
        <x:v>Story-labeled commit 3bafa680 contains delivery and focused test/test-result files: feat: implement story 31.1 esrs reporting calendar</x:v>
      </x:c>
      <x:c r="M661" s="17" t="str">
        <x:v>Implementation commit + focused test artifacts</x:v>
      </x:c>
      <x:c r="N661" s="21" t="str">
        <x:v>git commit 3bafa680135122b729967748110276b6ffc95a1f; /Users/devups/Development/CodexProjects/Gccs/docs/development-story-test-cases.md</x:v>
      </x:c>
      <x:c r="O661" s="19" t="n">
        <x:v>46192.722407407404</x:v>
      </x:c>
      <x:c r="P661" s="21" t="str">
        <x:v>5 acceptance criteria; 5 TC references; implementation=yes; smoke=yes; automated=yes; Story-level regression template</x:v>
      </x:c>
      <x:c r="Q661" s="21" t="str"/>
      <x:c r="R661" s="21" t="str">
        <x:v>Retain traceability; rerun focused verification if the affected boundary changes.</x:v>
      </x:c>
      <x:c r="S661" s="18" t="str"/>
      <x:c r="T661" s="20"/>
      <x:c r="U661" s="21" t="str">
        <x:v>Completion is based on immutable repository evidence; tests were not rerun and current working-tree drift was not re-certified in this reporting-only task.</x:v>
      </x:c>
      <x:c r="V661" s="1"/>
    </x:row>
    <x:row r="662" ht="46" customHeight="1">
      <x:c r="A662" s="17" t="n">
        <x:v>658</x:v>
      </x:c>
      <x:c r="B662" s="17" t="str">
        <x:v>Phase 3</x:v>
      </x:c>
      <x:c r="C662" s="17" t="str">
        <x:v>31.1</x:v>
      </x:c>
      <x:c r="D662" s="21" t="str">
        <x:v>eSRS Applicability And Reporting Calendar</x:v>
      </x:c>
      <x:c r="E662" s="17" t="n">
        <x:v>5</x:v>
      </x:c>
      <x:c r="F662" s="21" t="str">
        <x:v>Add reminders and overdue status for eSRS report tasks.</x:v>
      </x:c>
      <x:c r="G662" s="17" t="str">
        <x:v>Software implementation</x:v>
      </x:c>
      <x:c r="H662" s="17" t="str">
        <x:v>Planned</x:v>
      </x:c>
      <x:c r="I662" s="18" t="str">
        <x:v>Completed</x:v>
      </x:c>
      <x:c r="J662" s="17" t="str">
        <x:f>IF(OR(I662="Completed",I662="Not Applicable"),"No","Yes")</x:f>
        <x:v>No</x:v>
      </x:c>
      <x:c r="K662" s="17" t="str">
        <x:v>31.1 task 4</x:v>
      </x:c>
      <x:c r="L662" s="21" t="str">
        <x:v>Story-labeled commit 3bafa680 contains delivery and focused test/test-result files: feat: implement story 31.1 esrs reporting calendar</x:v>
      </x:c>
      <x:c r="M662" s="17" t="str">
        <x:v>Implementation commit + focused test artifacts</x:v>
      </x:c>
      <x:c r="N662" s="21" t="str">
        <x:v>git commit 3bafa680135122b729967748110276b6ffc95a1f; /Users/devups/Development/CodexProjects/Gccs/docs/development-story-test-cases.md</x:v>
      </x:c>
      <x:c r="O662" s="19" t="n">
        <x:v>46192.722407407404</x:v>
      </x:c>
      <x:c r="P662" s="21" t="str">
        <x:v>5 acceptance criteria; 5 TC references; implementation=yes; smoke=yes; automated=yes; Story-level regression template</x:v>
      </x:c>
      <x:c r="Q662" s="21" t="str"/>
      <x:c r="R662" s="21" t="str">
        <x:v>Retain traceability; rerun focused verification if the affected boundary changes.</x:v>
      </x:c>
      <x:c r="S662" s="18" t="str"/>
      <x:c r="T662" s="20"/>
      <x:c r="U662" s="21" t="str">
        <x:v>Completion is based on immutable repository evidence; tests were not rerun and current working-tree drift was not re-certified in this reporting-only task.</x:v>
      </x:c>
      <x:c r="V662" s="1"/>
    </x:row>
    <x:row r="663" ht="46" customHeight="1">
      <x:c r="A663" s="17" t="n">
        <x:v>659</x:v>
      </x:c>
      <x:c r="B663" s="17" t="str">
        <x:v>Phase 3</x:v>
      </x:c>
      <x:c r="C663" s="17" t="str">
        <x:v>31.2</x:v>
      </x:c>
      <x:c r="D663" s="21" t="str">
        <x:v>Subcontracting Report Data Collection</x:v>
      </x:c>
      <x:c r="E663" s="17" t="n">
        <x:v>1</x:v>
      </x:c>
      <x:c r="F663" s="21" t="str">
        <x:v>Add report data fields for subcontractor, socioeconomic category, award/spend amount, period, contract, plan category, and supporting evidence.</x:v>
      </x:c>
      <x:c r="G663" s="17" t="str">
        <x:v>Software implementation</x:v>
      </x:c>
      <x:c r="H663" s="17" t="str">
        <x:v>Planned</x:v>
      </x:c>
      <x:c r="I663" s="18" t="str">
        <x:v>Completed</x:v>
      </x:c>
      <x:c r="J663" s="17" t="str">
        <x:f>IF(OR(I663="Completed",I663="Not Applicable"),"No","Yes")</x:f>
        <x:v>No</x:v>
      </x:c>
      <x:c r="K663" s="17" t="str">
        <x:v>31.1</x:v>
      </x:c>
      <x:c r="L663" s="21" t="str">
        <x:v>Story-labeled commit b28e9202 contains delivery and focused test/test-result files: feat: implement story 31.2 subcontracting report data</x:v>
      </x:c>
      <x:c r="M663" s="17" t="str">
        <x:v>Implementation commit + focused test artifacts</x:v>
      </x:c>
      <x:c r="N663" s="21" t="str">
        <x:v>git commit b28e92023f1bef6f27f8b5831b55878443a593ed; /Users/devups/Development/CodexProjects/Gccs/docs/development-story-test-cases.md</x:v>
      </x:c>
      <x:c r="O663" s="19" t="n">
        <x:v>46192.72525462963</x:v>
      </x:c>
      <x:c r="P663" s="21" t="str">
        <x:v>5 acceptance criteria; 5 TC references; implementation=yes; smoke=yes; automated=yes; Story-level regression template</x:v>
      </x:c>
      <x:c r="Q663" s="21" t="str"/>
      <x:c r="R663" s="21" t="str">
        <x:v>Retain traceability; rerun focused verification if the affected boundary changes.</x:v>
      </x:c>
      <x:c r="S663" s="18" t="str"/>
      <x:c r="T663" s="20"/>
      <x:c r="U663" s="21" t="str">
        <x:v>Completion is based on immutable repository evidence; tests were not rerun and current working-tree drift was not re-certified in this reporting-only task.</x:v>
      </x:c>
      <x:c r="V663" s="1"/>
    </x:row>
    <x:row r="664" ht="46" customHeight="1">
      <x:c r="A664" s="17" t="n">
        <x:v>660</x:v>
      </x:c>
      <x:c r="B664" s="17" t="str">
        <x:v>Phase 3</x:v>
      </x:c>
      <x:c r="C664" s="17" t="str">
        <x:v>31.2</x:v>
      </x:c>
      <x:c r="D664" s="21" t="str">
        <x:v>Subcontracting Report Data Collection</x:v>
      </x:c>
      <x:c r="E664" s="17" t="n">
        <x:v>2</x:v>
      </x:c>
      <x:c r="F664" s="21" t="str">
        <x:v>Link data rows to subcontractor profiles and evidence records.</x:v>
      </x:c>
      <x:c r="G664" s="17" t="str">
        <x:v>Software implementation</x:v>
      </x:c>
      <x:c r="H664" s="17" t="str">
        <x:v>Planned</x:v>
      </x:c>
      <x:c r="I664" s="18" t="str">
        <x:v>Completed</x:v>
      </x:c>
      <x:c r="J664" s="17" t="str">
        <x:f>IF(OR(I664="Completed",I664="Not Applicable"),"No","Yes")</x:f>
        <x:v>No</x:v>
      </x:c>
      <x:c r="K664" s="17" t="str">
        <x:v>31.2 task 1</x:v>
      </x:c>
      <x:c r="L664" s="21" t="str">
        <x:v>Story-labeled commit b28e9202 contains delivery and focused test/test-result files: feat: implement story 31.2 subcontracting report data</x:v>
      </x:c>
      <x:c r="M664" s="17" t="str">
        <x:v>Implementation commit + focused test artifacts</x:v>
      </x:c>
      <x:c r="N664" s="21" t="str">
        <x:v>git commit b28e92023f1bef6f27f8b5831b55878443a593ed; /Users/devups/Development/CodexProjects/Gccs/docs/development-story-test-cases.md</x:v>
      </x:c>
      <x:c r="O664" s="19" t="n">
        <x:v>46192.72525462963</x:v>
      </x:c>
      <x:c r="P664" s="21" t="str">
        <x:v>5 acceptance criteria; 5 TC references; implementation=yes; smoke=yes; automated=yes; Story-level regression template</x:v>
      </x:c>
      <x:c r="Q664" s="21" t="str"/>
      <x:c r="R664" s="21" t="str">
        <x:v>Retain traceability; rerun focused verification if the affected boundary changes.</x:v>
      </x:c>
      <x:c r="S664" s="18" t="str"/>
      <x:c r="T664" s="20"/>
      <x:c r="U664" s="21" t="str">
        <x:v>Completion is based on immutable repository evidence; tests were not rerun and current working-tree drift was not re-certified in this reporting-only task.</x:v>
      </x:c>
      <x:c r="V664" s="1"/>
    </x:row>
    <x:row r="665" ht="46" customHeight="1">
      <x:c r="A665" s="17" t="n">
        <x:v>661</x:v>
      </x:c>
      <x:c r="B665" s="17" t="str">
        <x:v>Phase 3</x:v>
      </x:c>
      <x:c r="C665" s="17" t="str">
        <x:v>31.2</x:v>
      </x:c>
      <x:c r="D665" s="21" t="str">
        <x:v>Subcontracting Report Data Collection</x:v>
      </x:c>
      <x:c r="E665" s="17" t="n">
        <x:v>3</x:v>
      </x:c>
      <x:c r="F665" s="21" t="str">
        <x:v>Add validation for missing subcontractor category, negative amounts, duplicate rows, and period mismatch.</x:v>
      </x:c>
      <x:c r="G665" s="17" t="str">
        <x:v>Software implementation</x:v>
      </x:c>
      <x:c r="H665" s="17" t="str">
        <x:v>Planned</x:v>
      </x:c>
      <x:c r="I665" s="18" t="str">
        <x:v>Completed</x:v>
      </x:c>
      <x:c r="J665" s="17" t="str">
        <x:f>IF(OR(I665="Completed",I665="Not Applicable"),"No","Yes")</x:f>
        <x:v>No</x:v>
      </x:c>
      <x:c r="K665" s="17" t="str">
        <x:v>31.2 task 2</x:v>
      </x:c>
      <x:c r="L665" s="21" t="str">
        <x:v>Story-labeled commit b28e9202 contains delivery and focused test/test-result files: feat: implement story 31.2 subcontracting report data</x:v>
      </x:c>
      <x:c r="M665" s="17" t="str">
        <x:v>Implementation commit + focused test artifacts</x:v>
      </x:c>
      <x:c r="N665" s="21" t="str">
        <x:v>git commit b28e92023f1bef6f27f8b5831b55878443a593ed; /Users/devups/Development/CodexProjects/Gccs/docs/development-story-test-cases.md</x:v>
      </x:c>
      <x:c r="O665" s="19" t="n">
        <x:v>46192.72525462963</x:v>
      </x:c>
      <x:c r="P665" s="21" t="str">
        <x:v>5 acceptance criteria; 5 TC references; implementation=yes; smoke=yes; automated=yes; Story-level regression template</x:v>
      </x:c>
      <x:c r="Q665" s="21" t="str"/>
      <x:c r="R665" s="21" t="str">
        <x:v>Retain traceability; rerun focused verification if the affected boundary changes.</x:v>
      </x:c>
      <x:c r="S665" s="18" t="str"/>
      <x:c r="T665" s="20"/>
      <x:c r="U665" s="21" t="str">
        <x:v>Completion is based on immutable repository evidence; tests were not rerun and current working-tree drift was not re-certified in this reporting-only task.</x:v>
      </x:c>
      <x:c r="V665" s="1"/>
    </x:row>
    <x:row r="666" ht="46" customHeight="1">
      <x:c r="A666" s="17" t="n">
        <x:v>662</x:v>
      </x:c>
      <x:c r="B666" s="17" t="str">
        <x:v>Phase 3</x:v>
      </x:c>
      <x:c r="C666" s="17" t="str">
        <x:v>31.2</x:v>
      </x:c>
      <x:c r="D666" s="21" t="str">
        <x:v>Subcontracting Report Data Collection</x:v>
      </x:c>
      <x:c r="E666" s="17" t="n">
        <x:v>4</x:v>
      </x:c>
      <x:c r="F666" s="21" t="str">
        <x:v>Add import template for manual data entry.</x:v>
      </x:c>
      <x:c r="G666" s="17" t="str">
        <x:v>Software implementation</x:v>
      </x:c>
      <x:c r="H666" s="17" t="str">
        <x:v>Planned</x:v>
      </x:c>
      <x:c r="I666" s="18" t="str">
        <x:v>Completed</x:v>
      </x:c>
      <x:c r="J666" s="17" t="str">
        <x:f>IF(OR(I666="Completed",I666="Not Applicable"),"No","Yes")</x:f>
        <x:v>No</x:v>
      </x:c>
      <x:c r="K666" s="17" t="str">
        <x:v>31.2 task 3</x:v>
      </x:c>
      <x:c r="L666" s="21" t="str">
        <x:v>Story-labeled commit b28e9202 contains delivery and focused test/test-result files: feat: implement story 31.2 subcontracting report data</x:v>
      </x:c>
      <x:c r="M666" s="17" t="str">
        <x:v>Implementation commit + focused test artifacts</x:v>
      </x:c>
      <x:c r="N666" s="21" t="str">
        <x:v>git commit b28e92023f1bef6f27f8b5831b55878443a593ed; /Users/devups/Development/CodexProjects/Gccs/docs/development-story-test-cases.md</x:v>
      </x:c>
      <x:c r="O666" s="19" t="n">
        <x:v>46192.72525462963</x:v>
      </x:c>
      <x:c r="P666" s="21" t="str">
        <x:v>5 acceptance criteria; 5 TC references; implementation=yes; smoke=yes; automated=yes; Story-level regression template</x:v>
      </x:c>
      <x:c r="Q666" s="21" t="str"/>
      <x:c r="R666" s="21" t="str">
        <x:v>Retain traceability; rerun focused verification if the affected boundary changes.</x:v>
      </x:c>
      <x:c r="S666" s="18" t="str"/>
      <x:c r="T666" s="20"/>
      <x:c r="U666" s="21" t="str">
        <x:v>Completion is based on immutable repository evidence; tests were not rerun and current working-tree drift was not re-certified in this reporting-only task.</x:v>
      </x:c>
      <x:c r="V666" s="1"/>
    </x:row>
    <x:row r="667" ht="46" customHeight="1">
      <x:c r="A667" s="17" t="n">
        <x:v>663</x:v>
      </x:c>
      <x:c r="B667" s="17" t="str">
        <x:v>Phase 3</x:v>
      </x:c>
      <x:c r="C667" s="17" t="str">
        <x:v>31.2</x:v>
      </x:c>
      <x:c r="D667" s="21" t="str">
        <x:v>Subcontracting Report Data Collection</x:v>
      </x:c>
      <x:c r="E667" s="17" t="n">
        <x:v>5</x:v>
      </x:c>
      <x:c r="F667" s="21" t="str">
        <x:v>Add review status for report data rows.</x:v>
      </x:c>
      <x:c r="G667" s="17" t="str">
        <x:v>Software implementation</x:v>
      </x:c>
      <x:c r="H667" s="17" t="str">
        <x:v>Planned</x:v>
      </x:c>
      <x:c r="I667" s="18" t="str">
        <x:v>Completed</x:v>
      </x:c>
      <x:c r="J667" s="17" t="str">
        <x:f>IF(OR(I667="Completed",I667="Not Applicable"),"No","Yes")</x:f>
        <x:v>No</x:v>
      </x:c>
      <x:c r="K667" s="17" t="str">
        <x:v>31.2 task 4</x:v>
      </x:c>
      <x:c r="L667" s="21" t="str">
        <x:v>Story-labeled commit b28e9202 contains delivery and focused test/test-result files: feat: implement story 31.2 subcontracting report data</x:v>
      </x:c>
      <x:c r="M667" s="17" t="str">
        <x:v>Implementation commit + focused test artifacts</x:v>
      </x:c>
      <x:c r="N667" s="21" t="str">
        <x:v>git commit b28e92023f1bef6f27f8b5831b55878443a593ed; /Users/devups/Development/CodexProjects/Gccs/docs/development-story-test-cases.md</x:v>
      </x:c>
      <x:c r="O667" s="19" t="n">
        <x:v>46192.72525462963</x:v>
      </x:c>
      <x:c r="P667" s="21" t="str">
        <x:v>5 acceptance criteria; 5 TC references; implementation=yes; smoke=yes; automated=yes; Story-level regression template</x:v>
      </x:c>
      <x:c r="Q667" s="21" t="str"/>
      <x:c r="R667" s="21" t="str">
        <x:v>Retain traceability; rerun focused verification if the affected boundary changes.</x:v>
      </x:c>
      <x:c r="S667" s="18" t="str"/>
      <x:c r="T667" s="20"/>
      <x:c r="U667" s="21" t="str">
        <x:v>Completion is based on immutable repository evidence; tests were not rerun and current working-tree drift was not re-certified in this reporting-only task.</x:v>
      </x:c>
      <x:c r="V667" s="1"/>
    </x:row>
    <x:row r="668" ht="46" customHeight="1">
      <x:c r="A668" s="17" t="n">
        <x:v>664</x:v>
      </x:c>
      <x:c r="B668" s="17" t="str">
        <x:v>Phase 3</x:v>
      </x:c>
      <x:c r="C668" s="17" t="str">
        <x:v>31.3</x:v>
      </x:c>
      <x:c r="D668" s="21" t="str">
        <x:v>eSRS Report Package</x:v>
      </x:c>
      <x:c r="E668" s="17" t="n">
        <x:v>1</x:v>
      </x:c>
      <x:c r="F668" s="21" t="str">
        <x:v>Add package generation for selected contract, period, and report type.</x:v>
      </x:c>
      <x:c r="G668" s="17" t="str">
        <x:v>Software implementation</x:v>
      </x:c>
      <x:c r="H668" s="17" t="str">
        <x:v>Planned</x:v>
      </x:c>
      <x:c r="I668" s="18" t="str">
        <x:v>Completed</x:v>
      </x:c>
      <x:c r="J668" s="17" t="str">
        <x:f>IF(OR(I668="Completed",I668="Not Applicable"),"No","Yes")</x:f>
        <x:v>No</x:v>
      </x:c>
      <x:c r="K668" s="17" t="str">
        <x:v>31.2</x:v>
      </x:c>
      <x:c r="L668" s="21" t="str">
        <x:v>Story-labeled commit 2b95634c contains delivery and focused test/test-result files: feat: implement story 31.3 esrs report package</x:v>
      </x:c>
      <x:c r="M668" s="17" t="str">
        <x:v>Implementation commit + focused test artifacts</x:v>
      </x:c>
      <x:c r="N668" s="21" t="str">
        <x:v>git commit 2b95634ca9a00c3caf6486258982d92645f3d5b7; /Users/devups/Development/CodexProjects/Gccs/docs/development-story-test-cases.md</x:v>
      </x:c>
      <x:c r="O668" s="19" t="n">
        <x:v>46192.72792824074</x:v>
      </x:c>
      <x:c r="P668" s="21" t="str">
        <x:v>5 acceptance criteria; 5 TC references; implementation=yes; smoke=yes; automated=yes; Story-level regression template</x:v>
      </x:c>
      <x:c r="Q668" s="21" t="str"/>
      <x:c r="R668" s="21" t="str">
        <x:v>Retain traceability; rerun focused verification if the affected boundary changes.</x:v>
      </x:c>
      <x:c r="S668" s="18" t="str"/>
      <x:c r="T668" s="20"/>
      <x:c r="U668" s="21" t="str">
        <x:v>Completion is based on immutable repository evidence; tests were not rerun and current working-tree drift was not re-certified in this reporting-only task.</x:v>
      </x:c>
      <x:c r="V668" s="1"/>
    </x:row>
    <x:row r="669" ht="46" customHeight="1">
      <x:c r="A669" s="17" t="n">
        <x:v>665</x:v>
      </x:c>
      <x:c r="B669" s="17" t="str">
        <x:v>Phase 3</x:v>
      </x:c>
      <x:c r="C669" s="17" t="str">
        <x:v>31.3</x:v>
      </x:c>
      <x:c r="D669" s="21" t="str">
        <x:v>eSRS Report Package</x:v>
      </x:c>
      <x:c r="E669" s="17" t="n">
        <x:v>2</x:v>
      </x:c>
      <x:c r="F669" s="21" t="str">
        <x:v>Include reporting metadata, subcontractor/spend summaries, exceptions, evidence references, review notes, and generated date.</x:v>
      </x:c>
      <x:c r="G669" s="17" t="str">
        <x:v>Software implementation</x:v>
      </x:c>
      <x:c r="H669" s="17" t="str">
        <x:v>Planned</x:v>
      </x:c>
      <x:c r="I669" s="18" t="str">
        <x:v>Completed</x:v>
      </x:c>
      <x:c r="J669" s="17" t="str">
        <x:f>IF(OR(I669="Completed",I669="Not Applicable"),"No","Yes")</x:f>
        <x:v>No</x:v>
      </x:c>
      <x:c r="K669" s="17" t="str">
        <x:v>31.3 task 1</x:v>
      </x:c>
      <x:c r="L669" s="21" t="str">
        <x:v>Story-labeled commit 2b95634c contains delivery and focused test/test-result files: feat: implement story 31.3 esrs report package</x:v>
      </x:c>
      <x:c r="M669" s="17" t="str">
        <x:v>Implementation commit + focused test artifacts</x:v>
      </x:c>
      <x:c r="N669" s="21" t="str">
        <x:v>git commit 2b95634ca9a00c3caf6486258982d92645f3d5b7; /Users/devups/Development/CodexProjects/Gccs/docs/development-story-test-cases.md</x:v>
      </x:c>
      <x:c r="O669" s="19" t="n">
        <x:v>46192.72792824074</x:v>
      </x:c>
      <x:c r="P669" s="21" t="str">
        <x:v>5 acceptance criteria; 5 TC references; implementation=yes; smoke=yes; automated=yes; Story-level regression template</x:v>
      </x:c>
      <x:c r="Q669" s="21" t="str"/>
      <x:c r="R669" s="21" t="str">
        <x:v>Retain traceability; rerun focused verification if the affected boundary changes.</x:v>
      </x:c>
      <x:c r="S669" s="18" t="str"/>
      <x:c r="T669" s="20"/>
      <x:c r="U669" s="21" t="str">
        <x:v>Completion is based on immutable repository evidence; tests were not rerun and current working-tree drift was not re-certified in this reporting-only task.</x:v>
      </x:c>
      <x:c r="V669" s="1"/>
    </x:row>
    <x:row r="670" ht="46" customHeight="1">
      <x:c r="A670" s="17" t="n">
        <x:v>666</x:v>
      </x:c>
      <x:c r="B670" s="17" t="str">
        <x:v>Phase 3</x:v>
      </x:c>
      <x:c r="C670" s="17" t="str">
        <x:v>31.3</x:v>
      </x:c>
      <x:c r="D670" s="21" t="str">
        <x:v>eSRS Report Package</x:v>
      </x:c>
      <x:c r="E670" s="17" t="n">
        <x:v>3</x:v>
      </x:c>
      <x:c r="F670" s="21" t="str">
        <x:v>Mark package as preparation-only and not submitted by GCCS.</x:v>
      </x:c>
      <x:c r="G670" s="17" t="str">
        <x:v>Software implementation</x:v>
      </x:c>
      <x:c r="H670" s="17" t="str">
        <x:v>Planned</x:v>
      </x:c>
      <x:c r="I670" s="18" t="str">
        <x:v>Completed</x:v>
      </x:c>
      <x:c r="J670" s="17" t="str">
        <x:f>IF(OR(I670="Completed",I670="Not Applicable"),"No","Yes")</x:f>
        <x:v>No</x:v>
      </x:c>
      <x:c r="K670" s="17" t="str">
        <x:v>31.3 task 2</x:v>
      </x:c>
      <x:c r="L670" s="21" t="str">
        <x:v>Story-labeled commit 2b95634c contains delivery and focused test/test-result files: feat: implement story 31.3 esrs report package</x:v>
      </x:c>
      <x:c r="M670" s="17" t="str">
        <x:v>Implementation commit + focused test artifacts</x:v>
      </x:c>
      <x:c r="N670" s="21" t="str">
        <x:v>git commit 2b95634ca9a00c3caf6486258982d92645f3d5b7; /Users/devups/Development/CodexProjects/Gccs/docs/development-story-test-cases.md</x:v>
      </x:c>
      <x:c r="O670" s="19" t="n">
        <x:v>46192.72792824074</x:v>
      </x:c>
      <x:c r="P670" s="21" t="str">
        <x:v>5 acceptance criteria; 5 TC references; implementation=yes; smoke=yes; automated=yes; Story-level regression template</x:v>
      </x:c>
      <x:c r="Q670" s="21" t="str"/>
      <x:c r="R670" s="21" t="str">
        <x:v>Retain traceability; rerun focused verification if the affected boundary changes.</x:v>
      </x:c>
      <x:c r="S670" s="18" t="str"/>
      <x:c r="T670" s="20"/>
      <x:c r="U670" s="21" t="str">
        <x:v>Completion is based on immutable repository evidence; tests were not rerun and current working-tree drift was not re-certified in this reporting-only task.</x:v>
      </x:c>
      <x:c r="V670" s="1"/>
    </x:row>
    <x:row r="671" ht="46" customHeight="1">
      <x:c r="A671" s="17" t="n">
        <x:v>667</x:v>
      </x:c>
      <x:c r="B671" s="17" t="str">
        <x:v>Phase 3</x:v>
      </x:c>
      <x:c r="C671" s="17" t="str">
        <x:v>31.3</x:v>
      </x:c>
      <x:c r="D671" s="21" t="str">
        <x:v>eSRS Report Package</x:v>
      </x:c>
      <x:c r="E671" s="17" t="n">
        <x:v>4</x:v>
      </x:c>
      <x:c r="F671" s="21" t="str">
        <x:v>Add review workflow for draft, in_review, approved, superseded, and archived packages.</x:v>
      </x:c>
      <x:c r="G671" s="17" t="str">
        <x:v>Software implementation</x:v>
      </x:c>
      <x:c r="H671" s="17" t="str">
        <x:v>Planned</x:v>
      </x:c>
      <x:c r="I671" s="18" t="str">
        <x:v>Completed</x:v>
      </x:c>
      <x:c r="J671" s="17" t="str">
        <x:f>IF(OR(I671="Completed",I671="Not Applicable"),"No","Yes")</x:f>
        <x:v>No</x:v>
      </x:c>
      <x:c r="K671" s="17" t="str">
        <x:v>31.3 task 3</x:v>
      </x:c>
      <x:c r="L671" s="21" t="str">
        <x:v>Story-labeled commit 2b95634c contains delivery and focused test/test-result files: feat: implement story 31.3 esrs report package</x:v>
      </x:c>
      <x:c r="M671" s="17" t="str">
        <x:v>Implementation commit + focused test artifacts</x:v>
      </x:c>
      <x:c r="N671" s="21" t="str">
        <x:v>git commit 2b95634ca9a00c3caf6486258982d92645f3d5b7; /Users/devups/Development/CodexProjects/Gccs/docs/development-story-test-cases.md</x:v>
      </x:c>
      <x:c r="O671" s="19" t="n">
        <x:v>46192.72792824074</x:v>
      </x:c>
      <x:c r="P671" s="21" t="str">
        <x:v>5 acceptance criteria; 5 TC references; implementation=yes; smoke=yes; automated=yes; Story-level regression template</x:v>
      </x:c>
      <x:c r="Q671" s="21" t="str"/>
      <x:c r="R671" s="21" t="str">
        <x:v>Retain traceability; rerun focused verification if the affected boundary changes.</x:v>
      </x:c>
      <x:c r="S671" s="18" t="str"/>
      <x:c r="T671" s="20"/>
      <x:c r="U671" s="21" t="str">
        <x:v>Completion is based on immutable repository evidence; tests were not rerun and current working-tree drift was not re-certified in this reporting-only task.</x:v>
      </x:c>
      <x:c r="V671" s="1"/>
    </x:row>
    <x:row r="672" ht="46" customHeight="1">
      <x:c r="A672" s="17" t="n">
        <x:v>668</x:v>
      </x:c>
      <x:c r="B672" s="17" t="str">
        <x:v>Phase 3</x:v>
      </x:c>
      <x:c r="C672" s="17" t="str">
        <x:v>31.3</x:v>
      </x:c>
      <x:c r="D672" s="21" t="str">
        <x:v>eSRS Report Package</x:v>
      </x:c>
      <x:c r="E672" s="17" t="n">
        <x:v>5</x:v>
      </x:c>
      <x:c r="F672" s="21" t="str">
        <x:v>Add export history and permission checks.</x:v>
      </x:c>
      <x:c r="G672" s="17" t="str">
        <x:v>Software implementation</x:v>
      </x:c>
      <x:c r="H672" s="17" t="str">
        <x:v>Planned</x:v>
      </x:c>
      <x:c r="I672" s="18" t="str">
        <x:v>Completed</x:v>
      </x:c>
      <x:c r="J672" s="17" t="str">
        <x:f>IF(OR(I672="Completed",I672="Not Applicable"),"No","Yes")</x:f>
        <x:v>No</x:v>
      </x:c>
      <x:c r="K672" s="17" t="str">
        <x:v>31.3 task 4</x:v>
      </x:c>
      <x:c r="L672" s="21" t="str">
        <x:v>Story-labeled commit 2b95634c contains delivery and focused test/test-result files: feat: implement story 31.3 esrs report package</x:v>
      </x:c>
      <x:c r="M672" s="17" t="str">
        <x:v>Implementation commit + focused test artifacts</x:v>
      </x:c>
      <x:c r="N672" s="21" t="str">
        <x:v>git commit 2b95634ca9a00c3caf6486258982d92645f3d5b7; /Users/devups/Development/CodexProjects/Gccs/docs/development-story-test-cases.md</x:v>
      </x:c>
      <x:c r="O672" s="19" t="n">
        <x:v>46192.72792824074</x:v>
      </x:c>
      <x:c r="P672" s="21" t="str">
        <x:v>5 acceptance criteria; 5 TC references; implementation=yes; smoke=yes; automated=yes; Story-level regression template</x:v>
      </x:c>
      <x:c r="Q672" s="21" t="str"/>
      <x:c r="R672" s="21" t="str">
        <x:v>Retain traceability; rerun focused verification if the affected boundary changes.</x:v>
      </x:c>
      <x:c r="S672" s="18" t="str"/>
      <x:c r="T672" s="20"/>
      <x:c r="U672" s="21" t="str">
        <x:v>Completion is based on immutable repository evidence; tests were not rerun and current working-tree drift was not re-certified in this reporting-only task.</x:v>
      </x:c>
      <x:c r="V672" s="1"/>
    </x:row>
    <x:row r="673" ht="46" customHeight="1">
      <x:c r="A673" s="17" t="n">
        <x:v>669</x:v>
      </x:c>
      <x:c r="B673" s="17" t="str">
        <x:v>Phase 3</x:v>
      </x:c>
      <x:c r="C673" s="17" t="str">
        <x:v>32.1</x:v>
      </x:c>
      <x:c r="D673" s="21" t="str">
        <x:v>Labor Applicability And Wage Determinations</x:v>
      </x:c>
      <x:c r="E673" s="17" t="n">
        <x:v>1</x:v>
      </x:c>
      <x:c r="F673" s="21" t="str">
        <x:v>Add labor applicability fields for SCA, DBA, other FAR Part 22 obligations, place of performance, contract period, source clause, and wage determination reference.</x:v>
      </x:c>
      <x:c r="G673" s="17" t="str">
        <x:v>Software implementation</x:v>
      </x:c>
      <x:c r="H673" s="17" t="str">
        <x:v>Planned</x:v>
      </x:c>
      <x:c r="I673" s="18" t="str">
        <x:v>Completed</x:v>
      </x:c>
      <x:c r="J673" s="17" t="str">
        <x:f>IF(OR(I673="Completed",I673="Not Applicable"),"No","Yes")</x:f>
        <x:v>No</x:v>
      </x:c>
      <x:c r="K673" s="17" t="str">
        <x:v>31.3</x:v>
      </x:c>
      <x:c r="L673" s="21" t="str">
        <x:v>Story-labeled commit b071d6c4 contains delivery and focused test/test-result files: feat: implement story 32.1 labor applicability</x:v>
      </x:c>
      <x:c r="M673" s="17" t="str">
        <x:v>Implementation commit + focused test artifacts</x:v>
      </x:c>
      <x:c r="N673" s="21" t="str">
        <x:v>git commit b071d6c46ea51897a023456f8f8d7b053a4bd1f3; /Users/devups/Development/CodexProjects/Gccs/docs/development-story-test-cases.md</x:v>
      </x:c>
      <x:c r="O673" s="19" t="n">
        <x:v>46192.73092592593</x:v>
      </x:c>
      <x:c r="P673" s="21" t="str">
        <x:v>5 acceptance criteria; 5 TC references; implementation=yes; smoke=yes; automated=yes; Story-level regression template</x:v>
      </x:c>
      <x:c r="Q673" s="21" t="str"/>
      <x:c r="R673" s="21" t="str">
        <x:v>Retain traceability; rerun focused verification if the affected boundary changes.</x:v>
      </x:c>
      <x:c r="S673" s="18" t="str"/>
      <x:c r="T673" s="20"/>
      <x:c r="U673" s="21" t="str">
        <x:v>Completion is based on immutable repository evidence; tests were not rerun and current working-tree drift was not re-certified in this reporting-only task.</x:v>
      </x:c>
      <x:c r="V673" s="1"/>
    </x:row>
    <x:row r="674" ht="46" customHeight="1">
      <x:c r="A674" s="17" t="n">
        <x:v>670</x:v>
      </x:c>
      <x:c r="B674" s="17" t="str">
        <x:v>Phase 3</x:v>
      </x:c>
      <x:c r="C674" s="17" t="str">
        <x:v>32.1</x:v>
      </x:c>
      <x:c r="D674" s="21" t="str">
        <x:v>Labor Applicability And Wage Determinations</x:v>
      </x:c>
      <x:c r="E674" s="17" t="n">
        <x:v>2</x:v>
      </x:c>
      <x:c r="F674" s="21" t="str">
        <x:v>Attach wage determination documents subject to tenant data-handling guardrails.</x:v>
      </x:c>
      <x:c r="G674" s="17" t="str">
        <x:v>Software implementation</x:v>
      </x:c>
      <x:c r="H674" s="17" t="str">
        <x:v>Planned</x:v>
      </x:c>
      <x:c r="I674" s="18" t="str">
        <x:v>Completed</x:v>
      </x:c>
      <x:c r="J674" s="17" t="str">
        <x:f>IF(OR(I674="Completed",I674="Not Applicable"),"No","Yes")</x:f>
        <x:v>No</x:v>
      </x:c>
      <x:c r="K674" s="17" t="str">
        <x:v>32.1 task 1</x:v>
      </x:c>
      <x:c r="L674" s="21" t="str">
        <x:v>Story-labeled commit b071d6c4 contains delivery and focused test/test-result files: feat: implement story 32.1 labor applicability</x:v>
      </x:c>
      <x:c r="M674" s="17" t="str">
        <x:v>Implementation commit + focused test artifacts</x:v>
      </x:c>
      <x:c r="N674" s="21" t="str">
        <x:v>git commit b071d6c46ea51897a023456f8f8d7b053a4bd1f3; /Users/devups/Development/CodexProjects/Gccs/docs/development-story-test-cases.md</x:v>
      </x:c>
      <x:c r="O674" s="19" t="n">
        <x:v>46192.73092592593</x:v>
      </x:c>
      <x:c r="P674" s="21" t="str">
        <x:v>5 acceptance criteria; 5 TC references; implementation=yes; smoke=yes; automated=yes; Story-level regression template</x:v>
      </x:c>
      <x:c r="Q674" s="21" t="str"/>
      <x:c r="R674" s="21" t="str">
        <x:v>Retain traceability; rerun focused verification if the affected boundary changes.</x:v>
      </x:c>
      <x:c r="S674" s="18" t="str"/>
      <x:c r="T674" s="20"/>
      <x:c r="U674" s="21" t="str">
        <x:v>Completion is based on immutable repository evidence; tests were not rerun and current working-tree drift was not re-certified in this reporting-only task.</x:v>
      </x:c>
      <x:c r="V674" s="1"/>
    </x:row>
    <x:row r="675" ht="46" customHeight="1">
      <x:c r="A675" s="17" t="n">
        <x:v>671</x:v>
      </x:c>
      <x:c r="B675" s="17" t="str">
        <x:v>Phase 3</x:v>
      </x:c>
      <x:c r="C675" s="17" t="str">
        <x:v>32.1</x:v>
      </x:c>
      <x:c r="D675" s="21" t="str">
        <x:v>Labor Applicability And Wage Determinations</x:v>
      </x:c>
      <x:c r="E675" s="17" t="n">
        <x:v>3</x:v>
      </x:c>
      <x:c r="F675" s="21" t="str">
        <x:v>Link labor obligations to contracts, clauses, tasks, employees, labor categories, and evidence.</x:v>
      </x:c>
      <x:c r="G675" s="17" t="str">
        <x:v>Software implementation</x:v>
      </x:c>
      <x:c r="H675" s="17" t="str">
        <x:v>Planned</x:v>
      </x:c>
      <x:c r="I675" s="18" t="str">
        <x:v>Completed</x:v>
      </x:c>
      <x:c r="J675" s="17" t="str">
        <x:f>IF(OR(I675="Completed",I675="Not Applicable"),"No","Yes")</x:f>
        <x:v>No</x:v>
      </x:c>
      <x:c r="K675" s="17" t="str">
        <x:v>32.1 task 2</x:v>
      </x:c>
      <x:c r="L675" s="21" t="str">
        <x:v>Story-labeled commit b071d6c4 contains delivery and focused test/test-result files: feat: implement story 32.1 labor applicability</x:v>
      </x:c>
      <x:c r="M675" s="17" t="str">
        <x:v>Implementation commit + focused test artifacts</x:v>
      </x:c>
      <x:c r="N675" s="21" t="str">
        <x:v>git commit b071d6c46ea51897a023456f8f8d7b053a4bd1f3; /Users/devups/Development/CodexProjects/Gccs/docs/development-story-test-cases.md</x:v>
      </x:c>
      <x:c r="O675" s="19" t="n">
        <x:v>46192.73092592593</x:v>
      </x:c>
      <x:c r="P675" s="21" t="str">
        <x:v>5 acceptance criteria; 5 TC references; implementation=yes; smoke=yes; automated=yes; Story-level regression template</x:v>
      </x:c>
      <x:c r="Q675" s="21" t="str"/>
      <x:c r="R675" s="21" t="str">
        <x:v>Retain traceability; rerun focused verification if the affected boundary changes.</x:v>
      </x:c>
      <x:c r="S675" s="18" t="str"/>
      <x:c r="T675" s="20"/>
      <x:c r="U675" s="21" t="str">
        <x:v>Completion is based on immutable repository evidence; tests were not rerun and current working-tree drift was not re-certified in this reporting-only task.</x:v>
      </x:c>
      <x:c r="V675" s="1"/>
    </x:row>
    <x:row r="676" ht="46" customHeight="1">
      <x:c r="A676" s="17" t="n">
        <x:v>672</x:v>
      </x:c>
      <x:c r="B676" s="17" t="str">
        <x:v>Phase 3</x:v>
      </x:c>
      <x:c r="C676" s="17" t="str">
        <x:v>32.1</x:v>
      </x:c>
      <x:c r="D676" s="21" t="str">
        <x:v>Labor Applicability And Wage Determinations</x:v>
      </x:c>
      <x:c r="E676" s="17" t="n">
        <x:v>4</x:v>
      </x:c>
      <x:c r="F676" s="21" t="str">
        <x:v>Add review status for labor applicability decisions.</x:v>
      </x:c>
      <x:c r="G676" s="17" t="str">
        <x:v>Software implementation</x:v>
      </x:c>
      <x:c r="H676" s="17" t="str">
        <x:v>Planned</x:v>
      </x:c>
      <x:c r="I676" s="18" t="str">
        <x:v>Completed</x:v>
      </x:c>
      <x:c r="J676" s="17" t="str">
        <x:f>IF(OR(I676="Completed",I676="Not Applicable"),"No","Yes")</x:f>
        <x:v>No</x:v>
      </x:c>
      <x:c r="K676" s="17" t="str">
        <x:v>32.1 task 3</x:v>
      </x:c>
      <x:c r="L676" s="21" t="str">
        <x:v>Story-labeled commit b071d6c4 contains delivery and focused test/test-result files: feat: implement story 32.1 labor applicability</x:v>
      </x:c>
      <x:c r="M676" s="17" t="str">
        <x:v>Implementation commit + focused test artifacts</x:v>
      </x:c>
      <x:c r="N676" s="21" t="str">
        <x:v>git commit b071d6c46ea51897a023456f8f8d7b053a4bd1f3; /Users/devups/Development/CodexProjects/Gccs/docs/development-story-test-cases.md</x:v>
      </x:c>
      <x:c r="O676" s="19" t="n">
        <x:v>46192.73092592593</x:v>
      </x:c>
      <x:c r="P676" s="21" t="str">
        <x:v>5 acceptance criteria; 5 TC references; implementation=yes; smoke=yes; automated=yes; Story-level regression template</x:v>
      </x:c>
      <x:c r="Q676" s="21" t="str"/>
      <x:c r="R676" s="21" t="str">
        <x:v>Retain traceability; rerun focused verification if the affected boundary changes.</x:v>
      </x:c>
      <x:c r="S676" s="18" t="str"/>
      <x:c r="T676" s="20"/>
      <x:c r="U676" s="21" t="str">
        <x:v>Completion is based on immutable repository evidence; tests were not rerun and current working-tree drift was not re-certified in this reporting-only task.</x:v>
      </x:c>
      <x:c r="V676" s="1"/>
    </x:row>
    <x:row r="677" ht="46" customHeight="1">
      <x:c r="A677" s="17" t="n">
        <x:v>673</x:v>
      </x:c>
      <x:c r="B677" s="17" t="str">
        <x:v>Phase 3</x:v>
      </x:c>
      <x:c r="C677" s="17" t="str">
        <x:v>32.1</x:v>
      </x:c>
      <x:c r="D677" s="21" t="str">
        <x:v>Labor Applicability And Wage Determinations</x:v>
      </x:c>
      <x:c r="E677" s="17" t="n">
        <x:v>5</x:v>
      </x:c>
      <x:c r="F677" s="21" t="str">
        <x:v>Generate labor review tasks for applicable contracts.</x:v>
      </x:c>
      <x:c r="G677" s="17" t="str">
        <x:v>Software implementation</x:v>
      </x:c>
      <x:c r="H677" s="17" t="str">
        <x:v>Planned</x:v>
      </x:c>
      <x:c r="I677" s="18" t="str">
        <x:v>Completed</x:v>
      </x:c>
      <x:c r="J677" s="17" t="str">
        <x:f>IF(OR(I677="Completed",I677="Not Applicable"),"No","Yes")</x:f>
        <x:v>No</x:v>
      </x:c>
      <x:c r="K677" s="17" t="str">
        <x:v>32.1 task 4</x:v>
      </x:c>
      <x:c r="L677" s="21" t="str">
        <x:v>Story-labeled commit b071d6c4 contains delivery and focused test/test-result files: feat: implement story 32.1 labor applicability</x:v>
      </x:c>
      <x:c r="M677" s="17" t="str">
        <x:v>Implementation commit + focused test artifacts</x:v>
      </x:c>
      <x:c r="N677" s="21" t="str">
        <x:v>git commit b071d6c46ea51897a023456f8f8d7b053a4bd1f3; /Users/devups/Development/CodexProjects/Gccs/docs/development-story-test-cases.md</x:v>
      </x:c>
      <x:c r="O677" s="19" t="n">
        <x:v>46192.73092592593</x:v>
      </x:c>
      <x:c r="P677" s="21" t="str">
        <x:v>5 acceptance criteria; 5 TC references; implementation=yes; smoke=yes; automated=yes; Story-level regression template</x:v>
      </x:c>
      <x:c r="Q677" s="21" t="str"/>
      <x:c r="R677" s="21" t="str">
        <x:v>Retain traceability; rerun focused verification if the affected boundary changes.</x:v>
      </x:c>
      <x:c r="S677" s="18" t="str"/>
      <x:c r="T677" s="20"/>
      <x:c r="U677" s="21" t="str">
        <x:v>Completion is based on immutable repository evidence; tests were not rerun and current working-tree drift was not re-certified in this reporting-only task.</x:v>
      </x:c>
      <x:c r="V677" s="1"/>
    </x:row>
    <x:row r="678" ht="46" customHeight="1">
      <x:c r="A678" s="17" t="n">
        <x:v>674</x:v>
      </x:c>
      <x:c r="B678" s="17" t="str">
        <x:v>Phase 3</x:v>
      </x:c>
      <x:c r="C678" s="17" t="str">
        <x:v>32.2</x:v>
      </x:c>
      <x:c r="D678" s="21" t="str">
        <x:v>Labor Category And Employee Classification</x:v>
      </x:c>
      <x:c r="E678" s="17" t="n">
        <x:v>1</x:v>
      </x:c>
      <x:c r="F678" s="21" t="str">
        <x:v>Add labor category records with title, contract, wage determination classification, rate, fringe information, effective dates, and source reference.</x:v>
      </x:c>
      <x:c r="G678" s="17" t="str">
        <x:v>Software implementation</x:v>
      </x:c>
      <x:c r="H678" s="17" t="str">
        <x:v>Planned</x:v>
      </x:c>
      <x:c r="I678" s="18" t="str">
        <x:v>Completed</x:v>
      </x:c>
      <x:c r="J678" s="17" t="str">
        <x:f>IF(OR(I678="Completed",I678="Not Applicable"),"No","Yes")</x:f>
        <x:v>No</x:v>
      </x:c>
      <x:c r="K678" s="17" t="str">
        <x:v>32.1</x:v>
      </x:c>
      <x:c r="L678" s="21" t="str">
        <x:v>Story-labeled commit b0539a3f contains delivery and focused test/test-result files: feat: implement story 32.2 labor classifications</x:v>
      </x:c>
      <x:c r="M678" s="17" t="str">
        <x:v>Implementation commit + focused test artifacts</x:v>
      </x:c>
      <x:c r="N678" s="21" t="str">
        <x:v>git commit b0539a3f2012813cba0aebf27a84bdde78759090; /Users/devups/Development/CodexProjects/Gccs/docs/development-story-test-cases.md</x:v>
      </x:c>
      <x:c r="O678" s="19" t="n">
        <x:v>46192.73384259259</x:v>
      </x:c>
      <x:c r="P678" s="21" t="str">
        <x:v>5 acceptance criteria; 5 TC references; implementation=yes; smoke=yes; automated=yes; Story-level regression template</x:v>
      </x:c>
      <x:c r="Q678" s="21" t="str"/>
      <x:c r="R678" s="21" t="str">
        <x:v>Retain traceability; rerun focused verification if the affected boundary changes.</x:v>
      </x:c>
      <x:c r="S678" s="18" t="str"/>
      <x:c r="T678" s="20"/>
      <x:c r="U678" s="21" t="str">
        <x:v>Completion is based on immutable repository evidence; tests were not rerun and current working-tree drift was not re-certified in this reporting-only task.</x:v>
      </x:c>
      <x:c r="V678" s="1"/>
    </x:row>
    <x:row r="679" ht="46" customHeight="1">
      <x:c r="A679" s="17" t="n">
        <x:v>675</x:v>
      </x:c>
      <x:c r="B679" s="17" t="str">
        <x:v>Phase 3</x:v>
      </x:c>
      <x:c r="C679" s="17" t="str">
        <x:v>32.2</x:v>
      </x:c>
      <x:c r="D679" s="21" t="str">
        <x:v>Labor Category And Employee Classification</x:v>
      </x:c>
      <x:c r="E679" s="17" t="n">
        <x:v>2</x:v>
      </x:c>
      <x:c r="F679" s="21" t="str">
        <x:v>Add employee assignment records with employee, labor category, contract, work location, start date, end date, status, and evidence links.</x:v>
      </x:c>
      <x:c r="G679" s="17" t="str">
        <x:v>Software implementation</x:v>
      </x:c>
      <x:c r="H679" s="17" t="str">
        <x:v>Planned</x:v>
      </x:c>
      <x:c r="I679" s="18" t="str">
        <x:v>Completed</x:v>
      </x:c>
      <x:c r="J679" s="17" t="str">
        <x:f>IF(OR(I679="Completed",I679="Not Applicable"),"No","Yes")</x:f>
        <x:v>No</x:v>
      </x:c>
      <x:c r="K679" s="17" t="str">
        <x:v>32.2 task 1</x:v>
      </x:c>
      <x:c r="L679" s="21" t="str">
        <x:v>Story-labeled commit b0539a3f contains delivery and focused test/test-result files: feat: implement story 32.2 labor classifications</x:v>
      </x:c>
      <x:c r="M679" s="17" t="str">
        <x:v>Implementation commit + focused test artifacts</x:v>
      </x:c>
      <x:c r="N679" s="21" t="str">
        <x:v>git commit b0539a3f2012813cba0aebf27a84bdde78759090; /Users/devups/Development/CodexProjects/Gccs/docs/development-story-test-cases.md</x:v>
      </x:c>
      <x:c r="O679" s="19" t="n">
        <x:v>46192.73384259259</x:v>
      </x:c>
      <x:c r="P679" s="21" t="str">
        <x:v>5 acceptance criteria; 5 TC references; implementation=yes; smoke=yes; automated=yes; Story-level regression template</x:v>
      </x:c>
      <x:c r="Q679" s="21" t="str"/>
      <x:c r="R679" s="21" t="str">
        <x:v>Retain traceability; rerun focused verification if the affected boundary changes.</x:v>
      </x:c>
      <x:c r="S679" s="18" t="str"/>
      <x:c r="T679" s="20"/>
      <x:c r="U679" s="21" t="str">
        <x:v>Completion is based on immutable repository evidence; tests were not rerun and current working-tree drift was not re-certified in this reporting-only task.</x:v>
      </x:c>
      <x:c r="V679" s="1"/>
    </x:row>
    <x:row r="680" ht="46" customHeight="1">
      <x:c r="A680" s="17" t="n">
        <x:v>676</x:v>
      </x:c>
      <x:c r="B680" s="17" t="str">
        <x:v>Phase 3</x:v>
      </x:c>
      <x:c r="C680" s="17" t="str">
        <x:v>32.2</x:v>
      </x:c>
      <x:c r="D680" s="21" t="str">
        <x:v>Labor Category And Employee Classification</x:v>
      </x:c>
      <x:c r="E680" s="17" t="n">
        <x:v>3</x:v>
      </x:c>
      <x:c r="F680" s="21" t="str">
        <x:v>Add validation for effective date conflicts, missing source references, and inactive categories.</x:v>
      </x:c>
      <x:c r="G680" s="17" t="str">
        <x:v>Software implementation</x:v>
      </x:c>
      <x:c r="H680" s="17" t="str">
        <x:v>Planned</x:v>
      </x:c>
      <x:c r="I680" s="18" t="str">
        <x:v>Completed</x:v>
      </x:c>
      <x:c r="J680" s="17" t="str">
        <x:f>IF(OR(I680="Completed",I680="Not Applicable"),"No","Yes")</x:f>
        <x:v>No</x:v>
      </x:c>
      <x:c r="K680" s="17" t="str">
        <x:v>32.2 task 2</x:v>
      </x:c>
      <x:c r="L680" s="21" t="str">
        <x:v>Story-labeled commit b0539a3f contains delivery and focused test/test-result files: feat: implement story 32.2 labor classifications</x:v>
      </x:c>
      <x:c r="M680" s="17" t="str">
        <x:v>Implementation commit + focused test artifacts</x:v>
      </x:c>
      <x:c r="N680" s="21" t="str">
        <x:v>git commit b0539a3f2012813cba0aebf27a84bdde78759090; /Users/devups/Development/CodexProjects/Gccs/docs/development-story-test-cases.md</x:v>
      </x:c>
      <x:c r="O680" s="19" t="n">
        <x:v>46192.73384259259</x:v>
      </x:c>
      <x:c r="P680" s="21" t="str">
        <x:v>5 acceptance criteria; 5 TC references; implementation=yes; smoke=yes; automated=yes; Story-level regression template</x:v>
      </x:c>
      <x:c r="Q680" s="21" t="str"/>
      <x:c r="R680" s="21" t="str">
        <x:v>Retain traceability; rerun focused verification if the affected boundary changes.</x:v>
      </x:c>
      <x:c r="S680" s="18" t="str"/>
      <x:c r="T680" s="20"/>
      <x:c r="U680" s="21" t="str">
        <x:v>Completion is based on immutable repository evidence; tests were not rerun and current working-tree drift was not re-certified in this reporting-only task.</x:v>
      </x:c>
      <x:c r="V680" s="1"/>
    </x:row>
    <x:row r="681" ht="46" customHeight="1">
      <x:c r="A681" s="17" t="n">
        <x:v>677</x:v>
      </x:c>
      <x:c r="B681" s="17" t="str">
        <x:v>Phase 3</x:v>
      </x:c>
      <x:c r="C681" s="17" t="str">
        <x:v>32.2</x:v>
      </x:c>
      <x:c r="D681" s="21" t="str">
        <x:v>Labor Category And Employee Classification</x:v>
      </x:c>
      <x:c r="E681" s="17" t="n">
        <x:v>4</x:v>
      </x:c>
      <x:c r="F681" s="21" t="str">
        <x:v>Add restricted access controls for sensitive employee data.</x:v>
      </x:c>
      <x:c r="G681" s="17" t="str">
        <x:v>Software implementation</x:v>
      </x:c>
      <x:c r="H681" s="17" t="str">
        <x:v>Planned</x:v>
      </x:c>
      <x:c r="I681" s="18" t="str">
        <x:v>Completed</x:v>
      </x:c>
      <x:c r="J681" s="17" t="str">
        <x:f>IF(OR(I681="Completed",I681="Not Applicable"),"No","Yes")</x:f>
        <x:v>No</x:v>
      </x:c>
      <x:c r="K681" s="17" t="str">
        <x:v>32.2 task 3</x:v>
      </x:c>
      <x:c r="L681" s="21" t="str">
        <x:v>Story-labeled commit b0539a3f contains delivery and focused test/test-result files: feat: implement story 32.2 labor classifications</x:v>
      </x:c>
      <x:c r="M681" s="17" t="str">
        <x:v>Implementation commit + focused test artifacts</x:v>
      </x:c>
      <x:c r="N681" s="21" t="str">
        <x:v>git commit b0539a3f2012813cba0aebf27a84bdde78759090; /Users/devups/Development/CodexProjects/Gccs/docs/development-story-test-cases.md</x:v>
      </x:c>
      <x:c r="O681" s="19" t="n">
        <x:v>46192.73384259259</x:v>
      </x:c>
      <x:c r="P681" s="21" t="str">
        <x:v>5 acceptance criteria; 5 TC references; implementation=yes; smoke=yes; automated=yes; Story-level regression template</x:v>
      </x:c>
      <x:c r="Q681" s="21" t="str"/>
      <x:c r="R681" s="21" t="str">
        <x:v>Retain traceability; rerun focused verification if the affected boundary changes.</x:v>
      </x:c>
      <x:c r="S681" s="18" t="str"/>
      <x:c r="T681" s="20"/>
      <x:c r="U681" s="21" t="str">
        <x:v>Completion is based on immutable repository evidence; tests were not rerun and current working-tree drift was not re-certified in this reporting-only task.</x:v>
      </x:c>
      <x:c r="V681" s="1"/>
    </x:row>
    <x:row r="682" ht="46" customHeight="1">
      <x:c r="A682" s="17" t="n">
        <x:v>678</x:v>
      </x:c>
      <x:c r="B682" s="17" t="str">
        <x:v>Phase 3</x:v>
      </x:c>
      <x:c r="C682" s="17" t="str">
        <x:v>32.2</x:v>
      </x:c>
      <x:c r="D682" s="21" t="str">
        <x:v>Labor Category And Employee Classification</x:v>
      </x:c>
      <x:c r="E682" s="17" t="n">
        <x:v>5</x:v>
      </x:c>
      <x:c r="F682" s="21" t="str">
        <x:v>Add history for classification changes.</x:v>
      </x:c>
      <x:c r="G682" s="17" t="str">
        <x:v>Software implementation</x:v>
      </x:c>
      <x:c r="H682" s="17" t="str">
        <x:v>Planned</x:v>
      </x:c>
      <x:c r="I682" s="18" t="str">
        <x:v>Completed</x:v>
      </x:c>
      <x:c r="J682" s="17" t="str">
        <x:f>IF(OR(I682="Completed",I682="Not Applicable"),"No","Yes")</x:f>
        <x:v>No</x:v>
      </x:c>
      <x:c r="K682" s="17" t="str">
        <x:v>32.2 task 4</x:v>
      </x:c>
      <x:c r="L682" s="21" t="str">
        <x:v>Story-labeled commit b0539a3f contains delivery and focused test/test-result files: feat: implement story 32.2 labor classifications</x:v>
      </x:c>
      <x:c r="M682" s="17" t="str">
        <x:v>Implementation commit + focused test artifacts</x:v>
      </x:c>
      <x:c r="N682" s="21" t="str">
        <x:v>git commit b0539a3f2012813cba0aebf27a84bdde78759090; /Users/devups/Development/CodexProjects/Gccs/docs/development-story-test-cases.md</x:v>
      </x:c>
      <x:c r="O682" s="19" t="n">
        <x:v>46192.73384259259</x:v>
      </x:c>
      <x:c r="P682" s="21" t="str">
        <x:v>5 acceptance criteria; 5 TC references; implementation=yes; smoke=yes; automated=yes; Story-level regression template</x:v>
      </x:c>
      <x:c r="Q682" s="21" t="str"/>
      <x:c r="R682" s="21" t="str">
        <x:v>Retain traceability; rerun focused verification if the affected boundary changes.</x:v>
      </x:c>
      <x:c r="S682" s="18" t="str"/>
      <x:c r="T682" s="20"/>
      <x:c r="U682" s="21" t="str">
        <x:v>Completion is based on immutable repository evidence; tests were not rerun and current working-tree drift was not re-certified in this reporting-only task.</x:v>
      </x:c>
      <x:c r="V682" s="1"/>
    </x:row>
    <x:row r="683" ht="46" customHeight="1">
      <x:c r="A683" s="17" t="n">
        <x:v>679</x:v>
      </x:c>
      <x:c r="B683" s="17" t="str">
        <x:v>Phase 3</x:v>
      </x:c>
      <x:c r="C683" s="17" t="str">
        <x:v>32.3</x:v>
      </x:c>
      <x:c r="D683" s="21" t="str">
        <x:v>Labor Evidence And Compliance Report</x:v>
      </x:c>
      <x:c r="E683" s="17" t="n">
        <x:v>1</x:v>
      </x:c>
      <x:c r="F683" s="21" t="str">
        <x:v>Add evidence links for wage determination, payroll support, fringe documentation, classification review, training, and corrective actions.</x:v>
      </x:c>
      <x:c r="G683" s="17" t="str">
        <x:v>Software implementation</x:v>
      </x:c>
      <x:c r="H683" s="17" t="str">
        <x:v>Planned</x:v>
      </x:c>
      <x:c r="I683" s="18" t="str">
        <x:v>Completed</x:v>
      </x:c>
      <x:c r="J683" s="17" t="str">
        <x:f>IF(OR(I683="Completed",I683="Not Applicable"),"No","Yes")</x:f>
        <x:v>No</x:v>
      </x:c>
      <x:c r="K683" s="17" t="str">
        <x:v>32.2</x:v>
      </x:c>
      <x:c r="L683" s="21" t="str">
        <x:v>Story-labeled commit 9e267f43 contains delivery and focused test/test-result files: feat: implement story 32.3 labor compliance report</x:v>
      </x:c>
      <x:c r="M683" s="17" t="str">
        <x:v>Implementation commit + focused test artifacts</x:v>
      </x:c>
      <x:c r="N683" s="21" t="str">
        <x:v>git commit 9e267f43b8ef138dfd2b0cb3b2cbaf7ff1a9a88e; /Users/devups/Development/CodexProjects/Gccs/docs/development-story-test-cases.md</x:v>
      </x:c>
      <x:c r="O683" s="19" t="n">
        <x:v>46192.73650462963</x:v>
      </x:c>
      <x:c r="P683" s="21" t="str">
        <x:v>5 acceptance criteria; 5 TC references; implementation=yes; smoke=yes; automated=yes; Story-level regression template</x:v>
      </x:c>
      <x:c r="Q683" s="21" t="str"/>
      <x:c r="R683" s="21" t="str">
        <x:v>Retain traceability; rerun focused verification if the affected boundary changes.</x:v>
      </x:c>
      <x:c r="S683" s="18" t="str"/>
      <x:c r="T683" s="20"/>
      <x:c r="U683" s="21" t="str">
        <x:v>Completion is based on immutable repository evidence; tests were not rerun and current working-tree drift was not re-certified in this reporting-only task.</x:v>
      </x:c>
      <x:c r="V683" s="1"/>
    </x:row>
    <x:row r="684" ht="46" customHeight="1">
      <x:c r="A684" s="17" t="n">
        <x:v>680</x:v>
      </x:c>
      <x:c r="B684" s="17" t="str">
        <x:v>Phase 3</x:v>
      </x:c>
      <x:c r="C684" s="17" t="str">
        <x:v>32.3</x:v>
      </x:c>
      <x:c r="D684" s="21" t="str">
        <x:v>Labor Evidence And Compliance Report</x:v>
      </x:c>
      <x:c r="E684" s="17" t="n">
        <x:v>2</x:v>
      </x:c>
      <x:c r="F684" s="21" t="str">
        <x:v>Add labor dashboard filters for contract, employee, labor category, location, status, due date, and missing evidence.</x:v>
      </x:c>
      <x:c r="G684" s="17" t="str">
        <x:v>Software implementation</x:v>
      </x:c>
      <x:c r="H684" s="17" t="str">
        <x:v>Planned</x:v>
      </x:c>
      <x:c r="I684" s="18" t="str">
        <x:v>Completed</x:v>
      </x:c>
      <x:c r="J684" s="17" t="str">
        <x:f>IF(OR(I684="Completed",I684="Not Applicable"),"No","Yes")</x:f>
        <x:v>No</x:v>
      </x:c>
      <x:c r="K684" s="17" t="str">
        <x:v>32.3 task 1</x:v>
      </x:c>
      <x:c r="L684" s="21" t="str">
        <x:v>Story-labeled commit 9e267f43 contains delivery and focused test/test-result files: feat: implement story 32.3 labor compliance report</x:v>
      </x:c>
      <x:c r="M684" s="17" t="str">
        <x:v>Implementation commit + focused test artifacts</x:v>
      </x:c>
      <x:c r="N684" s="21" t="str">
        <x:v>git commit 9e267f43b8ef138dfd2b0cb3b2cbaf7ff1a9a88e; /Users/devups/Development/CodexProjects/Gccs/docs/development-story-test-cases.md</x:v>
      </x:c>
      <x:c r="O684" s="19" t="n">
        <x:v>46192.73650462963</x:v>
      </x:c>
      <x:c r="P684" s="21" t="str">
        <x:v>5 acceptance criteria; 5 TC references; implementation=yes; smoke=yes; automated=yes; Story-level regression template</x:v>
      </x:c>
      <x:c r="Q684" s="21" t="str"/>
      <x:c r="R684" s="21" t="str">
        <x:v>Retain traceability; rerun focused verification if the affected boundary changes.</x:v>
      </x:c>
      <x:c r="S684" s="18" t="str"/>
      <x:c r="T684" s="20"/>
      <x:c r="U684" s="21" t="str">
        <x:v>Completion is based on immutable repository evidence; tests were not rerun and current working-tree drift was not re-certified in this reporting-only task.</x:v>
      </x:c>
      <x:c r="V684" s="1"/>
    </x:row>
    <x:row r="685" ht="46" customHeight="1">
      <x:c r="A685" s="17" t="n">
        <x:v>681</x:v>
      </x:c>
      <x:c r="B685" s="17" t="str">
        <x:v>Phase 3</x:v>
      </x:c>
      <x:c r="C685" s="17" t="str">
        <x:v>32.3</x:v>
      </x:c>
      <x:c r="D685" s="21" t="str">
        <x:v>Labor Evidence And Compliance Report</x:v>
      </x:c>
      <x:c r="E685" s="17" t="n">
        <x:v>3</x:v>
      </x:c>
      <x:c r="F685" s="21" t="str">
        <x:v>Generate labor compliance report with source clauses, wage determinations, assignments, gaps, evidence references, reviewer notes, and disclaimers.</x:v>
      </x:c>
      <x:c r="G685" s="17" t="str">
        <x:v>Software implementation</x:v>
      </x:c>
      <x:c r="H685" s="17" t="str">
        <x:v>Planned</x:v>
      </x:c>
      <x:c r="I685" s="18" t="str">
        <x:v>Completed</x:v>
      </x:c>
      <x:c r="J685" s="17" t="str">
        <x:f>IF(OR(I685="Completed",I685="Not Applicable"),"No","Yes")</x:f>
        <x:v>No</x:v>
      </x:c>
      <x:c r="K685" s="17" t="str">
        <x:v>32.3 task 2</x:v>
      </x:c>
      <x:c r="L685" s="21" t="str">
        <x:v>Story-labeled commit 9e267f43 contains delivery and focused test/test-result files: feat: implement story 32.3 labor compliance report</x:v>
      </x:c>
      <x:c r="M685" s="17" t="str">
        <x:v>Implementation commit + focused test artifacts</x:v>
      </x:c>
      <x:c r="N685" s="21" t="str">
        <x:v>git commit 9e267f43b8ef138dfd2b0cb3b2cbaf7ff1a9a88e; /Users/devups/Development/CodexProjects/Gccs/docs/development-story-test-cases.md</x:v>
      </x:c>
      <x:c r="O685" s="19" t="n">
        <x:v>46192.73650462963</x:v>
      </x:c>
      <x:c r="P685" s="21" t="str">
        <x:v>5 acceptance criteria; 5 TC references; implementation=yes; smoke=yes; automated=yes; Story-level regression template</x:v>
      </x:c>
      <x:c r="Q685" s="21" t="str"/>
      <x:c r="R685" s="21" t="str">
        <x:v>Retain traceability; rerun focused verification if the affected boundary changes.</x:v>
      </x:c>
      <x:c r="S685" s="18" t="str"/>
      <x:c r="T685" s="20"/>
      <x:c r="U685" s="21" t="str">
        <x:v>Completion is based on immutable repository evidence; tests were not rerun and current working-tree drift was not re-certified in this reporting-only task.</x:v>
      </x:c>
      <x:c r="V685" s="1"/>
    </x:row>
    <x:row r="686" ht="46" customHeight="1">
      <x:c r="A686" s="17" t="n">
        <x:v>682</x:v>
      </x:c>
      <x:c r="B686" s="17" t="str">
        <x:v>Phase 3</x:v>
      </x:c>
      <x:c r="C686" s="17" t="str">
        <x:v>32.3</x:v>
      </x:c>
      <x:c r="D686" s="21" t="str">
        <x:v>Labor Evidence And Compliance Report</x:v>
      </x:c>
      <x:c r="E686" s="17" t="n">
        <x:v>4</x:v>
      </x:c>
      <x:c r="F686" s="21" t="str">
        <x:v>Add permission checks for report generation and employee-sensitive sections.</x:v>
      </x:c>
      <x:c r="G686" s="17" t="str">
        <x:v>Software implementation</x:v>
      </x:c>
      <x:c r="H686" s="17" t="str">
        <x:v>Planned</x:v>
      </x:c>
      <x:c r="I686" s="18" t="str">
        <x:v>Completed</x:v>
      </x:c>
      <x:c r="J686" s="17" t="str">
        <x:f>IF(OR(I686="Completed",I686="Not Applicable"),"No","Yes")</x:f>
        <x:v>No</x:v>
      </x:c>
      <x:c r="K686" s="17" t="str">
        <x:v>32.3 task 3</x:v>
      </x:c>
      <x:c r="L686" s="21" t="str">
        <x:v>Story-labeled commit 9e267f43 contains delivery and focused test/test-result files: feat: implement story 32.3 labor compliance report</x:v>
      </x:c>
      <x:c r="M686" s="17" t="str">
        <x:v>Implementation commit + focused test artifacts</x:v>
      </x:c>
      <x:c r="N686" s="21" t="str">
        <x:v>git commit 9e267f43b8ef138dfd2b0cb3b2cbaf7ff1a9a88e; /Users/devups/Development/CodexProjects/Gccs/docs/development-story-test-cases.md</x:v>
      </x:c>
      <x:c r="O686" s="19" t="n">
        <x:v>46192.73650462963</x:v>
      </x:c>
      <x:c r="P686" s="21" t="str">
        <x:v>5 acceptance criteria; 5 TC references; implementation=yes; smoke=yes; automated=yes; Story-level regression template</x:v>
      </x:c>
      <x:c r="Q686" s="21" t="str"/>
      <x:c r="R686" s="21" t="str">
        <x:v>Retain traceability; rerun focused verification if the affected boundary changes.</x:v>
      </x:c>
      <x:c r="S686" s="18" t="str"/>
      <x:c r="T686" s="20"/>
      <x:c r="U686" s="21" t="str">
        <x:v>Completion is based on immutable repository evidence; tests were not rerun and current working-tree drift was not re-certified in this reporting-only task.</x:v>
      </x:c>
      <x:c r="V686" s="1"/>
    </x:row>
    <x:row r="687" ht="46" customHeight="1">
      <x:c r="A687" s="17" t="n">
        <x:v>683</x:v>
      </x:c>
      <x:c r="B687" s="17" t="str">
        <x:v>Phase 3</x:v>
      </x:c>
      <x:c r="C687" s="17" t="str">
        <x:v>32.3</x:v>
      </x:c>
      <x:c r="D687" s="21" t="str">
        <x:v>Labor Evidence And Compliance Report</x:v>
      </x:c>
      <x:c r="E687" s="17" t="n">
        <x:v>5</x:v>
      </x:c>
      <x:c r="F687" s="21" t="str">
        <x:v>Add report history and export.</x:v>
      </x:c>
      <x:c r="G687" s="17" t="str">
        <x:v>Software implementation</x:v>
      </x:c>
      <x:c r="H687" s="17" t="str">
        <x:v>Planned</x:v>
      </x:c>
      <x:c r="I687" s="18" t="str">
        <x:v>Completed</x:v>
      </x:c>
      <x:c r="J687" s="17" t="str">
        <x:f>IF(OR(I687="Completed",I687="Not Applicable"),"No","Yes")</x:f>
        <x:v>No</x:v>
      </x:c>
      <x:c r="K687" s="17" t="str">
        <x:v>32.3 task 4</x:v>
      </x:c>
      <x:c r="L687" s="21" t="str">
        <x:v>Story-labeled commit 9e267f43 contains delivery and focused test/test-result files: feat: implement story 32.3 labor compliance report</x:v>
      </x:c>
      <x:c r="M687" s="17" t="str">
        <x:v>Implementation commit + focused test artifacts</x:v>
      </x:c>
      <x:c r="N687" s="21" t="str">
        <x:v>git commit 9e267f43b8ef138dfd2b0cb3b2cbaf7ff1a9a88e; /Users/devups/Development/CodexProjects/Gccs/docs/development-story-test-cases.md</x:v>
      </x:c>
      <x:c r="O687" s="19" t="n">
        <x:v>46192.73650462963</x:v>
      </x:c>
      <x:c r="P687" s="21" t="str">
        <x:v>5 acceptance criteria; 5 TC references; implementation=yes; smoke=yes; automated=yes; Story-level regression template</x:v>
      </x:c>
      <x:c r="Q687" s="21" t="str"/>
      <x:c r="R687" s="21" t="str">
        <x:v>Retain traceability; rerun focused verification if the affected boundary changes.</x:v>
      </x:c>
      <x:c r="S687" s="18" t="str"/>
      <x:c r="T687" s="20"/>
      <x:c r="U687" s="21" t="str">
        <x:v>Completion is based on immutable repository evidence; tests were not rerun and current working-tree drift was not re-certified in this reporting-only task.</x:v>
      </x:c>
      <x:c r="V687" s="1"/>
    </x:row>
    <x:row r="688" ht="46" customHeight="1">
      <x:c r="A688" s="17" t="n">
        <x:v>684</x:v>
      </x:c>
      <x:c r="B688" s="17" t="str">
        <x:v>Phase 3</x:v>
      </x:c>
      <x:c r="C688" s="17" t="str">
        <x:v>33.1</x:v>
      </x:c>
      <x:c r="D688" s="21" t="str">
        <x:v>Retrieval And Source Citation Pipeline</x:v>
      </x:c>
      <x:c r="E688" s="17" t="n">
        <x:v>1</x:v>
      </x:c>
      <x:c r="F688" s="21" t="str">
        <x:v>Define approved retrieval sources for published obligation library content, approved tenant documents, approved reports, and explicitly allowed evidence metadata.</x:v>
      </x:c>
      <x:c r="G688" s="17" t="str">
        <x:v>Software implementation</x:v>
      </x:c>
      <x:c r="H688" s="17" t="str">
        <x:v>Planned</x:v>
      </x:c>
      <x:c r="I688" s="18" t="str">
        <x:v>Completed</x:v>
      </x:c>
      <x:c r="J688" s="17" t="str">
        <x:f>IF(OR(I688="Completed",I688="Not Applicable"),"No","Yes")</x:f>
        <x:v>No</x:v>
      </x:c>
      <x:c r="K688" s="17" t="str">
        <x:v>32.3</x:v>
      </x:c>
      <x:c r="L688" s="21" t="str">
        <x:v>Story-labeled commit 24c23e7b contains delivery and focused test/test-result files: feat: implement story 33.1 ai retrieval citations</x:v>
      </x:c>
      <x:c r="M688" s="17" t="str">
        <x:v>Implementation commit + focused test artifacts</x:v>
      </x:c>
      <x:c r="N688" s="21" t="str">
        <x:v>git commit 24c23e7b0828e970ec32c150c5d239bcc81354e1; /Users/devups/Development/CodexProjects/Gccs/docs/development-story-test-cases.md</x:v>
      </x:c>
      <x:c r="O688" s="19" t="n">
        <x:v>46192.73878472222</x:v>
      </x:c>
      <x:c r="P688" s="21" t="str">
        <x:v>5 acceptance criteria; 5 TC references; implementation=yes; smoke=yes; automated=yes; Story-level regression template</x:v>
      </x:c>
      <x:c r="Q688" s="21" t="str"/>
      <x:c r="R688" s="21" t="str">
        <x:v>Retain traceability; rerun focused verification if the affected boundary changes.</x:v>
      </x:c>
      <x:c r="S688" s="18" t="str"/>
      <x:c r="T688" s="20"/>
      <x:c r="U688" s="21" t="str">
        <x:v>Completion is based on immutable repository evidence; tests were not rerun and current working-tree drift was not re-certified in this reporting-only task.</x:v>
      </x:c>
      <x:c r="V688" s="1"/>
    </x:row>
    <x:row r="689" ht="46" customHeight="1">
      <x:c r="A689" s="17" t="n">
        <x:v>685</x:v>
      </x:c>
      <x:c r="B689" s="17" t="str">
        <x:v>Phase 3</x:v>
      </x:c>
      <x:c r="C689" s="17" t="str">
        <x:v>33.1</x:v>
      </x:c>
      <x:c r="D689" s="21" t="str">
        <x:v>Retrieval And Source Citation Pipeline</x:v>
      </x:c>
      <x:c r="E689" s="17" t="n">
        <x:v>2</x:v>
      </x:c>
      <x:c r="F689" s="21" t="str">
        <x:v>Enforce tenant scope, RBAC, classification, and data-handling guardrails before retrieval.</x:v>
      </x:c>
      <x:c r="G689" s="17" t="str">
        <x:v>Software implementation</x:v>
      </x:c>
      <x:c r="H689" s="17" t="str">
        <x:v>Planned</x:v>
      </x:c>
      <x:c r="I689" s="18" t="str">
        <x:v>Completed</x:v>
      </x:c>
      <x:c r="J689" s="17" t="str">
        <x:f>IF(OR(I689="Completed",I689="Not Applicable"),"No","Yes")</x:f>
        <x:v>No</x:v>
      </x:c>
      <x:c r="K689" s="17" t="str">
        <x:v>33.1 task 1</x:v>
      </x:c>
      <x:c r="L689" s="21" t="str">
        <x:v>Story-labeled commit 24c23e7b contains delivery and focused test/test-result files: feat: implement story 33.1 ai retrieval citations</x:v>
      </x:c>
      <x:c r="M689" s="17" t="str">
        <x:v>Implementation commit + focused test artifacts</x:v>
      </x:c>
      <x:c r="N689" s="21" t="str">
        <x:v>git commit 24c23e7b0828e970ec32c150c5d239bcc81354e1; /Users/devups/Development/CodexProjects/Gccs/docs/development-story-test-cases.md</x:v>
      </x:c>
      <x:c r="O689" s="19" t="n">
        <x:v>46192.73878472222</x:v>
      </x:c>
      <x:c r="P689" s="21" t="str">
        <x:v>5 acceptance criteria; 5 TC references; implementation=yes; smoke=yes; automated=yes; Story-level regression template</x:v>
      </x:c>
      <x:c r="Q689" s="21" t="str"/>
      <x:c r="R689" s="21" t="str">
        <x:v>Retain traceability; rerun focused verification if the affected boundary changes.</x:v>
      </x:c>
      <x:c r="S689" s="18" t="str"/>
      <x:c r="T689" s="20"/>
      <x:c r="U689" s="21" t="str">
        <x:v>Completion is based on immutable repository evidence; tests were not rerun and current working-tree drift was not re-certified in this reporting-only task.</x:v>
      </x:c>
      <x:c r="V689" s="1"/>
    </x:row>
    <x:row r="690" ht="46" customHeight="1">
      <x:c r="A690" s="17" t="n">
        <x:v>686</x:v>
      </x:c>
      <x:c r="B690" s="17" t="str">
        <x:v>Phase 3</x:v>
      </x:c>
      <x:c r="C690" s="17" t="str">
        <x:v>33.1</x:v>
      </x:c>
      <x:c r="D690" s="21" t="str">
        <x:v>Retrieval And Source Citation Pipeline</x:v>
      </x:c>
      <x:c r="E690" s="17" t="n">
        <x:v>3</x:v>
      </x:c>
      <x:c r="F690" s="21" t="str">
        <x:v>Return citations with source title, source type, source URL or tenant record reference, excerpt pointer, version, and last reviewed date when available.</x:v>
      </x:c>
      <x:c r="G690" s="17" t="str">
        <x:v>Software implementation</x:v>
      </x:c>
      <x:c r="H690" s="17" t="str">
        <x:v>Planned</x:v>
      </x:c>
      <x:c r="I690" s="18" t="str">
        <x:v>Completed</x:v>
      </x:c>
      <x:c r="J690" s="17" t="str">
        <x:f>IF(OR(I690="Completed",I690="Not Applicable"),"No","Yes")</x:f>
        <x:v>No</x:v>
      </x:c>
      <x:c r="K690" s="17" t="str">
        <x:v>33.1 task 2</x:v>
      </x:c>
      <x:c r="L690" s="21" t="str">
        <x:v>Story-labeled commit 24c23e7b contains delivery and focused test/test-result files: feat: implement story 33.1 ai retrieval citations</x:v>
      </x:c>
      <x:c r="M690" s="17" t="str">
        <x:v>Implementation commit + focused test artifacts</x:v>
      </x:c>
      <x:c r="N690" s="21" t="str">
        <x:v>git commit 24c23e7b0828e970ec32c150c5d239bcc81354e1; /Users/devups/Development/CodexProjects/Gccs/docs/development-story-test-cases.md</x:v>
      </x:c>
      <x:c r="O690" s="19" t="n">
        <x:v>46192.73878472222</x:v>
      </x:c>
      <x:c r="P690" s="21" t="str">
        <x:v>5 acceptance criteria; 5 TC references; implementation=yes; smoke=yes; automated=yes; Story-level regression template</x:v>
      </x:c>
      <x:c r="Q690" s="21" t="str"/>
      <x:c r="R690" s="21" t="str">
        <x:v>Retain traceability; rerun focused verification if the affected boundary changes.</x:v>
      </x:c>
      <x:c r="S690" s="18" t="str"/>
      <x:c r="T690" s="20"/>
      <x:c r="U690" s="21" t="str">
        <x:v>Completion is based on immutable repository evidence; tests were not rerun and current working-tree drift was not re-certified in this reporting-only task.</x:v>
      </x:c>
      <x:c r="V690" s="1"/>
    </x:row>
    <x:row r="691" ht="46" customHeight="1">
      <x:c r="A691" s="17" t="n">
        <x:v>687</x:v>
      </x:c>
      <x:c r="B691" s="17" t="str">
        <x:v>Phase 3</x:v>
      </x:c>
      <x:c r="C691" s="17" t="str">
        <x:v>33.1</x:v>
      </x:c>
      <x:c r="D691" s="21" t="str">
        <x:v>Retrieval And Source Citation Pipeline</x:v>
      </x:c>
      <x:c r="E691" s="17" t="n">
        <x:v>4</x:v>
      </x:c>
      <x:c r="F691" s="21" t="str">
        <x:v>Block answers when no approved source is available.</x:v>
      </x:c>
      <x:c r="G691" s="17" t="str">
        <x:v>Software implementation</x:v>
      </x:c>
      <x:c r="H691" s="17" t="str">
        <x:v>Planned</x:v>
      </x:c>
      <x:c r="I691" s="18" t="str">
        <x:v>Completed</x:v>
      </x:c>
      <x:c r="J691" s="17" t="str">
        <x:f>IF(OR(I691="Completed",I691="Not Applicable"),"No","Yes")</x:f>
        <x:v>No</x:v>
      </x:c>
      <x:c r="K691" s="17" t="str">
        <x:v>33.1 task 3</x:v>
      </x:c>
      <x:c r="L691" s="21" t="str">
        <x:v>Story-labeled commit 24c23e7b contains delivery and focused test/test-result files: feat: implement story 33.1 ai retrieval citations</x:v>
      </x:c>
      <x:c r="M691" s="17" t="str">
        <x:v>Implementation commit + focused test artifacts</x:v>
      </x:c>
      <x:c r="N691" s="21" t="str">
        <x:v>git commit 24c23e7b0828e970ec32c150c5d239bcc81354e1; /Users/devups/Development/CodexProjects/Gccs/docs/development-story-test-cases.md</x:v>
      </x:c>
      <x:c r="O691" s="19" t="n">
        <x:v>46192.73878472222</x:v>
      </x:c>
      <x:c r="P691" s="21" t="str">
        <x:v>5 acceptance criteria; 5 TC references; implementation=yes; smoke=yes; automated=yes; Story-level regression template</x:v>
      </x:c>
      <x:c r="Q691" s="21" t="str"/>
      <x:c r="R691" s="21" t="str">
        <x:v>Retain traceability; rerun focused verification if the affected boundary changes.</x:v>
      </x:c>
      <x:c r="S691" s="18" t="str"/>
      <x:c r="T691" s="20"/>
      <x:c r="U691" s="21" t="str">
        <x:v>Completion is based on immutable repository evidence; tests were not rerun and current working-tree drift was not re-certified in this reporting-only task.</x:v>
      </x:c>
      <x:c r="V691" s="1"/>
    </x:row>
    <x:row r="692" ht="46" customHeight="1">
      <x:c r="A692" s="17" t="n">
        <x:v>688</x:v>
      </x:c>
      <x:c r="B692" s="17" t="str">
        <x:v>Phase 3</x:v>
      </x:c>
      <x:c r="C692" s="17" t="str">
        <x:v>33.1</x:v>
      </x:c>
      <x:c r="D692" s="21" t="str">
        <x:v>Retrieval And Source Citation Pipeline</x:v>
      </x:c>
      <x:c r="E692" s="17" t="n">
        <x:v>5</x:v>
      </x:c>
      <x:c r="F692" s="21" t="str">
        <x:v>Log retrieval source IDs and policy decisions.</x:v>
      </x:c>
      <x:c r="G692" s="17" t="str">
        <x:v>Software implementation</x:v>
      </x:c>
      <x:c r="H692" s="17" t="str">
        <x:v>Planned</x:v>
      </x:c>
      <x:c r="I692" s="18" t="str">
        <x:v>Completed</x:v>
      </x:c>
      <x:c r="J692" s="17" t="str">
        <x:f>IF(OR(I692="Completed",I692="Not Applicable"),"No","Yes")</x:f>
        <x:v>No</x:v>
      </x:c>
      <x:c r="K692" s="17" t="str">
        <x:v>33.1 task 4</x:v>
      </x:c>
      <x:c r="L692" s="21" t="str">
        <x:v>Story-labeled commit 24c23e7b contains delivery and focused test/test-result files: feat: implement story 33.1 ai retrieval citations</x:v>
      </x:c>
      <x:c r="M692" s="17" t="str">
        <x:v>Implementation commit + focused test artifacts</x:v>
      </x:c>
      <x:c r="N692" s="21" t="str">
        <x:v>git commit 24c23e7b0828e970ec32c150c5d239bcc81354e1; /Users/devups/Development/CodexProjects/Gccs/docs/development-story-test-cases.md</x:v>
      </x:c>
      <x:c r="O692" s="19" t="n">
        <x:v>46192.73878472222</x:v>
      </x:c>
      <x:c r="P692" s="21" t="str">
        <x:v>5 acceptance criteria; 5 TC references; implementation=yes; smoke=yes; automated=yes; Story-level regression template</x:v>
      </x:c>
      <x:c r="Q692" s="21" t="str"/>
      <x:c r="R692" s="21" t="str">
        <x:v>Retain traceability; rerun focused verification if the affected boundary changes.</x:v>
      </x:c>
      <x:c r="S692" s="18" t="str"/>
      <x:c r="T692" s="20"/>
      <x:c r="U692" s="21" t="str">
        <x:v>Completion is based on immutable repository evidence; tests were not rerun and current working-tree drift was not re-certified in this reporting-only task.</x:v>
      </x:c>
      <x:c r="V692" s="1"/>
    </x:row>
    <x:row r="693" ht="46" customHeight="1">
      <x:c r="A693" s="17" t="n">
        <x:v>689</x:v>
      </x:c>
      <x:c r="B693" s="17" t="str">
        <x:v>Phase 3</x:v>
      </x:c>
      <x:c r="C693" s="17" t="str">
        <x:v>33.2</x:v>
      </x:c>
      <x:c r="D693" s="21" t="str">
        <x:v>AI Output Logging And Review</x:v>
      </x:c>
      <x:c r="E693" s="17" t="n">
        <x:v>1</x:v>
      </x:c>
      <x:c r="F693" s="21" t="str">
        <x:v>Log prompt, user, tenant, workflow context, model configuration, retrieved sources, generated output, classification, timestamp, and result.</x:v>
      </x:c>
      <x:c r="G693" s="17" t="str">
        <x:v>Software implementation</x:v>
      </x:c>
      <x:c r="H693" s="17" t="str">
        <x:v>Planned</x:v>
      </x:c>
      <x:c r="I693" s="18" t="str">
        <x:v>Completed</x:v>
      </x:c>
      <x:c r="J693" s="17" t="str">
        <x:f>IF(OR(I693="Completed",I693="Not Applicable"),"No","Yes")</x:f>
        <x:v>No</x:v>
      </x:c>
      <x:c r="K693" s="17" t="str">
        <x:v>33.1</x:v>
      </x:c>
      <x:c r="L693" s="21" t="str">
        <x:v>Story-labeled commit 83273b49 contains delivery and focused test/test-result files: feat: implement story 33.2 ai output review</x:v>
      </x:c>
      <x:c r="M693" s="17" t="str">
        <x:v>Implementation commit + focused test artifacts</x:v>
      </x:c>
      <x:c r="N693" s="21" t="str">
        <x:v>git commit 83273b4976b588ea262743fb5f2d2e2d26f00750; /Users/devups/Development/CodexProjects/Gccs/docs/development-story-test-cases.md</x:v>
      </x:c>
      <x:c r="O693" s="19" t="n">
        <x:v>46192.74105324074</x:v>
      </x:c>
      <x:c r="P693" s="21" t="str">
        <x:v>5 acceptance criteria; 5 TC references; implementation=yes; smoke=yes; automated=yes; Story-level regression template</x:v>
      </x:c>
      <x:c r="Q693" s="21" t="str"/>
      <x:c r="R693" s="21" t="str">
        <x:v>Retain traceability; rerun focused verification if the affected boundary changes.</x:v>
      </x:c>
      <x:c r="S693" s="18" t="str"/>
      <x:c r="T693" s="20"/>
      <x:c r="U693" s="21" t="str">
        <x:v>Completion is based on immutable repository evidence; tests were not rerun and current working-tree drift was not re-certified in this reporting-only task.</x:v>
      </x:c>
      <x:c r="V693" s="1"/>
    </x:row>
    <x:row r="694" ht="46" customHeight="1">
      <x:c r="A694" s="17" t="n">
        <x:v>690</x:v>
      </x:c>
      <x:c r="B694" s="17" t="str">
        <x:v>Phase 3</x:v>
      </x:c>
      <x:c r="C694" s="17" t="str">
        <x:v>33.2</x:v>
      </x:c>
      <x:c r="D694" s="21" t="str">
        <x:v>AI Output Logging And Review</x:v>
      </x:c>
      <x:c r="E694" s="17" t="n">
        <x:v>2</x:v>
      </x:c>
      <x:c r="F694" s="21" t="str">
        <x:v>Add human review states for draft, needs_review, approved, rejected, superseded, and archived output.</x:v>
      </x:c>
      <x:c r="G694" s="17" t="str">
        <x:v>Software implementation</x:v>
      </x:c>
      <x:c r="H694" s="17" t="str">
        <x:v>Planned</x:v>
      </x:c>
      <x:c r="I694" s="18" t="str">
        <x:v>Completed</x:v>
      </x:c>
      <x:c r="J694" s="17" t="str">
        <x:f>IF(OR(I694="Completed",I694="Not Applicable"),"No","Yes")</x:f>
        <x:v>No</x:v>
      </x:c>
      <x:c r="K694" s="17" t="str">
        <x:v>33.2 task 1</x:v>
      </x:c>
      <x:c r="L694" s="21" t="str">
        <x:v>Story-labeled commit 83273b49 contains delivery and focused test/test-result files: feat: implement story 33.2 ai output review</x:v>
      </x:c>
      <x:c r="M694" s="17" t="str">
        <x:v>Implementation commit + focused test artifacts</x:v>
      </x:c>
      <x:c r="N694" s="21" t="str">
        <x:v>git commit 83273b4976b588ea262743fb5f2d2e2d26f00750; /Users/devups/Development/CodexProjects/Gccs/docs/development-story-test-cases.md</x:v>
      </x:c>
      <x:c r="O694" s="19" t="n">
        <x:v>46192.74105324074</x:v>
      </x:c>
      <x:c r="P694" s="21" t="str">
        <x:v>5 acceptance criteria; 5 TC references; implementation=yes; smoke=yes; automated=yes; Story-level regression template</x:v>
      </x:c>
      <x:c r="Q694" s="21" t="str"/>
      <x:c r="R694" s="21" t="str">
        <x:v>Retain traceability; rerun focused verification if the affected boundary changes.</x:v>
      </x:c>
      <x:c r="S694" s="18" t="str"/>
      <x:c r="T694" s="20"/>
      <x:c r="U694" s="21" t="str">
        <x:v>Completion is based on immutable repository evidence; tests were not rerun and current working-tree drift was not re-certified in this reporting-only task.</x:v>
      </x:c>
      <x:c r="V694" s="1"/>
    </x:row>
    <x:row r="695" ht="46" customHeight="1">
      <x:c r="A695" s="17" t="n">
        <x:v>691</x:v>
      </x:c>
      <x:c r="B695" s="17" t="str">
        <x:v>Phase 3</x:v>
      </x:c>
      <x:c r="C695" s="17" t="str">
        <x:v>33.2</x:v>
      </x:c>
      <x:c r="D695" s="21" t="str">
        <x:v>AI Output Logging And Review</x:v>
      </x:c>
      <x:c r="E695" s="17" t="n">
        <x:v>3</x:v>
      </x:c>
      <x:c r="F695" s="21" t="str">
        <x:v>Allow reviewer comments and rejection reasons.</x:v>
      </x:c>
      <x:c r="G695" s="17" t="str">
        <x:v>Software implementation</x:v>
      </x:c>
      <x:c r="H695" s="17" t="str">
        <x:v>Planned</x:v>
      </x:c>
      <x:c r="I695" s="18" t="str">
        <x:v>Completed</x:v>
      </x:c>
      <x:c r="J695" s="17" t="str">
        <x:f>IF(OR(I695="Completed",I695="Not Applicable"),"No","Yes")</x:f>
        <x:v>No</x:v>
      </x:c>
      <x:c r="K695" s="17" t="str">
        <x:v>33.2 task 2</x:v>
      </x:c>
      <x:c r="L695" s="21" t="str">
        <x:v>Story-labeled commit 83273b49 contains delivery and focused test/test-result files: feat: implement story 33.2 ai output review</x:v>
      </x:c>
      <x:c r="M695" s="17" t="str">
        <x:v>Implementation commit + focused test artifacts</x:v>
      </x:c>
      <x:c r="N695" s="21" t="str">
        <x:v>git commit 83273b4976b588ea262743fb5f2d2e2d26f00750; /Users/devups/Development/CodexProjects/Gccs/docs/development-story-test-cases.md</x:v>
      </x:c>
      <x:c r="O695" s="19" t="n">
        <x:v>46192.74105324074</x:v>
      </x:c>
      <x:c r="P695" s="21" t="str">
        <x:v>5 acceptance criteria; 5 TC references; implementation=yes; smoke=yes; automated=yes; Story-level regression template</x:v>
      </x:c>
      <x:c r="Q695" s="21" t="str"/>
      <x:c r="R695" s="21" t="str">
        <x:v>Retain traceability; rerun focused verification if the affected boundary changes.</x:v>
      </x:c>
      <x:c r="S695" s="18" t="str"/>
      <x:c r="T695" s="20"/>
      <x:c r="U695" s="21" t="str">
        <x:v>Completion is based on immutable repository evidence; tests were not rerun and current working-tree drift was not re-certified in this reporting-only task.</x:v>
      </x:c>
      <x:c r="V695" s="1"/>
    </x:row>
    <x:row r="696" ht="46" customHeight="1">
      <x:c r="A696" s="17" t="n">
        <x:v>692</x:v>
      </x:c>
      <x:c r="B696" s="17" t="str">
        <x:v>Phase 3</x:v>
      </x:c>
      <x:c r="C696" s="17" t="str">
        <x:v>33.2</x:v>
      </x:c>
      <x:c r="D696" s="21" t="str">
        <x:v>AI Output Logging And Review</x:v>
      </x:c>
      <x:c r="E696" s="17" t="n">
        <x:v>4</x:v>
      </x:c>
      <x:c r="F696" s="21" t="str">
        <x:v>Add retention and export controls for AI logs.</x:v>
      </x:c>
      <x:c r="G696" s="17" t="str">
        <x:v>Software implementation</x:v>
      </x:c>
      <x:c r="H696" s="17" t="str">
        <x:v>Planned</x:v>
      </x:c>
      <x:c r="I696" s="18" t="str">
        <x:v>Completed</x:v>
      </x:c>
      <x:c r="J696" s="17" t="str">
        <x:f>IF(OR(I696="Completed",I696="Not Applicable"),"No","Yes")</x:f>
        <x:v>No</x:v>
      </x:c>
      <x:c r="K696" s="17" t="str">
        <x:v>33.2 task 3</x:v>
      </x:c>
      <x:c r="L696" s="21" t="str">
        <x:v>Story-labeled commit 83273b49 contains delivery and focused test/test-result files: feat: implement story 33.2 ai output review</x:v>
      </x:c>
      <x:c r="M696" s="17" t="str">
        <x:v>Implementation commit + focused test artifacts</x:v>
      </x:c>
      <x:c r="N696" s="21" t="str">
        <x:v>git commit 83273b4976b588ea262743fb5f2d2e2d26f00750; /Users/devups/Development/CodexProjects/Gccs/docs/development-story-test-cases.md</x:v>
      </x:c>
      <x:c r="O696" s="19" t="n">
        <x:v>46192.74105324074</x:v>
      </x:c>
      <x:c r="P696" s="21" t="str">
        <x:v>5 acceptance criteria; 5 TC references; implementation=yes; smoke=yes; automated=yes; Story-level regression template</x:v>
      </x:c>
      <x:c r="Q696" s="21" t="str"/>
      <x:c r="R696" s="21" t="str">
        <x:v>Retain traceability; rerun focused verification if the affected boundary changes.</x:v>
      </x:c>
      <x:c r="S696" s="18" t="str"/>
      <x:c r="T696" s="20"/>
      <x:c r="U696" s="21" t="str">
        <x:v>Completion is based on immutable repository evidence; tests were not rerun and current working-tree drift was not re-certified in this reporting-only task.</x:v>
      </x:c>
      <x:c r="V696" s="1"/>
    </x:row>
    <x:row r="697" ht="46" customHeight="1">
      <x:c r="A697" s="17" t="n">
        <x:v>693</x:v>
      </x:c>
      <x:c r="B697" s="17" t="str">
        <x:v>Phase 3</x:v>
      </x:c>
      <x:c r="C697" s="17" t="str">
        <x:v>33.2</x:v>
      </x:c>
      <x:c r="D697" s="21" t="str">
        <x:v>AI Output Logging And Review</x:v>
      </x:c>
      <x:c r="E697" s="17" t="n">
        <x:v>5</x:v>
      </x:c>
      <x:c r="F697" s="21" t="str">
        <x:v>Add redaction or exclusion for prohibited data.</x:v>
      </x:c>
      <x:c r="G697" s="17" t="str">
        <x:v>Software implementation</x:v>
      </x:c>
      <x:c r="H697" s="17" t="str">
        <x:v>Planned</x:v>
      </x:c>
      <x:c r="I697" s="18" t="str">
        <x:v>Completed</x:v>
      </x:c>
      <x:c r="J697" s="17" t="str">
        <x:f>IF(OR(I697="Completed",I697="Not Applicable"),"No","Yes")</x:f>
        <x:v>No</x:v>
      </x:c>
      <x:c r="K697" s="17" t="str">
        <x:v>33.2 task 4</x:v>
      </x:c>
      <x:c r="L697" s="21" t="str">
        <x:v>Story-labeled commit 83273b49 contains delivery and focused test/test-result files: feat: implement story 33.2 ai output review</x:v>
      </x:c>
      <x:c r="M697" s="17" t="str">
        <x:v>Implementation commit + focused test artifacts</x:v>
      </x:c>
      <x:c r="N697" s="21" t="str">
        <x:v>git commit 83273b4976b588ea262743fb5f2d2e2d26f00750; /Users/devups/Development/CodexProjects/Gccs/docs/development-story-test-cases.md</x:v>
      </x:c>
      <x:c r="O697" s="19" t="n">
        <x:v>46192.74105324074</x:v>
      </x:c>
      <x:c r="P697" s="21" t="str">
        <x:v>5 acceptance criteria; 5 TC references; implementation=yes; smoke=yes; automated=yes; Story-level regression template</x:v>
      </x:c>
      <x:c r="Q697" s="21" t="str"/>
      <x:c r="R697" s="21" t="str">
        <x:v>Retain traceability; rerun focused verification if the affected boundary changes.</x:v>
      </x:c>
      <x:c r="S697" s="18" t="str"/>
      <x:c r="T697" s="20"/>
      <x:c r="U697" s="21" t="str">
        <x:v>Completion is based on immutable repository evidence; tests were not rerun and current working-tree drift was not re-certified in this reporting-only task.</x:v>
      </x:c>
      <x:c r="V697" s="1"/>
    </x:row>
    <x:row r="698" ht="46" customHeight="1">
      <x:c r="A698" s="17" t="n">
        <x:v>694</x:v>
      </x:c>
      <x:c r="B698" s="17" t="str">
        <x:v>Phase 3</x:v>
      </x:c>
      <x:c r="C698" s="17" t="str">
        <x:v>33.3</x:v>
      </x:c>
      <x:c r="D698" s="21" t="str">
        <x:v>Guarded Assistant User Experience</x:v>
      </x:c>
      <x:c r="E698" s="17" t="n">
        <x:v>1</x:v>
      </x:c>
      <x:c r="F698" s="21" t="str">
        <x:v>Add assistant UI for questions from obligation, contract, evidence, CMMC, SSP, POA&amp;M, labor, and subcontractor contexts.</x:v>
      </x:c>
      <x:c r="G698" s="17" t="str">
        <x:v>Software implementation</x:v>
      </x:c>
      <x:c r="H698" s="17" t="str">
        <x:v>Planned</x:v>
      </x:c>
      <x:c r="I698" s="18" t="str">
        <x:v>Completed</x:v>
      </x:c>
      <x:c r="J698" s="17" t="str">
        <x:f>IF(OR(I698="Completed",I698="Not Applicable"),"No","Yes")</x:f>
        <x:v>No</x:v>
      </x:c>
      <x:c r="K698" s="17" t="str">
        <x:v>33.2</x:v>
      </x:c>
      <x:c r="L698" s="21" t="str">
        <x:v>Story-labeled commit 0a8fef6f contains delivery and focused test/test-result files: feat: implement story 33.3 guarded assistant</x:v>
      </x:c>
      <x:c r="M698" s="17" t="str">
        <x:v>Implementation commit + focused test artifacts</x:v>
      </x:c>
      <x:c r="N698" s="21" t="str">
        <x:v>git commit 0a8fef6f667cacf04afa2d0af3b625a85132d2db; /Users/devups/Development/CodexProjects/Gccs/docs/development-story-test-cases.md</x:v>
      </x:c>
      <x:c r="O698" s="19" t="n">
        <x:v>46192.74302083333</x:v>
      </x:c>
      <x:c r="P698" s="21" t="str">
        <x:v>5 acceptance criteria; 5 TC references; implementation=yes; smoke=yes; automated=yes; Story-level regression template</x:v>
      </x:c>
      <x:c r="Q698" s="21" t="str"/>
      <x:c r="R698" s="21" t="str">
        <x:v>Retain traceability; rerun focused verification if the affected boundary changes.</x:v>
      </x:c>
      <x:c r="S698" s="18" t="str"/>
      <x:c r="T698" s="20"/>
      <x:c r="U698" s="21" t="str">
        <x:v>Completion is based on immutable repository evidence; tests were not rerun and current working-tree drift was not re-certified in this reporting-only task.</x:v>
      </x:c>
      <x:c r="V698" s="1"/>
    </x:row>
    <x:row r="699" ht="46" customHeight="1">
      <x:c r="A699" s="17" t="n">
        <x:v>695</x:v>
      </x:c>
      <x:c r="B699" s="17" t="str">
        <x:v>Phase 3</x:v>
      </x:c>
      <x:c r="C699" s="17" t="str">
        <x:v>33.3</x:v>
      </x:c>
      <x:c r="D699" s="21" t="str">
        <x:v>Guarded Assistant User Experience</x:v>
      </x:c>
      <x:c r="E699" s="17" t="n">
        <x:v>2</x:v>
      </x:c>
      <x:c r="F699" s="21" t="str">
        <x:v>Show citations, confidence, draft label, review requirement, and escalation option.</x:v>
      </x:c>
      <x:c r="G699" s="17" t="str">
        <x:v>Software implementation</x:v>
      </x:c>
      <x:c r="H699" s="17" t="str">
        <x:v>Planned</x:v>
      </x:c>
      <x:c r="I699" s="18" t="str">
        <x:v>Completed</x:v>
      </x:c>
      <x:c r="J699" s="17" t="str">
        <x:f>IF(OR(I699="Completed",I699="Not Applicable"),"No","Yes")</x:f>
        <x:v>No</x:v>
      </x:c>
      <x:c r="K699" s="17" t="str">
        <x:v>33.3 task 1</x:v>
      </x:c>
      <x:c r="L699" s="21" t="str">
        <x:v>Story-labeled commit 0a8fef6f contains delivery and focused test/test-result files: feat: implement story 33.3 guarded assistant</x:v>
      </x:c>
      <x:c r="M699" s="17" t="str">
        <x:v>Implementation commit + focused test artifacts</x:v>
      </x:c>
      <x:c r="N699" s="21" t="str">
        <x:v>git commit 0a8fef6f667cacf04afa2d0af3b625a85132d2db; /Users/devups/Development/CodexProjects/Gccs/docs/development-story-test-cases.md</x:v>
      </x:c>
      <x:c r="O699" s="19" t="n">
        <x:v>46192.74302083333</x:v>
      </x:c>
      <x:c r="P699" s="21" t="str">
        <x:v>5 acceptance criteria; 5 TC references; implementation=yes; smoke=yes; automated=yes; Story-level regression template</x:v>
      </x:c>
      <x:c r="Q699" s="21" t="str"/>
      <x:c r="R699" s="21" t="str">
        <x:v>Retain traceability; rerun focused verification if the affected boundary changes.</x:v>
      </x:c>
      <x:c r="S699" s="18" t="str"/>
      <x:c r="T699" s="20"/>
      <x:c r="U699" s="21" t="str">
        <x:v>Completion is based on immutable repository evidence; tests were not rerun and current working-tree drift was not re-certified in this reporting-only task.</x:v>
      </x:c>
      <x:c r="V699" s="1"/>
    </x:row>
    <x:row r="700" ht="46" customHeight="1">
      <x:c r="A700" s="17" t="n">
        <x:v>696</x:v>
      </x:c>
      <x:c r="B700" s="17" t="str">
        <x:v>Phase 3</x:v>
      </x:c>
      <x:c r="C700" s="17" t="str">
        <x:v>33.3</x:v>
      </x:c>
      <x:c r="D700" s="21" t="str">
        <x:v>Guarded Assistant User Experience</x:v>
      </x:c>
      <x:c r="E700" s="17" t="n">
        <x:v>3</x:v>
      </x:c>
      <x:c r="F700" s="21" t="str">
        <x:v>Add prohibited prompt handling for legal determinations, certification claims, unsupported CUI processing, classified data, and cross-tenant requests.</x:v>
      </x:c>
      <x:c r="G700" s="17" t="str">
        <x:v>Software implementation</x:v>
      </x:c>
      <x:c r="H700" s="17" t="str">
        <x:v>Planned</x:v>
      </x:c>
      <x:c r="I700" s="18" t="str">
        <x:v>Completed</x:v>
      </x:c>
      <x:c r="J700" s="17" t="str">
        <x:f>IF(OR(I700="Completed",I700="Not Applicable"),"No","Yes")</x:f>
        <x:v>No</x:v>
      </x:c>
      <x:c r="K700" s="17" t="str">
        <x:v>33.3 task 2</x:v>
      </x:c>
      <x:c r="L700" s="21" t="str">
        <x:v>Story-labeled commit 0a8fef6f contains delivery and focused test/test-result files: feat: implement story 33.3 guarded assistant</x:v>
      </x:c>
      <x:c r="M700" s="17" t="str">
        <x:v>Implementation commit + focused test artifacts</x:v>
      </x:c>
      <x:c r="N700" s="21" t="str">
        <x:v>git commit 0a8fef6f667cacf04afa2d0af3b625a85132d2db; /Users/devups/Development/CodexProjects/Gccs/docs/development-story-test-cases.md</x:v>
      </x:c>
      <x:c r="O700" s="19" t="n">
        <x:v>46192.74302083333</x:v>
      </x:c>
      <x:c r="P700" s="21" t="str">
        <x:v>5 acceptance criteria; 5 TC references; implementation=yes; smoke=yes; automated=yes; Story-level regression template</x:v>
      </x:c>
      <x:c r="Q700" s="21" t="str"/>
      <x:c r="R700" s="21" t="str">
        <x:v>Retain traceability; rerun focused verification if the affected boundary changes.</x:v>
      </x:c>
      <x:c r="S700" s="18" t="str"/>
      <x:c r="T700" s="20"/>
      <x:c r="U700" s="21" t="str">
        <x:v>Completion is based on immutable repository evidence; tests were not rerun and current working-tree drift was not re-certified in this reporting-only task.</x:v>
      </x:c>
      <x:c r="V700" s="1"/>
    </x:row>
    <x:row r="701" ht="46" customHeight="1">
      <x:c r="A701" s="17" t="n">
        <x:v>697</x:v>
      </x:c>
      <x:c r="B701" s="17" t="str">
        <x:v>Phase 3</x:v>
      </x:c>
      <x:c r="C701" s="17" t="str">
        <x:v>33.3</x:v>
      </x:c>
      <x:c r="D701" s="21" t="str">
        <x:v>Guarded Assistant User Experience</x:v>
      </x:c>
      <x:c r="E701" s="17" t="n">
        <x:v>4</x:v>
      </x:c>
      <x:c r="F701" s="21" t="str">
        <x:v>Add actions to create draft tasks, evidence requests, notes, or review items from an answer.</x:v>
      </x:c>
      <x:c r="G701" s="17" t="str">
        <x:v>Software implementation</x:v>
      </x:c>
      <x:c r="H701" s="17" t="str">
        <x:v>Planned</x:v>
      </x:c>
      <x:c r="I701" s="18" t="str">
        <x:v>Completed</x:v>
      </x:c>
      <x:c r="J701" s="17" t="str">
        <x:f>IF(OR(I701="Completed",I701="Not Applicable"),"No","Yes")</x:f>
        <x:v>No</x:v>
      </x:c>
      <x:c r="K701" s="17" t="str">
        <x:v>33.3 task 3</x:v>
      </x:c>
      <x:c r="L701" s="21" t="str">
        <x:v>Story-labeled commit 0a8fef6f contains delivery and focused test/test-result files: feat: implement story 33.3 guarded assistant</x:v>
      </x:c>
      <x:c r="M701" s="17" t="str">
        <x:v>Implementation commit + focused test artifacts</x:v>
      </x:c>
      <x:c r="N701" s="21" t="str">
        <x:v>git commit 0a8fef6f667cacf04afa2d0af3b625a85132d2db; /Users/devups/Development/CodexProjects/Gccs/docs/development-story-test-cases.md</x:v>
      </x:c>
      <x:c r="O701" s="19" t="n">
        <x:v>46192.74302083333</x:v>
      </x:c>
      <x:c r="P701" s="21" t="str">
        <x:v>5 acceptance criteria; 5 TC references; implementation=yes; smoke=yes; automated=yes; Story-level regression template</x:v>
      </x:c>
      <x:c r="Q701" s="21" t="str"/>
      <x:c r="R701" s="21" t="str">
        <x:v>Retain traceability; rerun focused verification if the affected boundary changes.</x:v>
      </x:c>
      <x:c r="S701" s="18" t="str"/>
      <x:c r="T701" s="20"/>
      <x:c r="U701" s="21" t="str">
        <x:v>Completion is based on immutable repository evidence; tests were not rerun and current working-tree drift was not re-certified in this reporting-only task.</x:v>
      </x:c>
      <x:c r="V701" s="1"/>
    </x:row>
    <x:row r="702" ht="46" customHeight="1">
      <x:c r="A702" s="17" t="n">
        <x:v>698</x:v>
      </x:c>
      <x:c r="B702" s="17" t="str">
        <x:v>Phase 3</x:v>
      </x:c>
      <x:c r="C702" s="17" t="str">
        <x:v>33.3</x:v>
      </x:c>
      <x:c r="D702" s="21" t="str">
        <x:v>Guarded Assistant User Experience</x:v>
      </x:c>
      <x:c r="E702" s="17" t="n">
        <x:v>5</x:v>
      </x:c>
      <x:c r="F702" s="21" t="str">
        <x:v>Add feedback capture for helpful, incorrect, missing source, or needs expert review.</x:v>
      </x:c>
      <x:c r="G702" s="17" t="str">
        <x:v>Software implementation</x:v>
      </x:c>
      <x:c r="H702" s="17" t="str">
        <x:v>Planned</x:v>
      </x:c>
      <x:c r="I702" s="18" t="str">
        <x:v>Completed</x:v>
      </x:c>
      <x:c r="J702" s="17" t="str">
        <x:f>IF(OR(I702="Completed",I702="Not Applicable"),"No","Yes")</x:f>
        <x:v>No</x:v>
      </x:c>
      <x:c r="K702" s="17" t="str">
        <x:v>33.3 task 4</x:v>
      </x:c>
      <x:c r="L702" s="21" t="str">
        <x:v>Story-labeled commit 0a8fef6f contains delivery and focused test/test-result files: feat: implement story 33.3 guarded assistant</x:v>
      </x:c>
      <x:c r="M702" s="17" t="str">
        <x:v>Implementation commit + focused test artifacts</x:v>
      </x:c>
      <x:c r="N702" s="21" t="str">
        <x:v>git commit 0a8fef6f667cacf04afa2d0af3b625a85132d2db; /Users/devups/Development/CodexProjects/Gccs/docs/development-story-test-cases.md</x:v>
      </x:c>
      <x:c r="O702" s="19" t="n">
        <x:v>46192.74302083333</x:v>
      </x:c>
      <x:c r="P702" s="21" t="str">
        <x:v>5 acceptance criteria; 5 TC references; implementation=yes; smoke=yes; automated=yes; Story-level regression template</x:v>
      </x:c>
      <x:c r="Q702" s="21" t="str"/>
      <x:c r="R702" s="21" t="str">
        <x:v>Retain traceability; rerun focused verification if the affected boundary changes.</x:v>
      </x:c>
      <x:c r="S702" s="18" t="str"/>
      <x:c r="T702" s="20"/>
      <x:c r="U702" s="21" t="str">
        <x:v>Completion is based on immutable repository evidence; tests were not rerun and current working-tree drift was not re-certified in this reporting-only task.</x:v>
      </x:c>
      <x:c r="V702" s="1"/>
    </x:row>
    <x:row r="703" ht="46" customHeight="1">
      <x:c r="A703" s="17" t="n">
        <x:v>699</x:v>
      </x:c>
      <x:c r="B703" s="17" t="str">
        <x:v>Phase 3</x:v>
      </x:c>
      <x:c r="C703" s="17" t="str">
        <x:v>34.1</x:v>
      </x:c>
      <x:c r="D703" s="21" t="str">
        <x:v>External Portal Access Model</x:v>
      </x:c>
      <x:c r="E703" s="17" t="n">
        <x:v>1</x:v>
      </x:c>
      <x:c r="F703" s="21" t="str">
        <x:v>Define external roles for prime reviewer, auditor reviewer, advisor reviewer, and package recipient.</x:v>
      </x:c>
      <x:c r="G703" s="17" t="str">
        <x:v>Software implementation</x:v>
      </x:c>
      <x:c r="H703" s="17" t="str">
        <x:v>Planned</x:v>
      </x:c>
      <x:c r="I703" s="18" t="str">
        <x:v>Completed</x:v>
      </x:c>
      <x:c r="J703" s="17" t="str">
        <x:f>IF(OR(I703="Completed",I703="Not Applicable"),"No","Yes")</x:f>
        <x:v>No</x:v>
      </x:c>
      <x:c r="K703" s="17" t="str">
        <x:v>33.3</x:v>
      </x:c>
      <x:c r="L703" s="21" t="str">
        <x:v>Story-labeled commit 54d8b60f contains delivery and focused test/test-result files: feat: implement story 34.1 external portal access</x:v>
      </x:c>
      <x:c r="M703" s="17" t="str">
        <x:v>Implementation commit + focused test artifacts</x:v>
      </x:c>
      <x:c r="N703" s="21" t="str">
        <x:v>git commit 54d8b60f9a8887a0d68290beb9b3ec7f0438d3bb; /Users/devups/Development/CodexProjects/Gccs/docs/development-story-test-cases.md</x:v>
      </x:c>
      <x:c r="O703" s="19" t="n">
        <x:v>46192.74513888889</x:v>
      </x:c>
      <x:c r="P703" s="21" t="str">
        <x:v>5 acceptance criteria; 5 TC references; implementation=yes; smoke=yes; automated=yes; Story-level regression template</x:v>
      </x:c>
      <x:c r="Q703" s="21" t="str"/>
      <x:c r="R703" s="21" t="str">
        <x:v>Retain traceability; rerun focused verification if the affected boundary changes.</x:v>
      </x:c>
      <x:c r="S703" s="18" t="str"/>
      <x:c r="T703" s="20"/>
      <x:c r="U703" s="21" t="str">
        <x:v>Completion is based on immutable repository evidence; tests were not rerun and current working-tree drift was not re-certified in this reporting-only task.</x:v>
      </x:c>
      <x:c r="V703" s="1"/>
    </x:row>
    <x:row r="704" ht="46" customHeight="1">
      <x:c r="A704" s="17" t="n">
        <x:v>700</x:v>
      </x:c>
      <x:c r="B704" s="17" t="str">
        <x:v>Phase 3</x:v>
      </x:c>
      <x:c r="C704" s="17" t="str">
        <x:v>34.1</x:v>
      </x:c>
      <x:c r="D704" s="21" t="str">
        <x:v>External Portal Access Model</x:v>
      </x:c>
      <x:c r="E704" s="17" t="n">
        <x:v>2</x:v>
      </x:c>
      <x:c r="F704" s="21" t="str">
        <x:v>Add portal invitations with scope, expiration, allowed packages, allowed contracts, download permission, and revocation.</x:v>
      </x:c>
      <x:c r="G704" s="17" t="str">
        <x:v>Software implementation</x:v>
      </x:c>
      <x:c r="H704" s="17" t="str">
        <x:v>Planned</x:v>
      </x:c>
      <x:c r="I704" s="18" t="str">
        <x:v>Completed</x:v>
      </x:c>
      <x:c r="J704" s="17" t="str">
        <x:f>IF(OR(I704="Completed",I704="Not Applicable"),"No","Yes")</x:f>
        <x:v>No</x:v>
      </x:c>
      <x:c r="K704" s="17" t="str">
        <x:v>34.1 task 1</x:v>
      </x:c>
      <x:c r="L704" s="21" t="str">
        <x:v>Story-labeled commit 54d8b60f contains delivery and focused test/test-result files: feat: implement story 34.1 external portal access</x:v>
      </x:c>
      <x:c r="M704" s="17" t="str">
        <x:v>Implementation commit + focused test artifacts</x:v>
      </x:c>
      <x:c r="N704" s="21" t="str">
        <x:v>git commit 54d8b60f9a8887a0d68290beb9b3ec7f0438d3bb; /Users/devups/Development/CodexProjects/Gccs/docs/development-story-test-cases.md</x:v>
      </x:c>
      <x:c r="O704" s="19" t="n">
        <x:v>46192.74513888889</x:v>
      </x:c>
      <x:c r="P704" s="21" t="str">
        <x:v>5 acceptance criteria; 5 TC references; implementation=yes; smoke=yes; automated=yes; Story-level regression template</x:v>
      </x:c>
      <x:c r="Q704" s="21" t="str"/>
      <x:c r="R704" s="21" t="str">
        <x:v>Retain traceability; rerun focused verification if the affected boundary changes.</x:v>
      </x:c>
      <x:c r="S704" s="18" t="str"/>
      <x:c r="T704" s="20"/>
      <x:c r="U704" s="21" t="str">
        <x:v>Completion is based on immutable repository evidence; tests were not rerun and current working-tree drift was not re-certified in this reporting-only task.</x:v>
      </x:c>
      <x:c r="V704" s="1"/>
    </x:row>
    <x:row r="705" ht="46" customHeight="1">
      <x:c r="A705" s="17" t="n">
        <x:v>701</x:v>
      </x:c>
      <x:c r="B705" s="17" t="str">
        <x:v>Phase 3</x:v>
      </x:c>
      <x:c r="C705" s="17" t="str">
        <x:v>34.1</x:v>
      </x:c>
      <x:c r="D705" s="21" t="str">
        <x:v>External Portal Access Model</x:v>
      </x:c>
      <x:c r="E705" s="17" t="n">
        <x:v>3</x:v>
      </x:c>
      <x:c r="F705" s="21" t="str">
        <x:v>Enforce MFA or strong authentication requirement where configured.</x:v>
      </x:c>
      <x:c r="G705" s="17" t="str">
        <x:v>Software implementation</x:v>
      </x:c>
      <x:c r="H705" s="17" t="str">
        <x:v>Planned</x:v>
      </x:c>
      <x:c r="I705" s="18" t="str">
        <x:v>Completed</x:v>
      </x:c>
      <x:c r="J705" s="17" t="str">
        <x:f>IF(OR(I705="Completed",I705="Not Applicable"),"No","Yes")</x:f>
        <x:v>No</x:v>
      </x:c>
      <x:c r="K705" s="17" t="str">
        <x:v>34.1 task 2</x:v>
      </x:c>
      <x:c r="L705" s="21" t="str">
        <x:v>Story-labeled commit 54d8b60f contains delivery and focused test/test-result files: feat: implement story 34.1 external portal access</x:v>
      </x:c>
      <x:c r="M705" s="17" t="str">
        <x:v>Implementation commit + focused test artifacts</x:v>
      </x:c>
      <x:c r="N705" s="21" t="str">
        <x:v>git commit 54d8b60f9a8887a0d68290beb9b3ec7f0438d3bb; /Users/devups/Development/CodexProjects/Gccs/docs/development-story-test-cases.md</x:v>
      </x:c>
      <x:c r="O705" s="19" t="n">
        <x:v>46192.74513888889</x:v>
      </x:c>
      <x:c r="P705" s="21" t="str">
        <x:v>5 acceptance criteria; 5 TC references; implementation=yes; smoke=yes; automated=yes; Story-level regression template</x:v>
      </x:c>
      <x:c r="Q705" s="21" t="str"/>
      <x:c r="R705" s="21" t="str">
        <x:v>Retain traceability; rerun focused verification if the affected boundary changes.</x:v>
      </x:c>
      <x:c r="S705" s="18" t="str"/>
      <x:c r="T705" s="20"/>
      <x:c r="U705" s="21" t="str">
        <x:v>Completion is based on immutable repository evidence; tests were not rerun and current working-tree drift was not re-certified in this reporting-only task.</x:v>
      </x:c>
      <x:c r="V705" s="1"/>
    </x:row>
    <x:row r="706" ht="46" customHeight="1">
      <x:c r="A706" s="17" t="n">
        <x:v>702</x:v>
      </x:c>
      <x:c r="B706" s="17" t="str">
        <x:v>Phase 3</x:v>
      </x:c>
      <x:c r="C706" s="17" t="str">
        <x:v>34.1</x:v>
      </x:c>
      <x:c r="D706" s="21" t="str">
        <x:v>External Portal Access Model</x:v>
      </x:c>
      <x:c r="E706" s="17" t="n">
        <x:v>4</x:v>
      </x:c>
      <x:c r="F706" s="21" t="str">
        <x:v>Add portal access history and last access timestamp.</x:v>
      </x:c>
      <x:c r="G706" s="17" t="str">
        <x:v>Software implementation</x:v>
      </x:c>
      <x:c r="H706" s="17" t="str">
        <x:v>Planned</x:v>
      </x:c>
      <x:c r="I706" s="18" t="str">
        <x:v>Completed</x:v>
      </x:c>
      <x:c r="J706" s="17" t="str">
        <x:f>IF(OR(I706="Completed",I706="Not Applicable"),"No","Yes")</x:f>
        <x:v>No</x:v>
      </x:c>
      <x:c r="K706" s="17" t="str">
        <x:v>34.1 task 3</x:v>
      </x:c>
      <x:c r="L706" s="21" t="str">
        <x:v>Story-labeled commit 54d8b60f contains delivery and focused test/test-result files: feat: implement story 34.1 external portal access</x:v>
      </x:c>
      <x:c r="M706" s="17" t="str">
        <x:v>Implementation commit + focused test artifacts</x:v>
      </x:c>
      <x:c r="N706" s="21" t="str">
        <x:v>git commit 54d8b60f9a8887a0d68290beb9b3ec7f0438d3bb; /Users/devups/Development/CodexProjects/Gccs/docs/development-story-test-cases.md</x:v>
      </x:c>
      <x:c r="O706" s="19" t="n">
        <x:v>46192.74513888889</x:v>
      </x:c>
      <x:c r="P706" s="21" t="str">
        <x:v>5 acceptance criteria; 5 TC references; implementation=yes; smoke=yes; automated=yes; Story-level regression template</x:v>
      </x:c>
      <x:c r="Q706" s="21" t="str"/>
      <x:c r="R706" s="21" t="str">
        <x:v>Retain traceability; rerun focused verification if the affected boundary changes.</x:v>
      </x:c>
      <x:c r="S706" s="18" t="str"/>
      <x:c r="T706" s="20"/>
      <x:c r="U706" s="21" t="str">
        <x:v>Completion is based on immutable repository evidence; tests were not rerun and current working-tree drift was not re-certified in this reporting-only task.</x:v>
      </x:c>
      <x:c r="V706" s="1"/>
    </x:row>
    <x:row r="707" ht="46" customHeight="1">
      <x:c r="A707" s="17" t="n">
        <x:v>703</x:v>
      </x:c>
      <x:c r="B707" s="17" t="str">
        <x:v>Phase 3</x:v>
      </x:c>
      <x:c r="C707" s="17" t="str">
        <x:v>34.1</x:v>
      </x:c>
      <x:c r="D707" s="21" t="str">
        <x:v>External Portal Access Model</x:v>
      </x:c>
      <x:c r="E707" s="17" t="n">
        <x:v>5</x:v>
      </x:c>
      <x:c r="F707" s="21" t="str">
        <x:v>Add tenant admin controls for revoke, extend, and resend invitation.</x:v>
      </x:c>
      <x:c r="G707" s="17" t="str">
        <x:v>Software implementation</x:v>
      </x:c>
      <x:c r="H707" s="17" t="str">
        <x:v>Planned</x:v>
      </x:c>
      <x:c r="I707" s="18" t="str">
        <x:v>Completed</x:v>
      </x:c>
      <x:c r="J707" s="17" t="str">
        <x:f>IF(OR(I707="Completed",I707="Not Applicable"),"No","Yes")</x:f>
        <x:v>No</x:v>
      </x:c>
      <x:c r="K707" s="17" t="str">
        <x:v>34.1 task 4</x:v>
      </x:c>
      <x:c r="L707" s="21" t="str">
        <x:v>Story-labeled commit 54d8b60f contains delivery and focused test/test-result files: feat: implement story 34.1 external portal access</x:v>
      </x:c>
      <x:c r="M707" s="17" t="str">
        <x:v>Implementation commit + focused test artifacts</x:v>
      </x:c>
      <x:c r="N707" s="21" t="str">
        <x:v>git commit 54d8b60f9a8887a0d68290beb9b3ec7f0438d3bb; /Users/devups/Development/CodexProjects/Gccs/docs/development-story-test-cases.md</x:v>
      </x:c>
      <x:c r="O707" s="19" t="n">
        <x:v>46192.74513888889</x:v>
      </x:c>
      <x:c r="P707" s="21" t="str">
        <x:v>5 acceptance criteria; 5 TC references; implementation=yes; smoke=yes; automated=yes; Story-level regression template</x:v>
      </x:c>
      <x:c r="Q707" s="21" t="str"/>
      <x:c r="R707" s="21" t="str">
        <x:v>Retain traceability; rerun focused verification if the affected boundary changes.</x:v>
      </x:c>
      <x:c r="S707" s="18" t="str"/>
      <x:c r="T707" s="20"/>
      <x:c r="U707" s="21" t="str">
        <x:v>Completion is based on immutable repository evidence; tests were not rerun and current working-tree drift was not re-certified in this reporting-only task.</x:v>
      </x:c>
      <x:c r="V707" s="1"/>
    </x:row>
    <x:row r="708" ht="46" customHeight="1">
      <x:c r="A708" s="17" t="n">
        <x:v>704</x:v>
      </x:c>
      <x:c r="B708" s="17" t="str">
        <x:v>Phase 3</x:v>
      </x:c>
      <x:c r="C708" s="17" t="str">
        <x:v>34.2</x:v>
      </x:c>
      <x:c r="D708" s="21" t="str">
        <x:v>Approved Package Portal Review</x:v>
      </x:c>
      <x:c r="E708" s="17" t="n">
        <x:v>1</x:v>
      </x:c>
      <x:c r="F708" s="21" t="str">
        <x:v>Add portal dashboard for assigned packages, status, due date, reviewer notes, and download availability.</x:v>
      </x:c>
      <x:c r="G708" s="17" t="str">
        <x:v>Software implementation</x:v>
      </x:c>
      <x:c r="H708" s="17" t="str">
        <x:v>Planned</x:v>
      </x:c>
      <x:c r="I708" s="18" t="str">
        <x:v>Completed</x:v>
      </x:c>
      <x:c r="J708" s="17" t="str">
        <x:f>IF(OR(I708="Completed",I708="Not Applicable"),"No","Yes")</x:f>
        <x:v>No</x:v>
      </x:c>
      <x:c r="K708" s="17" t="str">
        <x:v>34.1</x:v>
      </x:c>
      <x:c r="L708" s="21" t="str">
        <x:v>Story-labeled commit a0fa13e1 contains delivery and focused test/test-result files: feat: implement story 34.2 approved package portal review</x:v>
      </x:c>
      <x:c r="M708" s="17" t="str">
        <x:v>Implementation commit + focused test artifacts</x:v>
      </x:c>
      <x:c r="N708" s="21" t="str">
        <x:v>git commit a0fa13e13a07a6b45ebd53a1cc8da7a477653a50; /Users/devups/Development/CodexProjects/Gccs/docs/development-story-test-cases.md</x:v>
      </x:c>
      <x:c r="O708" s="19" t="n">
        <x:v>46192.74741898148</x:v>
      </x:c>
      <x:c r="P708" s="21" t="str">
        <x:v>5 acceptance criteria; 5 TC references; implementation=yes; smoke=yes; automated=yes; Story-level regression template</x:v>
      </x:c>
      <x:c r="Q708" s="21" t="str"/>
      <x:c r="R708" s="21" t="str">
        <x:v>Retain traceability; rerun focused verification if the affected boundary changes.</x:v>
      </x:c>
      <x:c r="S708" s="18" t="str"/>
      <x:c r="T708" s="20"/>
      <x:c r="U708" s="21" t="str">
        <x:v>Completion is based on immutable repository evidence; tests were not rerun and current working-tree drift was not re-certified in this reporting-only task.</x:v>
      </x:c>
      <x:c r="V708" s="1"/>
    </x:row>
    <x:row r="709" ht="46" customHeight="1">
      <x:c r="A709" s="17" t="n">
        <x:v>705</x:v>
      </x:c>
      <x:c r="B709" s="17" t="str">
        <x:v>Phase 3</x:v>
      </x:c>
      <x:c r="C709" s="17" t="str">
        <x:v>34.2</x:v>
      </x:c>
      <x:c r="D709" s="21" t="str">
        <x:v>Approved Package Portal Review</x:v>
      </x:c>
      <x:c r="E709" s="17" t="n">
        <x:v>2</x:v>
      </x:c>
      <x:c r="F709" s="21" t="str">
        <x:v>Show approved obligation matrix, CMMC readiness report, SSP package, evidence package, subcontractor report, labor report, or audit log export when explicitly shared.</x:v>
      </x:c>
      <x:c r="G709" s="17" t="str">
        <x:v>Software implementation</x:v>
      </x:c>
      <x:c r="H709" s="17" t="str">
        <x:v>Planned</x:v>
      </x:c>
      <x:c r="I709" s="18" t="str">
        <x:v>Completed</x:v>
      </x:c>
      <x:c r="J709" s="17" t="str">
        <x:f>IF(OR(I709="Completed",I709="Not Applicable"),"No","Yes")</x:f>
        <x:v>No</x:v>
      </x:c>
      <x:c r="K709" s="17" t="str">
        <x:v>34.2 task 1</x:v>
      </x:c>
      <x:c r="L709" s="21" t="str">
        <x:v>Story-labeled commit a0fa13e1 contains delivery and focused test/test-result files: feat: implement story 34.2 approved package portal review</x:v>
      </x:c>
      <x:c r="M709" s="17" t="str">
        <x:v>Implementation commit + focused test artifacts</x:v>
      </x:c>
      <x:c r="N709" s="21" t="str">
        <x:v>git commit a0fa13e13a07a6b45ebd53a1cc8da7a477653a50; /Users/devups/Development/CodexProjects/Gccs/docs/development-story-test-cases.md</x:v>
      </x:c>
      <x:c r="O709" s="19" t="n">
        <x:v>46192.74741898148</x:v>
      </x:c>
      <x:c r="P709" s="21" t="str">
        <x:v>5 acceptance criteria; 5 TC references; implementation=yes; smoke=yes; automated=yes; Story-level regression template</x:v>
      </x:c>
      <x:c r="Q709" s="21" t="str"/>
      <x:c r="R709" s="21" t="str">
        <x:v>Retain traceability; rerun focused verification if the affected boundary changes.</x:v>
      </x:c>
      <x:c r="S709" s="18" t="str"/>
      <x:c r="T709" s="20"/>
      <x:c r="U709" s="21" t="str">
        <x:v>Completion is based on immutable repository evidence; tests were not rerun and current working-tree drift was not re-certified in this reporting-only task.</x:v>
      </x:c>
      <x:c r="V709" s="1"/>
    </x:row>
    <x:row r="710" ht="46" customHeight="1">
      <x:c r="A710" s="17" t="n">
        <x:v>706</x:v>
      </x:c>
      <x:c r="B710" s="17" t="str">
        <x:v>Phase 3</x:v>
      </x:c>
      <x:c r="C710" s="17" t="str">
        <x:v>34.2</x:v>
      </x:c>
      <x:c r="D710" s="21" t="str">
        <x:v>Approved Package Portal Review</x:v>
      </x:c>
      <x:c r="E710" s="17" t="n">
        <x:v>3</x:v>
      </x:c>
      <x:c r="F710" s="21" t="str">
        <x:v>Hide drafts, internal notes, prohibited data, unknown classification records, and unrelated tenant records.</x:v>
      </x:c>
      <x:c r="G710" s="17" t="str">
        <x:v>Software implementation</x:v>
      </x:c>
      <x:c r="H710" s="17" t="str">
        <x:v>Planned</x:v>
      </x:c>
      <x:c r="I710" s="18" t="str">
        <x:v>Completed</x:v>
      </x:c>
      <x:c r="J710" s="17" t="str">
        <x:f>IF(OR(I710="Completed",I710="Not Applicable"),"No","Yes")</x:f>
        <x:v>No</x:v>
      </x:c>
      <x:c r="K710" s="17" t="str">
        <x:v>34.2 task 2</x:v>
      </x:c>
      <x:c r="L710" s="21" t="str">
        <x:v>Story-labeled commit a0fa13e1 contains delivery and focused test/test-result files: feat: implement story 34.2 approved package portal review</x:v>
      </x:c>
      <x:c r="M710" s="17" t="str">
        <x:v>Implementation commit + focused test artifacts</x:v>
      </x:c>
      <x:c r="N710" s="21" t="str">
        <x:v>git commit a0fa13e13a07a6b45ebd53a1cc8da7a477653a50; /Users/devups/Development/CodexProjects/Gccs/docs/development-story-test-cases.md</x:v>
      </x:c>
      <x:c r="O710" s="19" t="n">
        <x:v>46192.74741898148</x:v>
      </x:c>
      <x:c r="P710" s="21" t="str">
        <x:v>5 acceptance criteria; 5 TC references; implementation=yes; smoke=yes; automated=yes; Story-level regression template</x:v>
      </x:c>
      <x:c r="Q710" s="21" t="str"/>
      <x:c r="R710" s="21" t="str">
        <x:v>Retain traceability; rerun focused verification if the affected boundary changes.</x:v>
      </x:c>
      <x:c r="S710" s="18" t="str"/>
      <x:c r="T710" s="20"/>
      <x:c r="U710" s="21" t="str">
        <x:v>Completion is based on immutable repository evidence; tests were not rerun and current working-tree drift was not re-certified in this reporting-only task.</x:v>
      </x:c>
      <x:c r="V710" s="1"/>
    </x:row>
    <x:row r="711" ht="46" customHeight="1">
      <x:c r="A711" s="17" t="n">
        <x:v>707</x:v>
      </x:c>
      <x:c r="B711" s="17" t="str">
        <x:v>Phase 3</x:v>
      </x:c>
      <x:c r="C711" s="17" t="str">
        <x:v>34.2</x:v>
      </x:c>
      <x:c r="D711" s="21" t="str">
        <x:v>Approved Package Portal Review</x:v>
      </x:c>
      <x:c r="E711" s="17" t="n">
        <x:v>4</x:v>
      </x:c>
      <x:c r="F711" s="21" t="str">
        <x:v>Add controlled reviewer questions or comments.</x:v>
      </x:c>
      <x:c r="G711" s="17" t="str">
        <x:v>Software implementation</x:v>
      </x:c>
      <x:c r="H711" s="17" t="str">
        <x:v>Planned</x:v>
      </x:c>
      <x:c r="I711" s="18" t="str">
        <x:v>Completed</x:v>
      </x:c>
      <x:c r="J711" s="17" t="str">
        <x:f>IF(OR(I711="Completed",I711="Not Applicable"),"No","Yes")</x:f>
        <x:v>No</x:v>
      </x:c>
      <x:c r="K711" s="17" t="str">
        <x:v>34.2 task 3</x:v>
      </x:c>
      <x:c r="L711" s="21" t="str">
        <x:v>Story-labeled commit a0fa13e1 contains delivery and focused test/test-result files: feat: implement story 34.2 approved package portal review</x:v>
      </x:c>
      <x:c r="M711" s="17" t="str">
        <x:v>Implementation commit + focused test artifacts</x:v>
      </x:c>
      <x:c r="N711" s="21" t="str">
        <x:v>git commit a0fa13e13a07a6b45ebd53a1cc8da7a477653a50; /Users/devups/Development/CodexProjects/Gccs/docs/development-story-test-cases.md</x:v>
      </x:c>
      <x:c r="O711" s="19" t="n">
        <x:v>46192.74741898148</x:v>
      </x:c>
      <x:c r="P711" s="21" t="str">
        <x:v>5 acceptance criteria; 5 TC references; implementation=yes; smoke=yes; automated=yes; Story-level regression template</x:v>
      </x:c>
      <x:c r="Q711" s="21" t="str"/>
      <x:c r="R711" s="21" t="str">
        <x:v>Retain traceability; rerun focused verification if the affected boundary changes.</x:v>
      </x:c>
      <x:c r="S711" s="18" t="str"/>
      <x:c r="T711" s="20"/>
      <x:c r="U711" s="21" t="str">
        <x:v>Completion is based on immutable repository evidence; tests were not rerun and current working-tree drift was not re-certified in this reporting-only task.</x:v>
      </x:c>
      <x:c r="V711" s="1"/>
    </x:row>
    <x:row r="712" ht="46" customHeight="1">
      <x:c r="A712" s="17" t="n">
        <x:v>708</x:v>
      </x:c>
      <x:c r="B712" s="17" t="str">
        <x:v>Phase 3</x:v>
      </x:c>
      <x:c r="C712" s="17" t="str">
        <x:v>34.2</x:v>
      </x:c>
      <x:c r="D712" s="21" t="str">
        <x:v>Approved Package Portal Review</x:v>
      </x:c>
      <x:c r="E712" s="17" t="n">
        <x:v>5</x:v>
      </x:c>
      <x:c r="F712" s="21" t="str">
        <x:v>Add download watermarking or export metadata when configured.</x:v>
      </x:c>
      <x:c r="G712" s="17" t="str">
        <x:v>Software implementation</x:v>
      </x:c>
      <x:c r="H712" s="17" t="str">
        <x:v>Planned</x:v>
      </x:c>
      <x:c r="I712" s="18" t="str">
        <x:v>Completed</x:v>
      </x:c>
      <x:c r="J712" s="17" t="str">
        <x:f>IF(OR(I712="Completed",I712="Not Applicable"),"No","Yes")</x:f>
        <x:v>No</x:v>
      </x:c>
      <x:c r="K712" s="17" t="str">
        <x:v>34.2 task 4</x:v>
      </x:c>
      <x:c r="L712" s="21" t="str">
        <x:v>Story-labeled commit a0fa13e1 contains delivery and focused test/test-result files: feat: implement story 34.2 approved package portal review</x:v>
      </x:c>
      <x:c r="M712" s="17" t="str">
        <x:v>Implementation commit + focused test artifacts</x:v>
      </x:c>
      <x:c r="N712" s="21" t="str">
        <x:v>git commit a0fa13e13a07a6b45ebd53a1cc8da7a477653a50; /Users/devups/Development/CodexProjects/Gccs/docs/development-story-test-cases.md</x:v>
      </x:c>
      <x:c r="O712" s="19" t="n">
        <x:v>46192.74741898148</x:v>
      </x:c>
      <x:c r="P712" s="21" t="str">
        <x:v>5 acceptance criteria; 5 TC references; implementation=yes; smoke=yes; automated=yes; Story-level regression template</x:v>
      </x:c>
      <x:c r="Q712" s="21" t="str"/>
      <x:c r="R712" s="21" t="str">
        <x:v>Retain traceability; rerun focused verification if the affected boundary changes.</x:v>
      </x:c>
      <x:c r="S712" s="18" t="str"/>
      <x:c r="T712" s="20"/>
      <x:c r="U712" s="21" t="str">
        <x:v>Completion is based on immutable repository evidence; tests were not rerun and current working-tree drift was not re-certified in this reporting-only task.</x:v>
      </x:c>
      <x:c r="V712" s="1"/>
    </x:row>
    <x:row r="713" ht="46" customHeight="1">
      <x:c r="A713" s="17" t="n">
        <x:v>709</x:v>
      </x:c>
      <x:c r="B713" s="17" t="str">
        <x:v>Phase 3</x:v>
      </x:c>
      <x:c r="C713" s="17" t="str">
        <x:v>34.3</x:v>
      </x:c>
      <x:c r="D713" s="21" t="str">
        <x:v>Portal Package Lifecycle And Revocation</x:v>
      </x:c>
      <x:c r="E713" s="17" t="n">
        <x:v>1</x:v>
      </x:c>
      <x:c r="F713" s="21" t="str">
        <x:v>Add shared package states for active, superseded, expired, revoked, and archived.</x:v>
      </x:c>
      <x:c r="G713" s="17" t="str">
        <x:v>Software implementation</x:v>
      </x:c>
      <x:c r="H713" s="17" t="str">
        <x:v>Planned</x:v>
      </x:c>
      <x:c r="I713" s="18" t="str">
        <x:v>Completed</x:v>
      </x:c>
      <x:c r="J713" s="17" t="str">
        <x:f>IF(OR(I713="Completed",I713="Not Applicable"),"No","Yes")</x:f>
        <x:v>No</x:v>
      </x:c>
      <x:c r="K713" s="17" t="str">
        <x:v>34.2</x:v>
      </x:c>
      <x:c r="L713" s="21" t="str">
        <x:v>Story-labeled commit 2c75bac4 contains delivery and focused test/test-result files: feat: implement story 34.3 portal package lifecycle</x:v>
      </x:c>
      <x:c r="M713" s="17" t="str">
        <x:v>Implementation commit + focused test artifacts</x:v>
      </x:c>
      <x:c r="N713" s="21" t="str">
        <x:v>git commit 2c75bac49ca454b1854b2ab51dd8293b483c1858; /Users/devups/Development/CodexProjects/Gccs/docs/development-story-test-cases.md</x:v>
      </x:c>
      <x:c r="O713" s="19" t="n">
        <x:v>46192.749710648146</x:v>
      </x:c>
      <x:c r="P713" s="21" t="str">
        <x:v>5 acceptance criteria; 5 TC references; implementation=yes; smoke=yes; automated=yes; Story-level regression template</x:v>
      </x:c>
      <x:c r="Q713" s="21" t="str"/>
      <x:c r="R713" s="21" t="str">
        <x:v>Retain traceability; rerun focused verification if the affected boundary changes.</x:v>
      </x:c>
      <x:c r="S713" s="18" t="str"/>
      <x:c r="T713" s="20"/>
      <x:c r="U713" s="21" t="str">
        <x:v>Completion is based on immutable repository evidence; tests were not rerun and current working-tree drift was not re-certified in this reporting-only task.</x:v>
      </x:c>
      <x:c r="V713" s="1"/>
    </x:row>
    <x:row r="714" ht="46" customHeight="1">
      <x:c r="A714" s="17" t="n">
        <x:v>710</x:v>
      </x:c>
      <x:c r="B714" s="17" t="str">
        <x:v>Phase 3</x:v>
      </x:c>
      <x:c r="C714" s="17" t="str">
        <x:v>34.3</x:v>
      </x:c>
      <x:c r="D714" s="21" t="str">
        <x:v>Portal Package Lifecycle And Revocation</x:v>
      </x:c>
      <x:c r="E714" s="17" t="n">
        <x:v>2</x:v>
      </x:c>
      <x:c r="F714" s="21" t="str">
        <x:v>Add expiration reminders and automatic expiration.</x:v>
      </x:c>
      <x:c r="G714" s="17" t="str">
        <x:v>Software implementation</x:v>
      </x:c>
      <x:c r="H714" s="17" t="str">
        <x:v>Planned</x:v>
      </x:c>
      <x:c r="I714" s="18" t="str">
        <x:v>Completed</x:v>
      </x:c>
      <x:c r="J714" s="17" t="str">
        <x:f>IF(OR(I714="Completed",I714="Not Applicable"),"No","Yes")</x:f>
        <x:v>No</x:v>
      </x:c>
      <x:c r="K714" s="17" t="str">
        <x:v>34.3 task 1</x:v>
      </x:c>
      <x:c r="L714" s="21" t="str">
        <x:v>Story-labeled commit 2c75bac4 contains delivery and focused test/test-result files: feat: implement story 34.3 portal package lifecycle</x:v>
      </x:c>
      <x:c r="M714" s="17" t="str">
        <x:v>Implementation commit + focused test artifacts</x:v>
      </x:c>
      <x:c r="N714" s="21" t="str">
        <x:v>git commit 2c75bac49ca454b1854b2ab51dd8293b483c1858; /Users/devups/Development/CodexProjects/Gccs/docs/development-story-test-cases.md</x:v>
      </x:c>
      <x:c r="O714" s="19" t="n">
        <x:v>46192.749710648146</x:v>
      </x:c>
      <x:c r="P714" s="21" t="str">
        <x:v>5 acceptance criteria; 5 TC references; implementation=yes; smoke=yes; automated=yes; Story-level regression template</x:v>
      </x:c>
      <x:c r="Q714" s="21" t="str"/>
      <x:c r="R714" s="21" t="str">
        <x:v>Retain traceability; rerun focused verification if the affected boundary changes.</x:v>
      </x:c>
      <x:c r="S714" s="18" t="str"/>
      <x:c r="T714" s="20"/>
      <x:c r="U714" s="21" t="str">
        <x:v>Completion is based on immutable repository evidence; tests were not rerun and current working-tree drift was not re-certified in this reporting-only task.</x:v>
      </x:c>
      <x:c r="V714" s="1"/>
    </x:row>
    <x:row r="715" ht="46" customHeight="1">
      <x:c r="A715" s="17" t="n">
        <x:v>711</x:v>
      </x:c>
      <x:c r="B715" s="17" t="str">
        <x:v>Phase 3</x:v>
      </x:c>
      <x:c r="C715" s="17" t="str">
        <x:v>34.3</x:v>
      </x:c>
      <x:c r="D715" s="21" t="str">
        <x:v>Portal Package Lifecycle And Revocation</x:v>
      </x:c>
      <x:c r="E715" s="17" t="n">
        <x:v>3</x:v>
      </x:c>
      <x:c r="F715" s="21" t="str">
        <x:v>Add reissue workflow that links new package version to superseded version.</x:v>
      </x:c>
      <x:c r="G715" s="17" t="str">
        <x:v>Software implementation</x:v>
      </x:c>
      <x:c r="H715" s="17" t="str">
        <x:v>Planned</x:v>
      </x:c>
      <x:c r="I715" s="18" t="str">
        <x:v>Completed</x:v>
      </x:c>
      <x:c r="J715" s="17" t="str">
        <x:f>IF(OR(I715="Completed",I715="Not Applicable"),"No","Yes")</x:f>
        <x:v>No</x:v>
      </x:c>
      <x:c r="K715" s="17" t="str">
        <x:v>34.3 task 2</x:v>
      </x:c>
      <x:c r="L715" s="21" t="str">
        <x:v>Story-labeled commit 2c75bac4 contains delivery and focused test/test-result files: feat: implement story 34.3 portal package lifecycle</x:v>
      </x:c>
      <x:c r="M715" s="17" t="str">
        <x:v>Implementation commit + focused test artifacts</x:v>
      </x:c>
      <x:c r="N715" s="21" t="str">
        <x:v>git commit 2c75bac49ca454b1854b2ab51dd8293b483c1858; /Users/devups/Development/CodexProjects/Gccs/docs/development-story-test-cases.md</x:v>
      </x:c>
      <x:c r="O715" s="19" t="n">
        <x:v>46192.749710648146</x:v>
      </x:c>
      <x:c r="P715" s="21" t="str">
        <x:v>5 acceptance criteria; 5 TC references; implementation=yes; smoke=yes; automated=yes; Story-level regression template</x:v>
      </x:c>
      <x:c r="Q715" s="21" t="str"/>
      <x:c r="R715" s="21" t="str">
        <x:v>Retain traceability; rerun focused verification if the affected boundary changes.</x:v>
      </x:c>
      <x:c r="S715" s="18" t="str"/>
      <x:c r="T715" s="20"/>
      <x:c r="U715" s="21" t="str">
        <x:v>Completion is based on immutable repository evidence; tests were not rerun and current working-tree drift was not re-certified in this reporting-only task.</x:v>
      </x:c>
      <x:c r="V715" s="1"/>
    </x:row>
    <x:row r="716" ht="46" customHeight="1">
      <x:c r="A716" s="17" t="n">
        <x:v>712</x:v>
      </x:c>
      <x:c r="B716" s="17" t="str">
        <x:v>Phase 3</x:v>
      </x:c>
      <x:c r="C716" s="17" t="str">
        <x:v>34.3</x:v>
      </x:c>
      <x:c r="D716" s="21" t="str">
        <x:v>Portal Package Lifecycle And Revocation</x:v>
      </x:c>
      <x:c r="E716" s="17" t="n">
        <x:v>4</x:v>
      </x:c>
      <x:c r="F716" s="21" t="str">
        <x:v>Add revocation reason and immediate access cutoff.</x:v>
      </x:c>
      <x:c r="G716" s="17" t="str">
        <x:v>Software implementation</x:v>
      </x:c>
      <x:c r="H716" s="17" t="str">
        <x:v>Planned</x:v>
      </x:c>
      <x:c r="I716" s="18" t="str">
        <x:v>Completed</x:v>
      </x:c>
      <x:c r="J716" s="17" t="str">
        <x:f>IF(OR(I716="Completed",I716="Not Applicable"),"No","Yes")</x:f>
        <x:v>No</x:v>
      </x:c>
      <x:c r="K716" s="17" t="str">
        <x:v>34.3 task 3</x:v>
      </x:c>
      <x:c r="L716" s="21" t="str">
        <x:v>Story-labeled commit 2c75bac4 contains delivery and focused test/test-result files: feat: implement story 34.3 portal package lifecycle</x:v>
      </x:c>
      <x:c r="M716" s="17" t="str">
        <x:v>Implementation commit + focused test artifacts</x:v>
      </x:c>
      <x:c r="N716" s="21" t="str">
        <x:v>git commit 2c75bac49ca454b1854b2ab51dd8293b483c1858; /Users/devups/Development/CodexProjects/Gccs/docs/development-story-test-cases.md</x:v>
      </x:c>
      <x:c r="O716" s="19" t="n">
        <x:v>46192.749710648146</x:v>
      </x:c>
      <x:c r="P716" s="21" t="str">
        <x:v>5 acceptance criteria; 5 TC references; implementation=yes; smoke=yes; automated=yes; Story-level regression template</x:v>
      </x:c>
      <x:c r="Q716" s="21" t="str"/>
      <x:c r="R716" s="21" t="str">
        <x:v>Retain traceability; rerun focused verification if the affected boundary changes.</x:v>
      </x:c>
      <x:c r="S716" s="18" t="str"/>
      <x:c r="T716" s="20"/>
      <x:c r="U716" s="21" t="str">
        <x:v>Completion is based on immutable repository evidence; tests were not rerun and current working-tree drift was not re-certified in this reporting-only task.</x:v>
      </x:c>
      <x:c r="V716" s="1"/>
    </x:row>
    <x:row r="717" ht="46" customHeight="1">
      <x:c r="A717" s="17" t="n">
        <x:v>713</x:v>
      </x:c>
      <x:c r="B717" s="17" t="str">
        <x:v>Phase 3</x:v>
      </x:c>
      <x:c r="C717" s="17" t="str">
        <x:v>34.3</x:v>
      </x:c>
      <x:c r="D717" s="21" t="str">
        <x:v>Portal Package Lifecycle And Revocation</x:v>
      </x:c>
      <x:c r="E717" s="17" t="n">
        <x:v>5</x:v>
      </x:c>
      <x:c r="F717" s="21" t="str">
        <x:v>Add portal activity report for tenant admins.</x:v>
      </x:c>
      <x:c r="G717" s="17" t="str">
        <x:v>Software implementation</x:v>
      </x:c>
      <x:c r="H717" s="17" t="str">
        <x:v>Planned</x:v>
      </x:c>
      <x:c r="I717" s="18" t="str">
        <x:v>Completed</x:v>
      </x:c>
      <x:c r="J717" s="17" t="str">
        <x:f>IF(OR(I717="Completed",I717="Not Applicable"),"No","Yes")</x:f>
        <x:v>No</x:v>
      </x:c>
      <x:c r="K717" s="17" t="str">
        <x:v>34.3 task 4</x:v>
      </x:c>
      <x:c r="L717" s="21" t="str">
        <x:v>Story-labeled commit 2c75bac4 contains delivery and focused test/test-result files: feat: implement story 34.3 portal package lifecycle</x:v>
      </x:c>
      <x:c r="M717" s="17" t="str">
        <x:v>Implementation commit + focused test artifacts</x:v>
      </x:c>
      <x:c r="N717" s="21" t="str">
        <x:v>git commit 2c75bac49ca454b1854b2ab51dd8293b483c1858; /Users/devups/Development/CodexProjects/Gccs/docs/development-story-test-cases.md</x:v>
      </x:c>
      <x:c r="O717" s="19" t="n">
        <x:v>46192.749710648146</x:v>
      </x:c>
      <x:c r="P717" s="21" t="str">
        <x:v>5 acceptance criteria; 5 TC references; implementation=yes; smoke=yes; automated=yes; Story-level regression template</x:v>
      </x:c>
      <x:c r="Q717" s="21" t="str"/>
      <x:c r="R717" s="21" t="str">
        <x:v>Retain traceability; rerun focused verification if the affected boundary changes.</x:v>
      </x:c>
      <x:c r="S717" s="18" t="str"/>
      <x:c r="T717" s="20"/>
      <x:c r="U717" s="21" t="str">
        <x:v>Completion is based on immutable repository evidence; tests were not rerun and current working-tree drift was not re-certified in this reporting-only task.</x:v>
      </x:c>
      <x:c r="V717" s="1"/>
    </x:row>
    <x:row r="718" ht="46" customHeight="1">
      <x:c r="A718" s="17" t="n">
        <x:v>714</x:v>
      </x:c>
      <x:c r="B718" s="17" t="str">
        <x:v>Phase 4</x:v>
      </x:c>
      <x:c r="C718" s="17" t="str">
        <x:v>35.1</x:v>
      </x:c>
      <x:c r="D718" s="21" t="str">
        <x:v>SAML Identity Provider Configuration</x:v>
      </x:c>
      <x:c r="E718" s="17" t="n">
        <x:v>1</x:v>
      </x:c>
      <x:c r="F718" s="21" t="str">
        <x:v>Add tenant SAML configuration fields for entity ID, SSO URL, certificate, signing requirement, name ID format, attribute mappings, status, and metadata URL.</x:v>
      </x:c>
      <x:c r="G718" s="17" t="str">
        <x:v>Software implementation</x:v>
      </x:c>
      <x:c r="H718" s="17" t="str">
        <x:v>Planned</x:v>
      </x:c>
      <x:c r="I718" s="18" t="str">
        <x:v>Completed</x:v>
      </x:c>
      <x:c r="J718" s="17" t="str">
        <x:f>IF(OR(I718="Completed",I718="Not Applicable"),"No","Yes")</x:f>
        <x:v>No</x:v>
      </x:c>
      <x:c r="K718" s="17" t="str"/>
      <x:c r="L718" s="21" t="str">
        <x:v>Story-labeled commit 21f43098 contains delivery and focused test/test-result files: feat: implement story 35.1 saml identity provider configuration</x:v>
      </x:c>
      <x:c r="M718" s="17" t="str">
        <x:v>Implementation commit + focused test artifacts</x:v>
      </x:c>
      <x:c r="N718" s="21" t="str">
        <x:v>git commit 21f430988ab6562151eb1f620d85e6d710c09cba; /Users/devups/Development/CodexProjects/Gccs/docs/development-story-test-cases.md</x:v>
      </x:c>
      <x:c r="O718" s="19" t="n">
        <x:v>46192.911261574074</x:v>
      </x:c>
      <x:c r="P718" s="21" t="str">
        <x:v>5 acceptance criteria; 5 TC references; implementation=yes; smoke=yes; automated=yes; Story-level regression template</x:v>
      </x:c>
      <x:c r="Q718" s="21" t="str"/>
      <x:c r="R718" s="21" t="str">
        <x:v>Retain traceability; rerun focused verification if the affected boundary changes.</x:v>
      </x:c>
      <x:c r="S718" s="18" t="str"/>
      <x:c r="T718" s="20"/>
      <x:c r="U718" s="21" t="str">
        <x:v>Completion is based on immutable repository evidence; tests were not rerun and current working-tree drift was not re-certified in this reporting-only task.</x:v>
      </x:c>
      <x:c r="V718" s="1"/>
    </x:row>
    <x:row r="719" ht="46" customHeight="1">
      <x:c r="A719" s="17" t="n">
        <x:v>715</x:v>
      </x:c>
      <x:c r="B719" s="17" t="str">
        <x:v>Phase 4</x:v>
      </x:c>
      <x:c r="C719" s="17" t="str">
        <x:v>35.1</x:v>
      </x:c>
      <x:c r="D719" s="21" t="str">
        <x:v>SAML Identity Provider Configuration</x:v>
      </x:c>
      <x:c r="E719" s="17" t="n">
        <x:v>2</x:v>
      </x:c>
      <x:c r="F719" s="21" t="str">
        <x:v>Add validation for required provider metadata, certificate expiration, duplicate entity IDs, and callback URL ownership.</x:v>
      </x:c>
      <x:c r="G719" s="17" t="str">
        <x:v>Software implementation</x:v>
      </x:c>
      <x:c r="H719" s="17" t="str">
        <x:v>Planned</x:v>
      </x:c>
      <x:c r="I719" s="18" t="str">
        <x:v>Completed</x:v>
      </x:c>
      <x:c r="J719" s="17" t="str">
        <x:f>IF(OR(I719="Completed",I719="Not Applicable"),"No","Yes")</x:f>
        <x:v>No</x:v>
      </x:c>
      <x:c r="K719" s="17" t="str">
        <x:v>35.1 task 1</x:v>
      </x:c>
      <x:c r="L719" s="21" t="str">
        <x:v>Story-labeled commit 21f43098 contains delivery and focused test/test-result files: feat: implement story 35.1 saml identity provider configuration</x:v>
      </x:c>
      <x:c r="M719" s="17" t="str">
        <x:v>Implementation commit + focused test artifacts</x:v>
      </x:c>
      <x:c r="N719" s="21" t="str">
        <x:v>git commit 21f430988ab6562151eb1f620d85e6d710c09cba; /Users/devups/Development/CodexProjects/Gccs/docs/development-story-test-cases.md</x:v>
      </x:c>
      <x:c r="O719" s="19" t="n">
        <x:v>46192.911261574074</x:v>
      </x:c>
      <x:c r="P719" s="21" t="str">
        <x:v>5 acceptance criteria; 5 TC references; implementation=yes; smoke=yes; automated=yes; Story-level regression template</x:v>
      </x:c>
      <x:c r="Q719" s="21" t="str"/>
      <x:c r="R719" s="21" t="str">
        <x:v>Retain traceability; rerun focused verification if the affected boundary changes.</x:v>
      </x:c>
      <x:c r="S719" s="18" t="str"/>
      <x:c r="T719" s="20"/>
      <x:c r="U719" s="21" t="str">
        <x:v>Completion is based on immutable repository evidence; tests were not rerun and current working-tree drift was not re-certified in this reporting-only task.</x:v>
      </x:c>
      <x:c r="V719" s="1"/>
    </x:row>
    <x:row r="720" ht="46" customHeight="1">
      <x:c r="A720" s="17" t="n">
        <x:v>716</x:v>
      </x:c>
      <x:c r="B720" s="17" t="str">
        <x:v>Phase 4</x:v>
      </x:c>
      <x:c r="C720" s="17" t="str">
        <x:v>35.1</x:v>
      </x:c>
      <x:c r="D720" s="21" t="str">
        <x:v>SAML Identity Provider Configuration</x:v>
      </x:c>
      <x:c r="E720" s="17" t="n">
        <x:v>3</x:v>
      </x:c>
      <x:c r="F720" s="21" t="str">
        <x:v>Add test connection workflow with success, warning, and failure results.</x:v>
      </x:c>
      <x:c r="G720" s="17" t="str">
        <x:v>Software implementation</x:v>
      </x:c>
      <x:c r="H720" s="17" t="str">
        <x:v>Planned</x:v>
      </x:c>
      <x:c r="I720" s="18" t="str">
        <x:v>Completed</x:v>
      </x:c>
      <x:c r="J720" s="17" t="str">
        <x:f>IF(OR(I720="Completed",I720="Not Applicable"),"No","Yes")</x:f>
        <x:v>No</x:v>
      </x:c>
      <x:c r="K720" s="17" t="str">
        <x:v>35.1 task 2</x:v>
      </x:c>
      <x:c r="L720" s="21" t="str">
        <x:v>Story-labeled commit 21f43098 contains delivery and focused test/test-result files: feat: implement story 35.1 saml identity provider configuration</x:v>
      </x:c>
      <x:c r="M720" s="17" t="str">
        <x:v>Implementation commit + focused test artifacts</x:v>
      </x:c>
      <x:c r="N720" s="21" t="str">
        <x:v>git commit 21f430988ab6562151eb1f620d85e6d710c09cba; /Users/devups/Development/CodexProjects/Gccs/docs/development-story-test-cases.md</x:v>
      </x:c>
      <x:c r="O720" s="19" t="n">
        <x:v>46192.911261574074</x:v>
      </x:c>
      <x:c r="P720" s="21" t="str">
        <x:v>5 acceptance criteria; 5 TC references; implementation=yes; smoke=yes; automated=yes; Story-level regression template</x:v>
      </x:c>
      <x:c r="Q720" s="21" t="str"/>
      <x:c r="R720" s="21" t="str">
        <x:v>Retain traceability; rerun focused verification if the affected boundary changes.</x:v>
      </x:c>
      <x:c r="S720" s="18" t="str"/>
      <x:c r="T720" s="20"/>
      <x:c r="U720" s="21" t="str">
        <x:v>Completion is based on immutable repository evidence; tests were not rerun and current working-tree drift was not re-certified in this reporting-only task.</x:v>
      </x:c>
      <x:c r="V720" s="1"/>
    </x:row>
    <x:row r="721" ht="46" customHeight="1">
      <x:c r="A721" s="17" t="n">
        <x:v>717</x:v>
      </x:c>
      <x:c r="B721" s="17" t="str">
        <x:v>Phase 4</x:v>
      </x:c>
      <x:c r="C721" s="17" t="str">
        <x:v>35.1</x:v>
      </x:c>
      <x:c r="D721" s="21" t="str">
        <x:v>SAML Identity Provider Configuration</x:v>
      </x:c>
      <x:c r="E721" s="17" t="n">
        <x:v>4</x:v>
      </x:c>
      <x:c r="F721" s="21" t="str">
        <x:v>Add tenant admin controls for draft, enabled, disabled, rotated, and archived SAML configurations.</x:v>
      </x:c>
      <x:c r="G721" s="17" t="str">
        <x:v>Software implementation</x:v>
      </x:c>
      <x:c r="H721" s="17" t="str">
        <x:v>Planned</x:v>
      </x:c>
      <x:c r="I721" s="18" t="str">
        <x:v>Completed</x:v>
      </x:c>
      <x:c r="J721" s="17" t="str">
        <x:f>IF(OR(I721="Completed",I721="Not Applicable"),"No","Yes")</x:f>
        <x:v>No</x:v>
      </x:c>
      <x:c r="K721" s="17" t="str">
        <x:v>35.1 task 3</x:v>
      </x:c>
      <x:c r="L721" s="21" t="str">
        <x:v>Story-labeled commit 21f43098 contains delivery and focused test/test-result files: feat: implement story 35.1 saml identity provider configuration</x:v>
      </x:c>
      <x:c r="M721" s="17" t="str">
        <x:v>Implementation commit + focused test artifacts</x:v>
      </x:c>
      <x:c r="N721" s="21" t="str">
        <x:v>git commit 21f430988ab6562151eb1f620d85e6d710c09cba; /Users/devups/Development/CodexProjects/Gccs/docs/development-story-test-cases.md</x:v>
      </x:c>
      <x:c r="O721" s="19" t="n">
        <x:v>46192.911261574074</x:v>
      </x:c>
      <x:c r="P721" s="21" t="str">
        <x:v>5 acceptance criteria; 5 TC references; implementation=yes; smoke=yes; automated=yes; Story-level regression template</x:v>
      </x:c>
      <x:c r="Q721" s="21" t="str"/>
      <x:c r="R721" s="21" t="str">
        <x:v>Retain traceability; rerun focused verification if the affected boundary changes.</x:v>
      </x:c>
      <x:c r="S721" s="18" t="str"/>
      <x:c r="T721" s="20"/>
      <x:c r="U721" s="21" t="str">
        <x:v>Completion is based on immutable repository evidence; tests were not rerun and current working-tree drift was not re-certified in this reporting-only task.</x:v>
      </x:c>
      <x:c r="V721" s="1"/>
    </x:row>
    <x:row r="722" ht="46" customHeight="1">
      <x:c r="A722" s="17" t="n">
        <x:v>718</x:v>
      </x:c>
      <x:c r="B722" s="17" t="str">
        <x:v>Phase 4</x:v>
      </x:c>
      <x:c r="C722" s="17" t="str">
        <x:v>35.1</x:v>
      </x:c>
      <x:c r="D722" s="21" t="str">
        <x:v>SAML Identity Provider Configuration</x:v>
      </x:c>
      <x:c r="E722" s="17" t="n">
        <x:v>5</x:v>
      </x:c>
      <x:c r="F722" s="21" t="str">
        <x:v>Add audit logging for SAML configuration create, update, enable, disable, test, and certificate rotation actions.</x:v>
      </x:c>
      <x:c r="G722" s="17" t="str">
        <x:v>Software implementation</x:v>
      </x:c>
      <x:c r="H722" s="17" t="str">
        <x:v>Planned</x:v>
      </x:c>
      <x:c r="I722" s="18" t="str">
        <x:v>Completed</x:v>
      </x:c>
      <x:c r="J722" s="17" t="str">
        <x:f>IF(OR(I722="Completed",I722="Not Applicable"),"No","Yes")</x:f>
        <x:v>No</x:v>
      </x:c>
      <x:c r="K722" s="17" t="str">
        <x:v>35.1 task 4</x:v>
      </x:c>
      <x:c r="L722" s="21" t="str">
        <x:v>Story-labeled commit 21f43098 contains delivery and focused test/test-result files: feat: implement story 35.1 saml identity provider configuration</x:v>
      </x:c>
      <x:c r="M722" s="17" t="str">
        <x:v>Implementation commit + focused test artifacts</x:v>
      </x:c>
      <x:c r="N722" s="21" t="str">
        <x:v>git commit 21f430988ab6562151eb1f620d85e6d710c09cba; /Users/devups/Development/CodexProjects/Gccs/docs/development-story-test-cases.md</x:v>
      </x:c>
      <x:c r="O722" s="19" t="n">
        <x:v>46192.911261574074</x:v>
      </x:c>
      <x:c r="P722" s="21" t="str">
        <x:v>5 acceptance criteria; 5 TC references; implementation=yes; smoke=yes; automated=yes; Story-level regression template</x:v>
      </x:c>
      <x:c r="Q722" s="21" t="str"/>
      <x:c r="R722" s="21" t="str">
        <x:v>Retain traceability; rerun focused verification if the affected boundary changes.</x:v>
      </x:c>
      <x:c r="S722" s="18" t="str"/>
      <x:c r="T722" s="20"/>
      <x:c r="U722" s="21" t="str">
        <x:v>Completion is based on immutable repository evidence; tests were not rerun and current working-tree drift was not re-certified in this reporting-only task.</x:v>
      </x:c>
      <x:c r="V722" s="1"/>
    </x:row>
    <x:row r="723" ht="46" customHeight="1">
      <x:c r="A723" s="17" t="n">
        <x:v>719</x:v>
      </x:c>
      <x:c r="B723" s="17" t="str">
        <x:v>Phase 4</x:v>
      </x:c>
      <x:c r="C723" s="17" t="str">
        <x:v>35.2</x:v>
      </x:c>
      <x:c r="D723" s="21" t="str">
        <x:v>SSO Sign-In Enforcement And Account Linking</x:v>
      </x:c>
      <x:c r="E723" s="17" t="n">
        <x:v>1</x:v>
      </x:c>
      <x:c r="F723" s="21" t="str">
        <x:v>Add tenant SSO enforcement modes for optional, required_for_members, required_for_all_except_break_glass, and disabled.</x:v>
      </x:c>
      <x:c r="G723" s="17" t="str">
        <x:v>Software implementation</x:v>
      </x:c>
      <x:c r="H723" s="17" t="str">
        <x:v>Planned</x:v>
      </x:c>
      <x:c r="I723" s="18" t="str">
        <x:v>Completed</x:v>
      </x:c>
      <x:c r="J723" s="17" t="str">
        <x:f>IF(OR(I723="Completed",I723="Not Applicable"),"No","Yes")</x:f>
        <x:v>No</x:v>
      </x:c>
      <x:c r="K723" s="17" t="str">
        <x:v>35.1</x:v>
      </x:c>
      <x:c r="L723" s="21" t="str">
        <x:v>Story-labeled commit a5678358 contains delivery and focused test/test-result files: feat: implement story 35.2 sso sign-in enforcement</x:v>
      </x:c>
      <x:c r="M723" s="17" t="str">
        <x:v>Implementation commit + focused test artifacts</x:v>
      </x:c>
      <x:c r="N723" s="21" t="str">
        <x:v>git commit a5678358c38b4f8c8006cd530283a7dd92b8d1b2; /Users/devups/Development/CodexProjects/Gccs/docs/development-story-test-cases.md</x:v>
      </x:c>
      <x:c r="O723" s="19" t="n">
        <x:v>46192.9174537037</x:v>
      </x:c>
      <x:c r="P723" s="21" t="str">
        <x:v>5 acceptance criteria; 5 TC references; implementation=yes; smoke=yes; automated=yes; Story-level regression template</x:v>
      </x:c>
      <x:c r="Q723" s="21" t="str"/>
      <x:c r="R723" s="21" t="str">
        <x:v>Retain traceability; rerun focused verification if the affected boundary changes.</x:v>
      </x:c>
      <x:c r="S723" s="18" t="str"/>
      <x:c r="T723" s="20"/>
      <x:c r="U723" s="21" t="str">
        <x:v>Completion is based on immutable repository evidence; tests were not rerun and current working-tree drift was not re-certified in this reporting-only task.</x:v>
      </x:c>
      <x:c r="V723" s="1"/>
    </x:row>
    <x:row r="724" ht="46" customHeight="1">
      <x:c r="A724" s="17" t="n">
        <x:v>720</x:v>
      </x:c>
      <x:c r="B724" s="17" t="str">
        <x:v>Phase 4</x:v>
      </x:c>
      <x:c r="C724" s="17" t="str">
        <x:v>35.2</x:v>
      </x:c>
      <x:c r="D724" s="21" t="str">
        <x:v>SSO Sign-In Enforcement And Account Linking</x:v>
      </x:c>
      <x:c r="E724" s="17" t="n">
        <x:v>2</x:v>
      </x:c>
      <x:c r="F724" s="21" t="str">
        <x:v>Add account linking from SAML subject and mapped email to existing tenant membership.</x:v>
      </x:c>
      <x:c r="G724" s="17" t="str">
        <x:v>Software implementation</x:v>
      </x:c>
      <x:c r="H724" s="17" t="str">
        <x:v>Planned</x:v>
      </x:c>
      <x:c r="I724" s="18" t="str">
        <x:v>Completed</x:v>
      </x:c>
      <x:c r="J724" s="17" t="str">
        <x:f>IF(OR(I724="Completed",I724="Not Applicable"),"No","Yes")</x:f>
        <x:v>No</x:v>
      </x:c>
      <x:c r="K724" s="17" t="str">
        <x:v>35.2 task 1</x:v>
      </x:c>
      <x:c r="L724" s="21" t="str">
        <x:v>Story-labeled commit a5678358 contains delivery and focused test/test-result files: feat: implement story 35.2 sso sign-in enforcement</x:v>
      </x:c>
      <x:c r="M724" s="17" t="str">
        <x:v>Implementation commit + focused test artifacts</x:v>
      </x:c>
      <x:c r="N724" s="21" t="str">
        <x:v>git commit a5678358c38b4f8c8006cd530283a7dd92b8d1b2; /Users/devups/Development/CodexProjects/Gccs/docs/development-story-test-cases.md</x:v>
      </x:c>
      <x:c r="O724" s="19" t="n">
        <x:v>46192.9174537037</x:v>
      </x:c>
      <x:c r="P724" s="21" t="str">
        <x:v>5 acceptance criteria; 5 TC references; implementation=yes; smoke=yes; automated=yes; Story-level regression template</x:v>
      </x:c>
      <x:c r="Q724" s="21" t="str"/>
      <x:c r="R724" s="21" t="str">
        <x:v>Retain traceability; rerun focused verification if the affected boundary changes.</x:v>
      </x:c>
      <x:c r="S724" s="18" t="str"/>
      <x:c r="T724" s="20"/>
      <x:c r="U724" s="21" t="str">
        <x:v>Completion is based on immutable repository evidence; tests were not rerun and current working-tree drift was not re-certified in this reporting-only task.</x:v>
      </x:c>
      <x:c r="V724" s="1"/>
    </x:row>
    <x:row r="725" ht="46" customHeight="1">
      <x:c r="A725" s="17" t="n">
        <x:v>721</x:v>
      </x:c>
      <x:c r="B725" s="17" t="str">
        <x:v>Phase 4</x:v>
      </x:c>
      <x:c r="C725" s="17" t="str">
        <x:v>35.2</x:v>
      </x:c>
      <x:c r="D725" s="21" t="str">
        <x:v>SSO Sign-In Enforcement And Account Linking</x:v>
      </x:c>
      <x:c r="E725" s="17" t="n">
        <x:v>3</x:v>
      </x:c>
      <x:c r="F725" s="21" t="str">
        <x:v>Add break-glass admin account controls with expiration, reason, approval, and audit trail.</x:v>
      </x:c>
      <x:c r="G725" s="17" t="str">
        <x:v>Software implementation</x:v>
      </x:c>
      <x:c r="H725" s="17" t="str">
        <x:v>Planned</x:v>
      </x:c>
      <x:c r="I725" s="18" t="str">
        <x:v>Completed</x:v>
      </x:c>
      <x:c r="J725" s="17" t="str">
        <x:f>IF(OR(I725="Completed",I725="Not Applicable"),"No","Yes")</x:f>
        <x:v>No</x:v>
      </x:c>
      <x:c r="K725" s="17" t="str">
        <x:v>35.2 task 2</x:v>
      </x:c>
      <x:c r="L725" s="21" t="str">
        <x:v>Story-labeled commit a5678358 contains delivery and focused test/test-result files: feat: implement story 35.2 sso sign-in enforcement</x:v>
      </x:c>
      <x:c r="M725" s="17" t="str">
        <x:v>Implementation commit + focused test artifacts</x:v>
      </x:c>
      <x:c r="N725" s="21" t="str">
        <x:v>git commit a5678358c38b4f8c8006cd530283a7dd92b8d1b2; /Users/devups/Development/CodexProjects/Gccs/docs/development-story-test-cases.md</x:v>
      </x:c>
      <x:c r="O725" s="19" t="n">
        <x:v>46192.9174537037</x:v>
      </x:c>
      <x:c r="P725" s="21" t="str">
        <x:v>5 acceptance criteria; 5 TC references; implementation=yes; smoke=yes; automated=yes; Story-level regression template</x:v>
      </x:c>
      <x:c r="Q725" s="21" t="str"/>
      <x:c r="R725" s="21" t="str">
        <x:v>Retain traceability; rerun focused verification if the affected boundary changes.</x:v>
      </x:c>
      <x:c r="S725" s="18" t="str"/>
      <x:c r="T725" s="20"/>
      <x:c r="U725" s="21" t="str">
        <x:v>Completion is based on immutable repository evidence; tests were not rerun and current working-tree drift was not re-certified in this reporting-only task.</x:v>
      </x:c>
      <x:c r="V725" s="1"/>
    </x:row>
    <x:row r="726" ht="46" customHeight="1">
      <x:c r="A726" s="17" t="n">
        <x:v>722</x:v>
      </x:c>
      <x:c r="B726" s="17" t="str">
        <x:v>Phase 4</x:v>
      </x:c>
      <x:c r="C726" s="17" t="str">
        <x:v>35.2</x:v>
      </x:c>
      <x:c r="D726" s="21" t="str">
        <x:v>SSO Sign-In Enforcement And Account Linking</x:v>
      </x:c>
      <x:c r="E726" s="17" t="n">
        <x:v>4</x:v>
      </x:c>
      <x:c r="F726" s="21" t="str">
        <x:v>Add sign-in failure handling for unmapped users, inactive members, missing required attributes, and disabled tenant access.</x:v>
      </x:c>
      <x:c r="G726" s="17" t="str">
        <x:v>Software implementation</x:v>
      </x:c>
      <x:c r="H726" s="17" t="str">
        <x:v>Planned</x:v>
      </x:c>
      <x:c r="I726" s="18" t="str">
        <x:v>Completed</x:v>
      </x:c>
      <x:c r="J726" s="17" t="str">
        <x:f>IF(OR(I726="Completed",I726="Not Applicable"),"No","Yes")</x:f>
        <x:v>No</x:v>
      </x:c>
      <x:c r="K726" s="17" t="str">
        <x:v>35.2 task 3</x:v>
      </x:c>
      <x:c r="L726" s="21" t="str">
        <x:v>Story-labeled commit a5678358 contains delivery and focused test/test-result files: feat: implement story 35.2 sso sign-in enforcement</x:v>
      </x:c>
      <x:c r="M726" s="17" t="str">
        <x:v>Implementation commit + focused test artifacts</x:v>
      </x:c>
      <x:c r="N726" s="21" t="str">
        <x:v>git commit a5678358c38b4f8c8006cd530283a7dd92b8d1b2; /Users/devups/Development/CodexProjects/Gccs/docs/development-story-test-cases.md</x:v>
      </x:c>
      <x:c r="O726" s="19" t="n">
        <x:v>46192.9174537037</x:v>
      </x:c>
      <x:c r="P726" s="21" t="str">
        <x:v>5 acceptance criteria; 5 TC references; implementation=yes; smoke=yes; automated=yes; Story-level regression template</x:v>
      </x:c>
      <x:c r="Q726" s="21" t="str"/>
      <x:c r="R726" s="21" t="str">
        <x:v>Retain traceability; rerun focused verification if the affected boundary changes.</x:v>
      </x:c>
      <x:c r="S726" s="18" t="str"/>
      <x:c r="T726" s="20"/>
      <x:c r="U726" s="21" t="str">
        <x:v>Completion is based on immutable repository evidence; tests were not rerun and current working-tree drift was not re-certified in this reporting-only task.</x:v>
      </x:c>
      <x:c r="V726" s="1"/>
    </x:row>
    <x:row r="727" ht="46" customHeight="1">
      <x:c r="A727" s="17" t="n">
        <x:v>723</x:v>
      </x:c>
      <x:c r="B727" s="17" t="str">
        <x:v>Phase 4</x:v>
      </x:c>
      <x:c r="C727" s="17" t="str">
        <x:v>35.2</x:v>
      </x:c>
      <x:c r="D727" s="21" t="str">
        <x:v>SSO Sign-In Enforcement And Account Linking</x:v>
      </x:c>
      <x:c r="E727" s="17" t="n">
        <x:v>5</x:v>
      </x:c>
      <x:c r="F727" s="21" t="str">
        <x:v>Add UI messaging for SSO-required tenants without exposing provider secrets.</x:v>
      </x:c>
      <x:c r="G727" s="17" t="str">
        <x:v>Software implementation</x:v>
      </x:c>
      <x:c r="H727" s="17" t="str">
        <x:v>Planned</x:v>
      </x:c>
      <x:c r="I727" s="18" t="str">
        <x:v>Completed</x:v>
      </x:c>
      <x:c r="J727" s="17" t="str">
        <x:f>IF(OR(I727="Completed",I727="Not Applicable"),"No","Yes")</x:f>
        <x:v>No</x:v>
      </x:c>
      <x:c r="K727" s="17" t="str">
        <x:v>35.2 task 4</x:v>
      </x:c>
      <x:c r="L727" s="21" t="str">
        <x:v>Story-labeled commit a5678358 contains delivery and focused test/test-result files: feat: implement story 35.2 sso sign-in enforcement</x:v>
      </x:c>
      <x:c r="M727" s="17" t="str">
        <x:v>Implementation commit + focused test artifacts</x:v>
      </x:c>
      <x:c r="N727" s="21" t="str">
        <x:v>git commit a5678358c38b4f8c8006cd530283a7dd92b8d1b2; /Users/devups/Development/CodexProjects/Gccs/docs/development-story-test-cases.md</x:v>
      </x:c>
      <x:c r="O727" s="19" t="n">
        <x:v>46192.9174537037</x:v>
      </x:c>
      <x:c r="P727" s="21" t="str">
        <x:v>5 acceptance criteria; 5 TC references; implementation=yes; smoke=yes; automated=yes; Story-level regression template</x:v>
      </x:c>
      <x:c r="Q727" s="21" t="str"/>
      <x:c r="R727" s="21" t="str">
        <x:v>Retain traceability; rerun focused verification if the affected boundary changes.</x:v>
      </x:c>
      <x:c r="S727" s="18" t="str"/>
      <x:c r="T727" s="20"/>
      <x:c r="U727" s="21" t="str">
        <x:v>Completion is based on immutable repository evidence; tests were not rerun and current working-tree drift was not re-certified in this reporting-only task.</x:v>
      </x:c>
      <x:c r="V727" s="1"/>
    </x:row>
    <x:row r="728" ht="46" customHeight="1">
      <x:c r="A728" s="17" t="n">
        <x:v>724</x:v>
      </x:c>
      <x:c r="B728" s="17" t="str">
        <x:v>Phase 4</x:v>
      </x:c>
      <x:c r="C728" s="17" t="str">
        <x:v>35.3</x:v>
      </x:c>
      <x:c r="D728" s="21" t="str">
        <x:v>SCIM User And Group Provisioning</x:v>
      </x:c>
      <x:c r="E728" s="17" t="n">
        <x:v>1</x:v>
      </x:c>
      <x:c r="F728" s="21" t="str">
        <x:v>Add tenant SCIM endpoint, bearer token lifecycle, status, last sync time, and provisioning settings.</x:v>
      </x:c>
      <x:c r="G728" s="17" t="str">
        <x:v>Software implementation</x:v>
      </x:c>
      <x:c r="H728" s="17" t="str">
        <x:v>Planned</x:v>
      </x:c>
      <x:c r="I728" s="18" t="str">
        <x:v>Completed</x:v>
      </x:c>
      <x:c r="J728" s="17" t="str">
        <x:f>IF(OR(I728="Completed",I728="Not Applicable"),"No","Yes")</x:f>
        <x:v>No</x:v>
      </x:c>
      <x:c r="K728" s="17" t="str">
        <x:v>35.2</x:v>
      </x:c>
      <x:c r="L728" s="21" t="str">
        <x:v>Story-labeled commit 903c56e0 contains delivery and focused test/test-result files: feat: implement story 35.3 scim provisioning</x:v>
      </x:c>
      <x:c r="M728" s="17" t="str">
        <x:v>Implementation commit + focused test artifacts</x:v>
      </x:c>
      <x:c r="N728" s="21" t="str">
        <x:v>git commit 903c56e04e11325022a2684f8436972f40a01841; /Users/devups/Development/CodexProjects/Gccs/docs/development-story-test-cases.md</x:v>
      </x:c>
      <x:c r="O728" s="19" t="n">
        <x:v>46192.92236111111</x:v>
      </x:c>
      <x:c r="P728" s="21" t="str">
        <x:v>5 acceptance criteria; 5 TC references; implementation=yes; smoke=yes; automated=yes; Story-level regression template</x:v>
      </x:c>
      <x:c r="Q728" s="21" t="str"/>
      <x:c r="R728" s="21" t="str">
        <x:v>Retain traceability; rerun focused verification if the affected boundary changes.</x:v>
      </x:c>
      <x:c r="S728" s="18" t="str"/>
      <x:c r="T728" s="20"/>
      <x:c r="U728" s="21" t="str">
        <x:v>Completion is based on immutable repository evidence; tests were not rerun and current working-tree drift was not re-certified in this reporting-only task.</x:v>
      </x:c>
      <x:c r="V728" s="1"/>
    </x:row>
    <x:row r="729" ht="46" customHeight="1">
      <x:c r="A729" s="17" t="n">
        <x:v>725</x:v>
      </x:c>
      <x:c r="B729" s="17" t="str">
        <x:v>Phase 4</x:v>
      </x:c>
      <x:c r="C729" s="17" t="str">
        <x:v>35.3</x:v>
      </x:c>
      <x:c r="D729" s="21" t="str">
        <x:v>SCIM User And Group Provisioning</x:v>
      </x:c>
      <x:c r="E729" s="17" t="n">
        <x:v>2</x:v>
      </x:c>
      <x:c r="F729" s="21" t="str">
        <x:v>Implement SCIM create, update, deactivate, reactivate, group assign, and group remove workflows with tenant scoping.</x:v>
      </x:c>
      <x:c r="G729" s="17" t="str">
        <x:v>Software implementation</x:v>
      </x:c>
      <x:c r="H729" s="17" t="str">
        <x:v>Planned</x:v>
      </x:c>
      <x:c r="I729" s="18" t="str">
        <x:v>Completed</x:v>
      </x:c>
      <x:c r="J729" s="17" t="str">
        <x:f>IF(OR(I729="Completed",I729="Not Applicable"),"No","Yes")</x:f>
        <x:v>No</x:v>
      </x:c>
      <x:c r="K729" s="17" t="str">
        <x:v>35.3 task 1</x:v>
      </x:c>
      <x:c r="L729" s="21" t="str">
        <x:v>Story-labeled commit 903c56e0 contains delivery and focused test/test-result files: feat: implement story 35.3 scim provisioning</x:v>
      </x:c>
      <x:c r="M729" s="17" t="str">
        <x:v>Implementation commit + focused test artifacts</x:v>
      </x:c>
      <x:c r="N729" s="21" t="str">
        <x:v>git commit 903c56e04e11325022a2684f8436972f40a01841; /Users/devups/Development/CodexProjects/Gccs/docs/development-story-test-cases.md</x:v>
      </x:c>
      <x:c r="O729" s="19" t="n">
        <x:v>46192.92236111111</x:v>
      </x:c>
      <x:c r="P729" s="21" t="str">
        <x:v>5 acceptance criteria; 5 TC references; implementation=yes; smoke=yes; automated=yes; Story-level regression template</x:v>
      </x:c>
      <x:c r="Q729" s="21" t="str"/>
      <x:c r="R729" s="21" t="str">
        <x:v>Retain traceability; rerun focused verification if the affected boundary changes.</x:v>
      </x:c>
      <x:c r="S729" s="18" t="str"/>
      <x:c r="T729" s="20"/>
      <x:c r="U729" s="21" t="str">
        <x:v>Completion is based on immutable repository evidence; tests were not rerun and current working-tree drift was not re-certified in this reporting-only task.</x:v>
      </x:c>
      <x:c r="V729" s="1"/>
    </x:row>
    <x:row r="730" ht="46" customHeight="1">
      <x:c r="A730" s="17" t="n">
        <x:v>726</x:v>
      </x:c>
      <x:c r="B730" s="17" t="str">
        <x:v>Phase 4</x:v>
      </x:c>
      <x:c r="C730" s="17" t="str">
        <x:v>35.3</x:v>
      </x:c>
      <x:c r="D730" s="21" t="str">
        <x:v>SCIM User And Group Provisioning</x:v>
      </x:c>
      <x:c r="E730" s="17" t="n">
        <x:v>3</x:v>
      </x:c>
      <x:c r="F730" s="21" t="str">
        <x:v>Map SCIM groups to GCCS roles with validation and conflict handling.</x:v>
      </x:c>
      <x:c r="G730" s="17" t="str">
        <x:v>Software implementation</x:v>
      </x:c>
      <x:c r="H730" s="17" t="str">
        <x:v>Planned</x:v>
      </x:c>
      <x:c r="I730" s="18" t="str">
        <x:v>Completed</x:v>
      </x:c>
      <x:c r="J730" s="17" t="str">
        <x:f>IF(OR(I730="Completed",I730="Not Applicable"),"No","Yes")</x:f>
        <x:v>No</x:v>
      </x:c>
      <x:c r="K730" s="17" t="str">
        <x:v>35.3 task 2</x:v>
      </x:c>
      <x:c r="L730" s="21" t="str">
        <x:v>Story-labeled commit 903c56e0 contains delivery and focused test/test-result files: feat: implement story 35.3 scim provisioning</x:v>
      </x:c>
      <x:c r="M730" s="17" t="str">
        <x:v>Implementation commit + focused test artifacts</x:v>
      </x:c>
      <x:c r="N730" s="21" t="str">
        <x:v>git commit 903c56e04e11325022a2684f8436972f40a01841; /Users/devups/Development/CodexProjects/Gccs/docs/development-story-test-cases.md</x:v>
      </x:c>
      <x:c r="O730" s="19" t="n">
        <x:v>46192.92236111111</x:v>
      </x:c>
      <x:c r="P730" s="21" t="str">
        <x:v>5 acceptance criteria; 5 TC references; implementation=yes; smoke=yes; automated=yes; Story-level regression template</x:v>
      </x:c>
      <x:c r="Q730" s="21" t="str"/>
      <x:c r="R730" s="21" t="str">
        <x:v>Retain traceability; rerun focused verification if the affected boundary changes.</x:v>
      </x:c>
      <x:c r="S730" s="18" t="str"/>
      <x:c r="T730" s="20"/>
      <x:c r="U730" s="21" t="str">
        <x:v>Completion is based on immutable repository evidence; tests were not rerun and current working-tree drift was not re-certified in this reporting-only task.</x:v>
      </x:c>
      <x:c r="V730" s="1"/>
    </x:row>
    <x:row r="731" ht="46" customHeight="1">
      <x:c r="A731" s="17" t="n">
        <x:v>727</x:v>
      </x:c>
      <x:c r="B731" s="17" t="str">
        <x:v>Phase 4</x:v>
      </x:c>
      <x:c r="C731" s="17" t="str">
        <x:v>35.3</x:v>
      </x:c>
      <x:c r="D731" s="21" t="str">
        <x:v>SCIM User And Group Provisioning</x:v>
      </x:c>
      <x:c r="E731" s="17" t="n">
        <x:v>4</x:v>
      </x:c>
      <x:c r="F731" s="21" t="str">
        <x:v>Add provisioning logs for successful, failed, skipped, and conflict events.</x:v>
      </x:c>
      <x:c r="G731" s="17" t="str">
        <x:v>Software implementation</x:v>
      </x:c>
      <x:c r="H731" s="17" t="str">
        <x:v>Planned</x:v>
      </x:c>
      <x:c r="I731" s="18" t="str">
        <x:v>Completed</x:v>
      </x:c>
      <x:c r="J731" s="17" t="str">
        <x:f>IF(OR(I731="Completed",I731="Not Applicable"),"No","Yes")</x:f>
        <x:v>No</x:v>
      </x:c>
      <x:c r="K731" s="17" t="str">
        <x:v>35.3 task 3</x:v>
      </x:c>
      <x:c r="L731" s="21" t="str">
        <x:v>Story-labeled commit 903c56e0 contains delivery and focused test/test-result files: feat: implement story 35.3 scim provisioning</x:v>
      </x:c>
      <x:c r="M731" s="17" t="str">
        <x:v>Implementation commit + focused test artifacts</x:v>
      </x:c>
      <x:c r="N731" s="21" t="str">
        <x:v>git commit 903c56e04e11325022a2684f8436972f40a01841; /Users/devups/Development/CodexProjects/Gccs/docs/development-story-test-cases.md</x:v>
      </x:c>
      <x:c r="O731" s="19" t="n">
        <x:v>46192.92236111111</x:v>
      </x:c>
      <x:c r="P731" s="21" t="str">
        <x:v>5 acceptance criteria; 5 TC references; implementation=yes; smoke=yes; automated=yes; Story-level regression template</x:v>
      </x:c>
      <x:c r="Q731" s="21" t="str"/>
      <x:c r="R731" s="21" t="str">
        <x:v>Retain traceability; rerun focused verification if the affected boundary changes.</x:v>
      </x:c>
      <x:c r="S731" s="18" t="str"/>
      <x:c r="T731" s="20"/>
      <x:c r="U731" s="21" t="str">
        <x:v>Completion is based on immutable repository evidence; tests were not rerun and current working-tree drift was not re-certified in this reporting-only task.</x:v>
      </x:c>
      <x:c r="V731" s="1"/>
    </x:row>
    <x:row r="732" ht="46" customHeight="1">
      <x:c r="A732" s="17" t="n">
        <x:v>728</x:v>
      </x:c>
      <x:c r="B732" s="17" t="str">
        <x:v>Phase 4</x:v>
      </x:c>
      <x:c r="C732" s="17" t="str">
        <x:v>35.3</x:v>
      </x:c>
      <x:c r="D732" s="21" t="str">
        <x:v>SCIM User And Group Provisioning</x:v>
      </x:c>
      <x:c r="E732" s="17" t="n">
        <x:v>5</x:v>
      </x:c>
      <x:c r="F732" s="21" t="str">
        <x:v>Add rate limiting, token rotation, and token revocation controls.</x:v>
      </x:c>
      <x:c r="G732" s="17" t="str">
        <x:v>Software implementation</x:v>
      </x:c>
      <x:c r="H732" s="17" t="str">
        <x:v>Planned</x:v>
      </x:c>
      <x:c r="I732" s="18" t="str">
        <x:v>Completed</x:v>
      </x:c>
      <x:c r="J732" s="17" t="str">
        <x:f>IF(OR(I732="Completed",I732="Not Applicable"),"No","Yes")</x:f>
        <x:v>No</x:v>
      </x:c>
      <x:c r="K732" s="17" t="str">
        <x:v>35.3 task 4</x:v>
      </x:c>
      <x:c r="L732" s="21" t="str">
        <x:v>Story-labeled commit 903c56e0 contains delivery and focused test/test-result files: feat: implement story 35.3 scim provisioning</x:v>
      </x:c>
      <x:c r="M732" s="17" t="str">
        <x:v>Implementation commit + focused test artifacts</x:v>
      </x:c>
      <x:c r="N732" s="21" t="str">
        <x:v>git commit 903c56e04e11325022a2684f8436972f40a01841; /Users/devups/Development/CodexProjects/Gccs/docs/development-story-test-cases.md</x:v>
      </x:c>
      <x:c r="O732" s="19" t="n">
        <x:v>46192.92236111111</x:v>
      </x:c>
      <x:c r="P732" s="21" t="str">
        <x:v>5 acceptance criteria; 5 TC references; implementation=yes; smoke=yes; automated=yes; Story-level regression template</x:v>
      </x:c>
      <x:c r="Q732" s="21" t="str"/>
      <x:c r="R732" s="21" t="str">
        <x:v>Retain traceability; rerun focused verification if the affected boundary changes.</x:v>
      </x:c>
      <x:c r="S732" s="18" t="str"/>
      <x:c r="T732" s="20"/>
      <x:c r="U732" s="21" t="str">
        <x:v>Completion is based on immutable repository evidence; tests were not rerun and current working-tree drift was not re-certified in this reporting-only task.</x:v>
      </x:c>
      <x:c r="V732" s="1"/>
    </x:row>
    <x:row r="733" ht="46" customHeight="1">
      <x:c r="A733" s="17" t="n">
        <x:v>729</x:v>
      </x:c>
      <x:c r="B733" s="17" t="str">
        <x:v>Phase 4</x:v>
      </x:c>
      <x:c r="C733" s="17" t="str">
        <x:v>36.1</x:v>
      </x:c>
      <x:c r="D733" s="21" t="str">
        <x:v>Government Cloud Environment Configuration</x:v>
      </x:c>
      <x:c r="E733" s="17" t="n">
        <x:v>1</x:v>
      </x:c>
      <x:c r="F733" s="21" t="str">
        <x:v>Define environment records for commercial, staging, GovCloud, and government cloud variants with region, boundary, network, storage, key vault, database, logging, and backup settings.</x:v>
      </x:c>
      <x:c r="G733" s="17" t="str">
        <x:v>Software implementation</x:v>
      </x:c>
      <x:c r="H733" s="17" t="str">
        <x:v>Planned</x:v>
      </x:c>
      <x:c r="I733" s="18" t="str">
        <x:v>Completed</x:v>
      </x:c>
      <x:c r="J733" s="17" t="str">
        <x:f>IF(OR(I733="Completed",I733="Not Applicable"),"No","Yes")</x:f>
        <x:v>No</x:v>
      </x:c>
      <x:c r="K733" s="17" t="str">
        <x:v>35.3</x:v>
      </x:c>
      <x:c r="L733" s="21" t="str">
        <x:v>Story-labeled commit 996b0894 contains delivery and focused test/test-result files: feat: implement story 36.1 government cloud environments</x:v>
      </x:c>
      <x:c r="M733" s="17" t="str">
        <x:v>Implementation commit + focused test artifacts</x:v>
      </x:c>
      <x:c r="N733" s="21" t="str">
        <x:v>git commit 996b0894764149a72202ab01bfb7abc182320257; /Users/devups/Development/CodexProjects/Gccs/docs/development-story-test-cases.md</x:v>
      </x:c>
      <x:c r="O733" s="19" t="n">
        <x:v>46192.92855324074</x:v>
      </x:c>
      <x:c r="P733" s="21" t="str">
        <x:v>5 acceptance criteria; 5 TC references; implementation=yes; smoke=yes; automated=yes; Story-level regression template</x:v>
      </x:c>
      <x:c r="Q733" s="21" t="str"/>
      <x:c r="R733" s="21" t="str">
        <x:v>Retain traceability; rerun focused verification if the affected boundary changes.</x:v>
      </x:c>
      <x:c r="S733" s="18" t="str"/>
      <x:c r="T733" s="20"/>
      <x:c r="U733" s="21" t="str">
        <x:v>Completion is based on immutable repository evidence; tests were not rerun and current working-tree drift was not re-certified in this reporting-only task.</x:v>
      </x:c>
      <x:c r="V733" s="1"/>
    </x:row>
    <x:row r="734" ht="46" customHeight="1">
      <x:c r="A734" s="17" t="n">
        <x:v>730</x:v>
      </x:c>
      <x:c r="B734" s="17" t="str">
        <x:v>Phase 4</x:v>
      </x:c>
      <x:c r="C734" s="17" t="str">
        <x:v>36.1</x:v>
      </x:c>
      <x:c r="D734" s="21" t="str">
        <x:v>Government Cloud Environment Configuration</x:v>
      </x:c>
      <x:c r="E734" s="17" t="n">
        <x:v>2</x:v>
      </x:c>
      <x:c r="F734" s="21" t="str">
        <x:v>Add configuration validation for required government cloud controls, region allowlist, encryption settings, private networking, audit logging, and backup policy.</x:v>
      </x:c>
      <x:c r="G734" s="17" t="str">
        <x:v>Software implementation</x:v>
      </x:c>
      <x:c r="H734" s="17" t="str">
        <x:v>Planned</x:v>
      </x:c>
      <x:c r="I734" s="18" t="str">
        <x:v>Completed</x:v>
      </x:c>
      <x:c r="J734" s="17" t="str">
        <x:f>IF(OR(I734="Completed",I734="Not Applicable"),"No","Yes")</x:f>
        <x:v>No</x:v>
      </x:c>
      <x:c r="K734" s="17" t="str">
        <x:v>36.1 task 1</x:v>
      </x:c>
      <x:c r="L734" s="21" t="str">
        <x:v>Story-labeled commit 996b0894 contains delivery and focused test/test-result files: feat: implement story 36.1 government cloud environments</x:v>
      </x:c>
      <x:c r="M734" s="17" t="str">
        <x:v>Implementation commit + focused test artifacts</x:v>
      </x:c>
      <x:c r="N734" s="21" t="str">
        <x:v>git commit 996b0894764149a72202ab01bfb7abc182320257; /Users/devups/Development/CodexProjects/Gccs/docs/development-story-test-cases.md</x:v>
      </x:c>
      <x:c r="O734" s="19" t="n">
        <x:v>46192.92855324074</x:v>
      </x:c>
      <x:c r="P734" s="21" t="str">
        <x:v>5 acceptance criteria; 5 TC references; implementation=yes; smoke=yes; automated=yes; Story-level regression template</x:v>
      </x:c>
      <x:c r="Q734" s="21" t="str"/>
      <x:c r="R734" s="21" t="str">
        <x:v>Retain traceability; rerun focused verification if the affected boundary changes.</x:v>
      </x:c>
      <x:c r="S734" s="18" t="str"/>
      <x:c r="T734" s="20"/>
      <x:c r="U734" s="21" t="str">
        <x:v>Completion is based on immutable repository evidence; tests were not rerun and current working-tree drift was not re-certified in this reporting-only task.</x:v>
      </x:c>
      <x:c r="V734" s="1"/>
    </x:row>
    <x:row r="735" ht="46" customHeight="1">
      <x:c r="A735" s="17" t="n">
        <x:v>731</x:v>
      </x:c>
      <x:c r="B735" s="17" t="str">
        <x:v>Phase 4</x:v>
      </x:c>
      <x:c r="C735" s="17" t="str">
        <x:v>36.1</x:v>
      </x:c>
      <x:c r="D735" s="21" t="str">
        <x:v>Government Cloud Environment Configuration</x:v>
      </x:c>
      <x:c r="E735" s="17" t="n">
        <x:v>3</x:v>
      </x:c>
      <x:c r="F735" s="21" t="str">
        <x:v>Add environment readiness status for draft, under_review, approved, blocked, deployed, and retired.</x:v>
      </x:c>
      <x:c r="G735" s="17" t="str">
        <x:v>Software implementation</x:v>
      </x:c>
      <x:c r="H735" s="17" t="str">
        <x:v>Planned</x:v>
      </x:c>
      <x:c r="I735" s="18" t="str">
        <x:v>Completed</x:v>
      </x:c>
      <x:c r="J735" s="17" t="str">
        <x:f>IF(OR(I735="Completed",I735="Not Applicable"),"No","Yes")</x:f>
        <x:v>No</x:v>
      </x:c>
      <x:c r="K735" s="17" t="str">
        <x:v>36.1 task 2</x:v>
      </x:c>
      <x:c r="L735" s="21" t="str">
        <x:v>Story-labeled commit 996b0894 contains delivery and focused test/test-result files: feat: implement story 36.1 government cloud environments</x:v>
      </x:c>
      <x:c r="M735" s="17" t="str">
        <x:v>Implementation commit + focused test artifacts</x:v>
      </x:c>
      <x:c r="N735" s="21" t="str">
        <x:v>git commit 996b0894764149a72202ab01bfb7abc182320257; /Users/devups/Development/CodexProjects/Gccs/docs/development-story-test-cases.md</x:v>
      </x:c>
      <x:c r="O735" s="19" t="n">
        <x:v>46192.92855324074</x:v>
      </x:c>
      <x:c r="P735" s="21" t="str">
        <x:v>5 acceptance criteria; 5 TC references; implementation=yes; smoke=yes; automated=yes; Story-level regression template</x:v>
      </x:c>
      <x:c r="Q735" s="21" t="str"/>
      <x:c r="R735" s="21" t="str">
        <x:v>Retain traceability; rerun focused verification if the affected boundary changes.</x:v>
      </x:c>
      <x:c r="S735" s="18" t="str"/>
      <x:c r="T735" s="20"/>
      <x:c r="U735" s="21" t="str">
        <x:v>Completion is based on immutable repository evidence; tests were not rerun and current working-tree drift was not re-certified in this reporting-only task.</x:v>
      </x:c>
      <x:c r="V735" s="1"/>
    </x:row>
    <x:row r="736" ht="46" customHeight="1">
      <x:c r="A736" s="17" t="n">
        <x:v>732</x:v>
      </x:c>
      <x:c r="B736" s="17" t="str">
        <x:v>Phase 4</x:v>
      </x:c>
      <x:c r="C736" s="17" t="str">
        <x:v>36.1</x:v>
      </x:c>
      <x:c r="D736" s="21" t="str">
        <x:v>Government Cloud Environment Configuration</x:v>
      </x:c>
      <x:c r="E736" s="17" t="n">
        <x:v>4</x:v>
      </x:c>
      <x:c r="F736" s="21" t="str">
        <x:v>Link government cloud environments to release approvals and tenant deployment eligibility.</x:v>
      </x:c>
      <x:c r="G736" s="17" t="str">
        <x:v>Software implementation</x:v>
      </x:c>
      <x:c r="H736" s="17" t="str">
        <x:v>Planned</x:v>
      </x:c>
      <x:c r="I736" s="18" t="str">
        <x:v>Completed</x:v>
      </x:c>
      <x:c r="J736" s="17" t="str">
        <x:f>IF(OR(I736="Completed",I736="Not Applicable"),"No","Yes")</x:f>
        <x:v>No</x:v>
      </x:c>
      <x:c r="K736" s="17" t="str">
        <x:v>36.1 task 3</x:v>
      </x:c>
      <x:c r="L736" s="21" t="str">
        <x:v>Story-labeled commit 996b0894 contains delivery and focused test/test-result files: feat: implement story 36.1 government cloud environments</x:v>
      </x:c>
      <x:c r="M736" s="17" t="str">
        <x:v>Implementation commit + focused test artifacts</x:v>
      </x:c>
      <x:c r="N736" s="21" t="str">
        <x:v>git commit 996b0894764149a72202ab01bfb7abc182320257; /Users/devups/Development/CodexProjects/Gccs/docs/development-story-test-cases.md</x:v>
      </x:c>
      <x:c r="O736" s="19" t="n">
        <x:v>46192.92855324074</x:v>
      </x:c>
      <x:c r="P736" s="21" t="str">
        <x:v>5 acceptance criteria; 5 TC references; implementation=yes; smoke=yes; automated=yes; Story-level regression template</x:v>
      </x:c>
      <x:c r="Q736" s="21" t="str"/>
      <x:c r="R736" s="21" t="str">
        <x:v>Retain traceability; rerun focused verification if the affected boundary changes.</x:v>
      </x:c>
      <x:c r="S736" s="18" t="str"/>
      <x:c r="T736" s="20"/>
      <x:c r="U736" s="21" t="str">
        <x:v>Completion is based on immutable repository evidence; tests were not rerun and current working-tree drift was not re-certified in this reporting-only task.</x:v>
      </x:c>
      <x:c r="V736" s="1"/>
    </x:row>
    <x:row r="737" ht="46" customHeight="1">
      <x:c r="A737" s="17" t="n">
        <x:v>733</x:v>
      </x:c>
      <x:c r="B737" s="17" t="str">
        <x:v>Phase 4</x:v>
      </x:c>
      <x:c r="C737" s="17" t="str">
        <x:v>36.1</x:v>
      </x:c>
      <x:c r="D737" s="21" t="str">
        <x:v>Government Cloud Environment Configuration</x:v>
      </x:c>
      <x:c r="E737" s="17" t="n">
        <x:v>5</x:v>
      </x:c>
      <x:c r="F737" s="21" t="str">
        <x:v>Add audit logging or source-control traceability for environment configuration lifecycle changes.</x:v>
      </x:c>
      <x:c r="G737" s="17" t="str">
        <x:v>Software implementation</x:v>
      </x:c>
      <x:c r="H737" s="17" t="str">
        <x:v>Planned</x:v>
      </x:c>
      <x:c r="I737" s="18" t="str">
        <x:v>Completed</x:v>
      </x:c>
      <x:c r="J737" s="17" t="str">
        <x:f>IF(OR(I737="Completed",I737="Not Applicable"),"No","Yes")</x:f>
        <x:v>No</x:v>
      </x:c>
      <x:c r="K737" s="17" t="str">
        <x:v>36.1 task 4</x:v>
      </x:c>
      <x:c r="L737" s="21" t="str">
        <x:v>Story-labeled commit 996b0894 contains delivery and focused test/test-result files: feat: implement story 36.1 government cloud environments</x:v>
      </x:c>
      <x:c r="M737" s="17" t="str">
        <x:v>Implementation commit + focused test artifacts</x:v>
      </x:c>
      <x:c r="N737" s="21" t="str">
        <x:v>git commit 996b0894764149a72202ab01bfb7abc182320257; /Users/devups/Development/CodexProjects/Gccs/docs/development-story-test-cases.md</x:v>
      </x:c>
      <x:c r="O737" s="19" t="n">
        <x:v>46192.92855324074</x:v>
      </x:c>
      <x:c r="P737" s="21" t="str">
        <x:v>5 acceptance criteria; 5 TC references; implementation=yes; smoke=yes; automated=yes; Story-level regression template</x:v>
      </x:c>
      <x:c r="Q737" s="21" t="str"/>
      <x:c r="R737" s="21" t="str">
        <x:v>Retain traceability; rerun focused verification if the affected boundary changes.</x:v>
      </x:c>
      <x:c r="S737" s="18" t="str"/>
      <x:c r="T737" s="20"/>
      <x:c r="U737" s="21" t="str">
        <x:v>Completion is based on immutable repository evidence; tests were not rerun and current working-tree drift was not re-certified in this reporting-only task.</x:v>
      </x:c>
      <x:c r="V737" s="1"/>
    </x:row>
    <x:row r="738" ht="46" customHeight="1">
      <x:c r="A738" s="17" t="n">
        <x:v>734</x:v>
      </x:c>
      <x:c r="B738" s="17" t="str">
        <x:v>Phase 4</x:v>
      </x:c>
      <x:c r="C738" s="17" t="str">
        <x:v>36.2</x:v>
      </x:c>
      <x:c r="D738" s="21" t="str">
        <x:v>Regulated Tenant Provisioning Workflow</x:v>
      </x:c>
      <x:c r="E738" s="17" t="n">
        <x:v>1</x:v>
      </x:c>
      <x:c r="F738" s="21" t="str">
        <x:v>Add provisioning request fields for tenant, customer type, deployment environment, data handling mode, CUI approval status, key policy, support model, and migration source.</x:v>
      </x:c>
      <x:c r="G738" s="17" t="str">
        <x:v>Software implementation</x:v>
      </x:c>
      <x:c r="H738" s="17" t="str">
        <x:v>Planned</x:v>
      </x:c>
      <x:c r="I738" s="18" t="str">
        <x:v>Completed</x:v>
      </x:c>
      <x:c r="J738" s="17" t="str">
        <x:f>IF(OR(I738="Completed",I738="Not Applicable"),"No","Yes")</x:f>
        <x:v>No</x:v>
      </x:c>
      <x:c r="K738" s="17" t="str">
        <x:v>36.1</x:v>
      </x:c>
      <x:c r="L738" s="21" t="str">
        <x:v>Story-labeled commit 7c4455f9 contains delivery and focused test/test-result files: feat: implement story 36.2 regulated tenant provisioning</x:v>
      </x:c>
      <x:c r="M738" s="17" t="str">
        <x:v>Implementation commit + focused test artifacts</x:v>
      </x:c>
      <x:c r="N738" s="21" t="str">
        <x:v>git commit 7c4455f94929d168fd0a1a83312be76a84ff7d62; /Users/devups/Development/CodexProjects/Gccs/docs/development-story-test-cases.md</x:v>
      </x:c>
      <x:c r="O738" s="19" t="n">
        <x:v>46192.95196759259</x:v>
      </x:c>
      <x:c r="P738" s="21" t="str">
        <x:v>5 acceptance criteria; 5 TC references; implementation=yes; smoke=yes; automated=yes; Story-level regression template</x:v>
      </x:c>
      <x:c r="Q738" s="21" t="str"/>
      <x:c r="R738" s="21" t="str">
        <x:v>Retain traceability; rerun focused verification if the affected boundary changes.</x:v>
      </x:c>
      <x:c r="S738" s="18" t="str"/>
      <x:c r="T738" s="20"/>
      <x:c r="U738" s="21" t="str">
        <x:v>Completion is based on immutable repository evidence; tests were not rerun and current working-tree drift was not re-certified in this reporting-only task.</x:v>
      </x:c>
      <x:c r="V738" s="1"/>
    </x:row>
    <x:row r="739" ht="46" customHeight="1">
      <x:c r="A739" s="17" t="n">
        <x:v>735</x:v>
      </x:c>
      <x:c r="B739" s="17" t="str">
        <x:v>Phase 4</x:v>
      </x:c>
      <x:c r="C739" s="17" t="str">
        <x:v>36.2</x:v>
      </x:c>
      <x:c r="D739" s="21" t="str">
        <x:v>Regulated Tenant Provisioning Workflow</x:v>
      </x:c>
      <x:c r="E739" s="17" t="n">
        <x:v>2</x:v>
      </x:c>
      <x:c r="F739" s="21" t="str">
        <x:v>Add approval gates for security, engineering, customer success, legal/compliance, and product where applicable.</x:v>
      </x:c>
      <x:c r="G739" s="17" t="str">
        <x:v>Software implementation</x:v>
      </x:c>
      <x:c r="H739" s="17" t="str">
        <x:v>Planned</x:v>
      </x:c>
      <x:c r="I739" s="18" t="str">
        <x:v>Completed</x:v>
      </x:c>
      <x:c r="J739" s="17" t="str">
        <x:f>IF(OR(I739="Completed",I739="Not Applicable"),"No","Yes")</x:f>
        <x:v>No</x:v>
      </x:c>
      <x:c r="K739" s="17" t="str">
        <x:v>36.2 task 1</x:v>
      </x:c>
      <x:c r="L739" s="21" t="str">
        <x:v>Story-labeled commit 7c4455f9 contains delivery and focused test/test-result files: feat: implement story 36.2 regulated tenant provisioning</x:v>
      </x:c>
      <x:c r="M739" s="17" t="str">
        <x:v>Implementation commit + focused test artifacts</x:v>
      </x:c>
      <x:c r="N739" s="21" t="str">
        <x:v>git commit 7c4455f94929d168fd0a1a83312be76a84ff7d62; /Users/devups/Development/CodexProjects/Gccs/docs/development-story-test-cases.md</x:v>
      </x:c>
      <x:c r="O739" s="19" t="n">
        <x:v>46192.95196759259</x:v>
      </x:c>
      <x:c r="P739" s="21" t="str">
        <x:v>5 acceptance criteria; 5 TC references; implementation=yes; smoke=yes; automated=yes; Story-level regression template</x:v>
      </x:c>
      <x:c r="Q739" s="21" t="str"/>
      <x:c r="R739" s="21" t="str">
        <x:v>Retain traceability; rerun focused verification if the affected boundary changes.</x:v>
      </x:c>
      <x:c r="S739" s="18" t="str"/>
      <x:c r="T739" s="20"/>
      <x:c r="U739" s="21" t="str">
        <x:v>Completion is based on immutable repository evidence; tests were not rerun and current working-tree drift was not re-certified in this reporting-only task.</x:v>
      </x:c>
      <x:c r="V739" s="1"/>
    </x:row>
    <x:row r="740" ht="46" customHeight="1">
      <x:c r="A740" s="17" t="n">
        <x:v>736</x:v>
      </x:c>
      <x:c r="B740" s="17" t="str">
        <x:v>Phase 4</x:v>
      </x:c>
      <x:c r="C740" s="17" t="str">
        <x:v>36.2</x:v>
      </x:c>
      <x:c r="D740" s="21" t="str">
        <x:v>Regulated Tenant Provisioning Workflow</x:v>
      </x:c>
      <x:c r="E740" s="17" t="n">
        <x:v>3</x:v>
      </x:c>
      <x:c r="F740" s="21" t="str">
        <x:v>Add provisioning checklist for tenant isolation, storage, encryption, logging, monitoring, backup, restore, access policy, and support access.</x:v>
      </x:c>
      <x:c r="G740" s="17" t="str">
        <x:v>Software implementation</x:v>
      </x:c>
      <x:c r="H740" s="17" t="str">
        <x:v>Planned</x:v>
      </x:c>
      <x:c r="I740" s="18" t="str">
        <x:v>Completed</x:v>
      </x:c>
      <x:c r="J740" s="17" t="str">
        <x:f>IF(OR(I740="Completed",I740="Not Applicable"),"No","Yes")</x:f>
        <x:v>No</x:v>
      </x:c>
      <x:c r="K740" s="17" t="str">
        <x:v>36.2 task 2</x:v>
      </x:c>
      <x:c r="L740" s="21" t="str">
        <x:v>Story-labeled commit 7c4455f9 contains delivery and focused test/test-result files: feat: implement story 36.2 regulated tenant provisioning</x:v>
      </x:c>
      <x:c r="M740" s="17" t="str">
        <x:v>Implementation commit + focused test artifacts</x:v>
      </x:c>
      <x:c r="N740" s="21" t="str">
        <x:v>git commit 7c4455f94929d168fd0a1a83312be76a84ff7d62; /Users/devups/Development/CodexProjects/Gccs/docs/development-story-test-cases.md</x:v>
      </x:c>
      <x:c r="O740" s="19" t="n">
        <x:v>46192.95196759259</x:v>
      </x:c>
      <x:c r="P740" s="21" t="str">
        <x:v>5 acceptance criteria; 5 TC references; implementation=yes; smoke=yes; automated=yes; Story-level regression template</x:v>
      </x:c>
      <x:c r="Q740" s="21" t="str"/>
      <x:c r="R740" s="21" t="str">
        <x:v>Retain traceability; rerun focused verification if the affected boundary changes.</x:v>
      </x:c>
      <x:c r="S740" s="18" t="str"/>
      <x:c r="T740" s="20"/>
      <x:c r="U740" s="21" t="str">
        <x:v>Completion is based on immutable repository evidence; tests were not rerun and current working-tree drift was not re-certified in this reporting-only task.</x:v>
      </x:c>
      <x:c r="V740" s="1"/>
    </x:row>
    <x:row r="741" ht="46" customHeight="1">
      <x:c r="A741" s="17" t="n">
        <x:v>737</x:v>
      </x:c>
      <x:c r="B741" s="17" t="str">
        <x:v>Phase 4</x:v>
      </x:c>
      <x:c r="C741" s="17" t="str">
        <x:v>36.2</x:v>
      </x:c>
      <x:c r="D741" s="21" t="str">
        <x:v>Regulated Tenant Provisioning Workflow</x:v>
      </x:c>
      <x:c r="E741" s="17" t="n">
        <x:v>4</x:v>
      </x:c>
      <x:c r="F741" s="21" t="str">
        <x:v>Add deployment status tracking for requested, approved, provisioning, validation, ready, failed, suspended, and retired.</x:v>
      </x:c>
      <x:c r="G741" s="17" t="str">
        <x:v>Software implementation</x:v>
      </x:c>
      <x:c r="H741" s="17" t="str">
        <x:v>Planned</x:v>
      </x:c>
      <x:c r="I741" s="18" t="str">
        <x:v>Completed</x:v>
      </x:c>
      <x:c r="J741" s="17" t="str">
        <x:f>IF(OR(I741="Completed",I741="Not Applicable"),"No","Yes")</x:f>
        <x:v>No</x:v>
      </x:c>
      <x:c r="K741" s="17" t="str">
        <x:v>36.2 task 3</x:v>
      </x:c>
      <x:c r="L741" s="21" t="str">
        <x:v>Story-labeled commit 7c4455f9 contains delivery and focused test/test-result files: feat: implement story 36.2 regulated tenant provisioning</x:v>
      </x:c>
      <x:c r="M741" s="17" t="str">
        <x:v>Implementation commit + focused test artifacts</x:v>
      </x:c>
      <x:c r="N741" s="21" t="str">
        <x:v>git commit 7c4455f94929d168fd0a1a83312be76a84ff7d62; /Users/devups/Development/CodexProjects/Gccs/docs/development-story-test-cases.md</x:v>
      </x:c>
      <x:c r="O741" s="19" t="n">
        <x:v>46192.95196759259</x:v>
      </x:c>
      <x:c r="P741" s="21" t="str">
        <x:v>5 acceptance criteria; 5 TC references; implementation=yes; smoke=yes; automated=yes; Story-level regression template</x:v>
      </x:c>
      <x:c r="Q741" s="21" t="str"/>
      <x:c r="R741" s="21" t="str">
        <x:v>Retain traceability; rerun focused verification if the affected boundary changes.</x:v>
      </x:c>
      <x:c r="S741" s="18" t="str"/>
      <x:c r="T741" s="20"/>
      <x:c r="U741" s="21" t="str">
        <x:v>Completion is based on immutable repository evidence; tests were not rerun and current working-tree drift was not re-certified in this reporting-only task.</x:v>
      </x:c>
      <x:c r="V741" s="1"/>
    </x:row>
    <x:row r="742" ht="46" customHeight="1">
      <x:c r="A742" s="17" t="n">
        <x:v>738</x:v>
      </x:c>
      <x:c r="B742" s="17" t="str">
        <x:v>Phase 4</x:v>
      </x:c>
      <x:c r="C742" s="17" t="str">
        <x:v>36.2</x:v>
      </x:c>
      <x:c r="D742" s="21" t="str">
        <x:v>Regulated Tenant Provisioning Workflow</x:v>
      </x:c>
      <x:c r="E742" s="17" t="n">
        <x:v>5</x:v>
      </x:c>
      <x:c r="F742" s="21" t="str">
        <x:v>Add rollback and failure notes for provisioning failures.</x:v>
      </x:c>
      <x:c r="G742" s="17" t="str">
        <x:v>Software implementation</x:v>
      </x:c>
      <x:c r="H742" s="17" t="str">
        <x:v>Planned</x:v>
      </x:c>
      <x:c r="I742" s="18" t="str">
        <x:v>Completed</x:v>
      </x:c>
      <x:c r="J742" s="17" t="str">
        <x:f>IF(OR(I742="Completed",I742="Not Applicable"),"No","Yes")</x:f>
        <x:v>No</x:v>
      </x:c>
      <x:c r="K742" s="17" t="str">
        <x:v>36.2 task 4</x:v>
      </x:c>
      <x:c r="L742" s="21" t="str">
        <x:v>Story-labeled commit 7c4455f9 contains delivery and focused test/test-result files: feat: implement story 36.2 regulated tenant provisioning</x:v>
      </x:c>
      <x:c r="M742" s="17" t="str">
        <x:v>Implementation commit + focused test artifacts</x:v>
      </x:c>
      <x:c r="N742" s="21" t="str">
        <x:v>git commit 7c4455f94929d168fd0a1a83312be76a84ff7d62; /Users/devups/Development/CodexProjects/Gccs/docs/development-story-test-cases.md</x:v>
      </x:c>
      <x:c r="O742" s="19" t="n">
        <x:v>46192.95196759259</x:v>
      </x:c>
      <x:c r="P742" s="21" t="str">
        <x:v>5 acceptance criteria; 5 TC references; implementation=yes; smoke=yes; automated=yes; Story-level regression template</x:v>
      </x:c>
      <x:c r="Q742" s="21" t="str"/>
      <x:c r="R742" s="21" t="str">
        <x:v>Retain traceability; rerun focused verification if the affected boundary changes.</x:v>
      </x:c>
      <x:c r="S742" s="18" t="str"/>
      <x:c r="T742" s="20"/>
      <x:c r="U742" s="21" t="str">
        <x:v>Completion is based on immutable repository evidence; tests were not rerun and current working-tree drift was not re-certified in this reporting-only task.</x:v>
      </x:c>
      <x:c r="V742" s="1"/>
    </x:row>
    <x:row r="743" ht="46" customHeight="1">
      <x:c r="A743" s="17" t="n">
        <x:v>739</x:v>
      </x:c>
      <x:c r="B743" s="17" t="str">
        <x:v>Phase 4</x:v>
      </x:c>
      <x:c r="C743" s="17" t="str">
        <x:v>36.3</x:v>
      </x:c>
      <x:c r="D743" s="21" t="str">
        <x:v>Government Cloud Release And Operations Readiness</x:v>
      </x:c>
      <x:c r="E743" s="17" t="n">
        <x:v>1</x:v>
      </x:c>
      <x:c r="F743" s="21" t="str">
        <x:v>Add release readiness checklist for migrations, smoke tests, security scans, dependency review, backup, restore, monitoring, incident response, support coverage, and rollback plan.</x:v>
      </x:c>
      <x:c r="G743" s="17" t="str">
        <x:v>Software implementation</x:v>
      </x:c>
      <x:c r="H743" s="17" t="str">
        <x:v>Planned</x:v>
      </x:c>
      <x:c r="I743" s="18" t="str">
        <x:v>Completed</x:v>
      </x:c>
      <x:c r="J743" s="17" t="str">
        <x:f>IF(OR(I743="Completed",I743="Not Applicable"),"No","Yes")</x:f>
        <x:v>No</x:v>
      </x:c>
      <x:c r="K743" s="17" t="str">
        <x:v>36.2</x:v>
      </x:c>
      <x:c r="L743" s="21" t="str">
        <x:v>Story-labeled commit d21359d6 contains delivery and focused test/test-result files: feat: implement story 36.3 government cloud release readiness</x:v>
      </x:c>
      <x:c r="M743" s="17" t="str">
        <x:v>Implementation commit + focused test artifacts</x:v>
      </x:c>
      <x:c r="N743" s="21" t="str">
        <x:v>git commit d21359d6791776cdcfa1644a52613cb8e6abec2f; /Users/devups/Development/CodexProjects/Gccs/docs/development-story-test-cases.md</x:v>
      </x:c>
      <x:c r="O743" s="19" t="n">
        <x:v>46192.95662037037</x:v>
      </x:c>
      <x:c r="P743" s="21" t="str">
        <x:v>5 acceptance criteria; 5 TC references; implementation=yes; smoke=yes; automated=yes; Story-level regression template</x:v>
      </x:c>
      <x:c r="Q743" s="21" t="str"/>
      <x:c r="R743" s="21" t="str">
        <x:v>Retain traceability; rerun focused verification if the affected boundary changes.</x:v>
      </x:c>
      <x:c r="S743" s="18" t="str"/>
      <x:c r="T743" s="20"/>
      <x:c r="U743" s="21" t="str">
        <x:v>Completion is based on immutable repository evidence; tests were not rerun and current working-tree drift was not re-certified in this reporting-only task.</x:v>
      </x:c>
      <x:c r="V743" s="1"/>
    </x:row>
    <x:row r="744" ht="46" customHeight="1">
      <x:c r="A744" s="17" t="n">
        <x:v>740</x:v>
      </x:c>
      <x:c r="B744" s="17" t="str">
        <x:v>Phase 4</x:v>
      </x:c>
      <x:c r="C744" s="17" t="str">
        <x:v>36.3</x:v>
      </x:c>
      <x:c r="D744" s="21" t="str">
        <x:v>Government Cloud Release And Operations Readiness</x:v>
      </x:c>
      <x:c r="E744" s="17" t="n">
        <x:v>2</x:v>
      </x:c>
      <x:c r="F744" s="21" t="str">
        <x:v>Add environment-specific release approval records for GovCloud and government cloud deployments.</x:v>
      </x:c>
      <x:c r="G744" s="17" t="str">
        <x:v>Software implementation</x:v>
      </x:c>
      <x:c r="H744" s="17" t="str">
        <x:v>Planned</x:v>
      </x:c>
      <x:c r="I744" s="18" t="str">
        <x:v>Completed</x:v>
      </x:c>
      <x:c r="J744" s="17" t="str">
        <x:f>IF(OR(I744="Completed",I744="Not Applicable"),"No","Yes")</x:f>
        <x:v>No</x:v>
      </x:c>
      <x:c r="K744" s="17" t="str">
        <x:v>36.3 task 1</x:v>
      </x:c>
      <x:c r="L744" s="21" t="str">
        <x:v>Story-labeled commit d21359d6 contains delivery and focused test/test-result files: feat: implement story 36.3 government cloud release readiness</x:v>
      </x:c>
      <x:c r="M744" s="17" t="str">
        <x:v>Implementation commit + focused test artifacts</x:v>
      </x:c>
      <x:c r="N744" s="21" t="str">
        <x:v>git commit d21359d6791776cdcfa1644a52613cb8e6abec2f; /Users/devups/Development/CodexProjects/Gccs/docs/development-story-test-cases.md</x:v>
      </x:c>
      <x:c r="O744" s="19" t="n">
        <x:v>46192.95662037037</x:v>
      </x:c>
      <x:c r="P744" s="21" t="str">
        <x:v>5 acceptance criteria; 5 TC references; implementation=yes; smoke=yes; automated=yes; Story-level regression template</x:v>
      </x:c>
      <x:c r="Q744" s="21" t="str"/>
      <x:c r="R744" s="21" t="str">
        <x:v>Retain traceability; rerun focused verification if the affected boundary changes.</x:v>
      </x:c>
      <x:c r="S744" s="18" t="str"/>
      <x:c r="T744" s="20"/>
      <x:c r="U744" s="21" t="str">
        <x:v>Completion is based on immutable repository evidence; tests were not rerun and current working-tree drift was not re-certified in this reporting-only task.</x:v>
      </x:c>
      <x:c r="V744" s="1"/>
    </x:row>
    <x:row r="745" ht="46" customHeight="1">
      <x:c r="A745" s="17" t="n">
        <x:v>741</x:v>
      </x:c>
      <x:c r="B745" s="17" t="str">
        <x:v>Phase 4</x:v>
      </x:c>
      <x:c r="C745" s="17" t="str">
        <x:v>36.3</x:v>
      </x:c>
      <x:c r="D745" s="21" t="str">
        <x:v>Government Cloud Release And Operations Readiness</x:v>
      </x:c>
      <x:c r="E745" s="17" t="n">
        <x:v>3</x:v>
      </x:c>
      <x:c r="F745" s="21" t="str">
        <x:v>Add operations evidence links for runbooks, alert routing, access review, vulnerability scan, backup restore, and incident drill.</x:v>
      </x:c>
      <x:c r="G745" s="17" t="str">
        <x:v>Software implementation</x:v>
      </x:c>
      <x:c r="H745" s="17" t="str">
        <x:v>Planned</x:v>
      </x:c>
      <x:c r="I745" s="18" t="str">
        <x:v>Completed</x:v>
      </x:c>
      <x:c r="J745" s="17" t="str">
        <x:f>IF(OR(I745="Completed",I745="Not Applicable"),"No","Yes")</x:f>
        <x:v>No</x:v>
      </x:c>
      <x:c r="K745" s="17" t="str">
        <x:v>36.3 task 2</x:v>
      </x:c>
      <x:c r="L745" s="21" t="str">
        <x:v>Story-labeled commit d21359d6 contains delivery and focused test/test-result files: feat: implement story 36.3 government cloud release readiness</x:v>
      </x:c>
      <x:c r="M745" s="17" t="str">
        <x:v>Implementation commit + focused test artifacts</x:v>
      </x:c>
      <x:c r="N745" s="21" t="str">
        <x:v>git commit d21359d6791776cdcfa1644a52613cb8e6abec2f; /Users/devups/Development/CodexProjects/Gccs/docs/development-story-test-cases.md</x:v>
      </x:c>
      <x:c r="O745" s="19" t="n">
        <x:v>46192.95662037037</x:v>
      </x:c>
      <x:c r="P745" s="21" t="str">
        <x:v>5 acceptance criteria; 5 TC references; implementation=yes; smoke=yes; automated=yes; Story-level regression template</x:v>
      </x:c>
      <x:c r="Q745" s="21" t="str"/>
      <x:c r="R745" s="21" t="str">
        <x:v>Retain traceability; rerun focused verification if the affected boundary changes.</x:v>
      </x:c>
      <x:c r="S745" s="18" t="str"/>
      <x:c r="T745" s="20"/>
      <x:c r="U745" s="21" t="str">
        <x:v>Completion is based on immutable repository evidence; tests were not rerun and current working-tree drift was not re-certified in this reporting-only task.</x:v>
      </x:c>
      <x:c r="V745" s="1"/>
    </x:row>
    <x:row r="746" ht="46" customHeight="1">
      <x:c r="A746" s="17" t="n">
        <x:v>742</x:v>
      </x:c>
      <x:c r="B746" s="17" t="str">
        <x:v>Phase 4</x:v>
      </x:c>
      <x:c r="C746" s="17" t="str">
        <x:v>36.3</x:v>
      </x:c>
      <x:c r="D746" s="21" t="str">
        <x:v>Government Cloud Release And Operations Readiness</x:v>
      </x:c>
      <x:c r="E746" s="17" t="n">
        <x:v>4</x:v>
      </x:c>
      <x:c r="F746" s="21" t="str">
        <x:v>Add deployment window, release owner, approver, and customer communication metadata.</x:v>
      </x:c>
      <x:c r="G746" s="17" t="str">
        <x:v>Software implementation</x:v>
      </x:c>
      <x:c r="H746" s="17" t="str">
        <x:v>Planned</x:v>
      </x:c>
      <x:c r="I746" s="18" t="str">
        <x:v>Completed</x:v>
      </x:c>
      <x:c r="J746" s="17" t="str">
        <x:f>IF(OR(I746="Completed",I746="Not Applicable"),"No","Yes")</x:f>
        <x:v>No</x:v>
      </x:c>
      <x:c r="K746" s="17" t="str">
        <x:v>36.3 task 3</x:v>
      </x:c>
      <x:c r="L746" s="21" t="str">
        <x:v>Story-labeled commit d21359d6 contains delivery and focused test/test-result files: feat: implement story 36.3 government cloud release readiness</x:v>
      </x:c>
      <x:c r="M746" s="17" t="str">
        <x:v>Implementation commit + focused test artifacts</x:v>
      </x:c>
      <x:c r="N746" s="21" t="str">
        <x:v>git commit d21359d6791776cdcfa1644a52613cb8e6abec2f; /Users/devups/Development/CodexProjects/Gccs/docs/development-story-test-cases.md</x:v>
      </x:c>
      <x:c r="O746" s="19" t="n">
        <x:v>46192.95662037037</x:v>
      </x:c>
      <x:c r="P746" s="21" t="str">
        <x:v>5 acceptance criteria; 5 TC references; implementation=yes; smoke=yes; automated=yes; Story-level regression template</x:v>
      </x:c>
      <x:c r="Q746" s="21" t="str"/>
      <x:c r="R746" s="21" t="str">
        <x:v>Retain traceability; rerun focused verification if the affected boundary changes.</x:v>
      </x:c>
      <x:c r="S746" s="18" t="str"/>
      <x:c r="T746" s="20"/>
      <x:c r="U746" s="21" t="str">
        <x:v>Completion is based on immutable repository evidence; tests were not rerun and current working-tree drift was not re-certified in this reporting-only task.</x:v>
      </x:c>
      <x:c r="V746" s="1"/>
    </x:row>
    <x:row r="747" ht="46" customHeight="1">
      <x:c r="A747" s="17" t="n">
        <x:v>743</x:v>
      </x:c>
      <x:c r="B747" s="17" t="str">
        <x:v>Phase 4</x:v>
      </x:c>
      <x:c r="C747" s="17" t="str">
        <x:v>36.3</x:v>
      </x:c>
      <x:c r="D747" s="21" t="str">
        <x:v>Government Cloud Release And Operations Readiness</x:v>
      </x:c>
      <x:c r="E747" s="17" t="n">
        <x:v>5</x:v>
      </x:c>
      <x:c r="F747" s="21" t="str">
        <x:v>Add release history and readiness report export.</x:v>
      </x:c>
      <x:c r="G747" s="17" t="str">
        <x:v>Software implementation</x:v>
      </x:c>
      <x:c r="H747" s="17" t="str">
        <x:v>Planned</x:v>
      </x:c>
      <x:c r="I747" s="18" t="str">
        <x:v>Completed</x:v>
      </x:c>
      <x:c r="J747" s="17" t="str">
        <x:f>IF(OR(I747="Completed",I747="Not Applicable"),"No","Yes")</x:f>
        <x:v>No</x:v>
      </x:c>
      <x:c r="K747" s="17" t="str">
        <x:v>36.3 task 4</x:v>
      </x:c>
      <x:c r="L747" s="21" t="str">
        <x:v>Story-labeled commit d21359d6 contains delivery and focused test/test-result files: feat: implement story 36.3 government cloud release readiness</x:v>
      </x:c>
      <x:c r="M747" s="17" t="str">
        <x:v>Implementation commit + focused test artifacts</x:v>
      </x:c>
      <x:c r="N747" s="21" t="str">
        <x:v>git commit d21359d6791776cdcfa1644a52613cb8e6abec2f; /Users/devups/Development/CodexProjects/Gccs/docs/development-story-test-cases.md</x:v>
      </x:c>
      <x:c r="O747" s="19" t="n">
        <x:v>46192.95662037037</x:v>
      </x:c>
      <x:c r="P747" s="21" t="str">
        <x:v>5 acceptance criteria; 5 TC references; implementation=yes; smoke=yes; automated=yes; Story-level regression template</x:v>
      </x:c>
      <x:c r="Q747" s="21" t="str"/>
      <x:c r="R747" s="21" t="str">
        <x:v>Retain traceability; rerun focused verification if the affected boundary changes.</x:v>
      </x:c>
      <x:c r="S747" s="18" t="str"/>
      <x:c r="T747" s="20"/>
      <x:c r="U747" s="21" t="str">
        <x:v>Completion is based on immutable repository evidence; tests were not rerun and current working-tree drift was not re-certified in this reporting-only task.</x:v>
      </x:c>
      <x:c r="V747" s="1"/>
    </x:row>
    <x:row r="748" ht="46" customHeight="1">
      <x:c r="A748" s="17" t="n">
        <x:v>744</x:v>
      </x:c>
      <x:c r="B748" s="17" t="str">
        <x:v>Phase 4</x:v>
      </x:c>
      <x:c r="C748" s="17" t="str">
        <x:v>37.1</x:v>
      </x:c>
      <x:c r="D748" s="21" t="str">
        <x:v>FedRAMP Control Mapping Baseline</x:v>
      </x:c>
      <x:c r="E748" s="17" t="n">
        <x:v>1</x:v>
      </x:c>
      <x:c r="F748" s="21" t="str">
        <x:v>Define FedRAMP readiness control records with control ID, family, baseline, implementation status, implementation summary, inherited provider, responsible owner, evidence links, gaps, and source references.</x:v>
      </x:c>
      <x:c r="G748" s="17" t="str">
        <x:v>Software implementation</x:v>
      </x:c>
      <x:c r="H748" s="17" t="str">
        <x:v>Planned</x:v>
      </x:c>
      <x:c r="I748" s="18" t="str">
        <x:v>Completed</x:v>
      </x:c>
      <x:c r="J748" s="17" t="str">
        <x:f>IF(OR(I748="Completed",I748="Not Applicable"),"No","Yes")</x:f>
        <x:v>No</x:v>
      </x:c>
      <x:c r="K748" s="17" t="str">
        <x:v>36.3</x:v>
      </x:c>
      <x:c r="L748" s="21" t="str">
        <x:v>Story-labeled commit cb6c5814 contains delivery and focused test/test-result files: feat: implement story 37.1 fedramp control mappings</x:v>
      </x:c>
      <x:c r="M748" s="17" t="str">
        <x:v>Implementation commit + focused test artifacts</x:v>
      </x:c>
      <x:c r="N748" s="21" t="str">
        <x:v>git commit cb6c58145028c627c83d408b83940f06f220814e; /Users/devups/Development/CodexProjects/Gccs/docs/development-story-test-cases.md</x:v>
      </x:c>
      <x:c r="O748" s="19" t="n">
        <x:v>46192.960023148145</x:v>
      </x:c>
      <x:c r="P748" s="21" t="str">
        <x:v>5 acceptance criteria; 5 TC references; implementation=yes; smoke=yes; automated=yes; Story-level regression template</x:v>
      </x:c>
      <x:c r="Q748" s="21" t="str"/>
      <x:c r="R748" s="21" t="str">
        <x:v>Retain traceability; rerun focused verification if the affected boundary changes.</x:v>
      </x:c>
      <x:c r="S748" s="18" t="str"/>
      <x:c r="T748" s="20"/>
      <x:c r="U748" s="21" t="str">
        <x:v>Completion is based on immutable repository evidence; tests were not rerun and current working-tree drift was not re-certified in this reporting-only task.</x:v>
      </x:c>
      <x:c r="V748" s="1"/>
    </x:row>
    <x:row r="749" ht="46" customHeight="1">
      <x:c r="A749" s="17" t="n">
        <x:v>745</x:v>
      </x:c>
      <x:c r="B749" s="17" t="str">
        <x:v>Phase 4</x:v>
      </x:c>
      <x:c r="C749" s="17" t="str">
        <x:v>37.1</x:v>
      </x:c>
      <x:c r="D749" s="21" t="str">
        <x:v>FedRAMP Control Mapping Baseline</x:v>
      </x:c>
      <x:c r="E749" s="17" t="n">
        <x:v>2</x:v>
      </x:c>
      <x:c r="F749" s="21" t="str">
        <x:v>Add mapping from existing GCCS security controls, audit logs, evidence storage, identity, encryption, incident response, and vulnerability management records.</x:v>
      </x:c>
      <x:c r="G749" s="17" t="str">
        <x:v>Software implementation</x:v>
      </x:c>
      <x:c r="H749" s="17" t="str">
        <x:v>Planned</x:v>
      </x:c>
      <x:c r="I749" s="18" t="str">
        <x:v>Completed</x:v>
      </x:c>
      <x:c r="J749" s="17" t="str">
        <x:f>IF(OR(I749="Completed",I749="Not Applicable"),"No","Yes")</x:f>
        <x:v>No</x:v>
      </x:c>
      <x:c r="K749" s="17" t="str">
        <x:v>37.1 task 1</x:v>
      </x:c>
      <x:c r="L749" s="21" t="str">
        <x:v>Story-labeled commit cb6c5814 contains delivery and focused test/test-result files: feat: implement story 37.1 fedramp control mappings</x:v>
      </x:c>
      <x:c r="M749" s="17" t="str">
        <x:v>Implementation commit + focused test artifacts</x:v>
      </x:c>
      <x:c r="N749" s="21" t="str">
        <x:v>git commit cb6c58145028c627c83d408b83940f06f220814e; /Users/devups/Development/CodexProjects/Gccs/docs/development-story-test-cases.md</x:v>
      </x:c>
      <x:c r="O749" s="19" t="n">
        <x:v>46192.960023148145</x:v>
      </x:c>
      <x:c r="P749" s="21" t="str">
        <x:v>5 acceptance criteria; 5 TC references; implementation=yes; smoke=yes; automated=yes; Story-level regression template</x:v>
      </x:c>
      <x:c r="Q749" s="21" t="str"/>
      <x:c r="R749" s="21" t="str">
        <x:v>Retain traceability; rerun focused verification if the affected boundary changes.</x:v>
      </x:c>
      <x:c r="S749" s="18" t="str"/>
      <x:c r="T749" s="20"/>
      <x:c r="U749" s="21" t="str">
        <x:v>Completion is based on immutable repository evidence; tests were not rerun and current working-tree drift was not re-certified in this reporting-only task.</x:v>
      </x:c>
      <x:c r="V749" s="1"/>
    </x:row>
    <x:row r="750" ht="46" customHeight="1">
      <x:c r="A750" s="17" t="n">
        <x:v>746</x:v>
      </x:c>
      <x:c r="B750" s="17" t="str">
        <x:v>Phase 4</x:v>
      </x:c>
      <x:c r="C750" s="17" t="str">
        <x:v>37.1</x:v>
      </x:c>
      <x:c r="D750" s="21" t="str">
        <x:v>FedRAMP Control Mapping Baseline</x:v>
      </x:c>
      <x:c r="E750" s="17" t="n">
        <x:v>3</x:v>
      </x:c>
      <x:c r="F750" s="21" t="str">
        <x:v>Add review states for draft, in_review, approved, gap_identified, accepted_risk, superseded, and archived.</x:v>
      </x:c>
      <x:c r="G750" s="17" t="str">
        <x:v>Software implementation</x:v>
      </x:c>
      <x:c r="H750" s="17" t="str">
        <x:v>Planned</x:v>
      </x:c>
      <x:c r="I750" s="18" t="str">
        <x:v>Completed</x:v>
      </x:c>
      <x:c r="J750" s="17" t="str">
        <x:f>IF(OR(I750="Completed",I750="Not Applicable"),"No","Yes")</x:f>
        <x:v>No</x:v>
      </x:c>
      <x:c r="K750" s="17" t="str">
        <x:v>37.1 task 2</x:v>
      </x:c>
      <x:c r="L750" s="21" t="str">
        <x:v>Story-labeled commit cb6c5814 contains delivery and focused test/test-result files: feat: implement story 37.1 fedramp control mappings</x:v>
      </x:c>
      <x:c r="M750" s="17" t="str">
        <x:v>Implementation commit + focused test artifacts</x:v>
      </x:c>
      <x:c r="N750" s="21" t="str">
        <x:v>git commit cb6c58145028c627c83d408b83940f06f220814e; /Users/devups/Development/CodexProjects/Gccs/docs/development-story-test-cases.md</x:v>
      </x:c>
      <x:c r="O750" s="19" t="n">
        <x:v>46192.960023148145</x:v>
      </x:c>
      <x:c r="P750" s="21" t="str">
        <x:v>5 acceptance criteria; 5 TC references; implementation=yes; smoke=yes; automated=yes; Story-level regression template</x:v>
      </x:c>
      <x:c r="Q750" s="21" t="str"/>
      <x:c r="R750" s="21" t="str">
        <x:v>Retain traceability; rerun focused verification if the affected boundary changes.</x:v>
      </x:c>
      <x:c r="S750" s="18" t="str"/>
      <x:c r="T750" s="20"/>
      <x:c r="U750" s="21" t="str">
        <x:v>Completion is based on immutable repository evidence; tests were not rerun and current working-tree drift was not re-certified in this reporting-only task.</x:v>
      </x:c>
      <x:c r="V750" s="1"/>
    </x:row>
    <x:row r="751" ht="46" customHeight="1">
      <x:c r="A751" s="17" t="n">
        <x:v>747</x:v>
      </x:c>
      <x:c r="B751" s="17" t="str">
        <x:v>Phase 4</x:v>
      </x:c>
      <x:c r="C751" s="17" t="str">
        <x:v>37.1</x:v>
      </x:c>
      <x:c r="D751" s="21" t="str">
        <x:v>FedRAMP Control Mapping Baseline</x:v>
      </x:c>
      <x:c r="E751" s="17" t="n">
        <x:v>4</x:v>
      </x:c>
      <x:c r="F751" s="21" t="str">
        <x:v>Add validation requiring owner, reviewer, review date, evidence or gap rationale, and source reference before approval.</x:v>
      </x:c>
      <x:c r="G751" s="17" t="str">
        <x:v>Software implementation</x:v>
      </x:c>
      <x:c r="H751" s="17" t="str">
        <x:v>Planned</x:v>
      </x:c>
      <x:c r="I751" s="18" t="str">
        <x:v>Completed</x:v>
      </x:c>
      <x:c r="J751" s="17" t="str">
        <x:f>IF(OR(I751="Completed",I751="Not Applicable"),"No","Yes")</x:f>
        <x:v>No</x:v>
      </x:c>
      <x:c r="K751" s="17" t="str">
        <x:v>37.1 task 3</x:v>
      </x:c>
      <x:c r="L751" s="21" t="str">
        <x:v>Story-labeled commit cb6c5814 contains delivery and focused test/test-result files: feat: implement story 37.1 fedramp control mappings</x:v>
      </x:c>
      <x:c r="M751" s="17" t="str">
        <x:v>Implementation commit + focused test artifacts</x:v>
      </x:c>
      <x:c r="N751" s="21" t="str">
        <x:v>git commit cb6c58145028c627c83d408b83940f06f220814e; /Users/devups/Development/CodexProjects/Gccs/docs/development-story-test-cases.md</x:v>
      </x:c>
      <x:c r="O751" s="19" t="n">
        <x:v>46192.960023148145</x:v>
      </x:c>
      <x:c r="P751" s="21" t="str">
        <x:v>5 acceptance criteria; 5 TC references; implementation=yes; smoke=yes; automated=yes; Story-level regression template</x:v>
      </x:c>
      <x:c r="Q751" s="21" t="str"/>
      <x:c r="R751" s="21" t="str">
        <x:v>Retain traceability; rerun focused verification if the affected boundary changes.</x:v>
      </x:c>
      <x:c r="S751" s="18" t="str"/>
      <x:c r="T751" s="20"/>
      <x:c r="U751" s="21" t="str">
        <x:v>Completion is based on immutable repository evidence; tests were not rerun and current working-tree drift was not re-certified in this reporting-only task.</x:v>
      </x:c>
      <x:c r="V751" s="1"/>
    </x:row>
    <x:row r="752" ht="46" customHeight="1">
      <x:c r="A752" s="17" t="n">
        <x:v>748</x:v>
      </x:c>
      <x:c r="B752" s="17" t="str">
        <x:v>Phase 4</x:v>
      </x:c>
      <x:c r="C752" s="17" t="str">
        <x:v>37.1</x:v>
      </x:c>
      <x:c r="D752" s="21" t="str">
        <x:v>FedRAMP Control Mapping Baseline</x:v>
      </x:c>
      <x:c r="E752" s="17" t="n">
        <x:v>5</x:v>
      </x:c>
      <x:c r="F752" s="21" t="str">
        <x:v>Add reporting for open gaps by control family and severity.</x:v>
      </x:c>
      <x:c r="G752" s="17" t="str">
        <x:v>Software implementation</x:v>
      </x:c>
      <x:c r="H752" s="17" t="str">
        <x:v>Planned</x:v>
      </x:c>
      <x:c r="I752" s="18" t="str">
        <x:v>Completed</x:v>
      </x:c>
      <x:c r="J752" s="17" t="str">
        <x:f>IF(OR(I752="Completed",I752="Not Applicable"),"No","Yes")</x:f>
        <x:v>No</x:v>
      </x:c>
      <x:c r="K752" s="17" t="str">
        <x:v>37.1 task 4</x:v>
      </x:c>
      <x:c r="L752" s="21" t="str">
        <x:v>Story-labeled commit cb6c5814 contains delivery and focused test/test-result files: feat: implement story 37.1 fedramp control mappings</x:v>
      </x:c>
      <x:c r="M752" s="17" t="str">
        <x:v>Implementation commit + focused test artifacts</x:v>
      </x:c>
      <x:c r="N752" s="21" t="str">
        <x:v>git commit cb6c58145028c627c83d408b83940f06f220814e; /Users/devups/Development/CodexProjects/Gccs/docs/development-story-test-cases.md</x:v>
      </x:c>
      <x:c r="O752" s="19" t="n">
        <x:v>46192.960023148145</x:v>
      </x:c>
      <x:c r="P752" s="21" t="str">
        <x:v>5 acceptance criteria; 5 TC references; implementation=yes; smoke=yes; automated=yes; Story-level regression template</x:v>
      </x:c>
      <x:c r="Q752" s="21" t="str"/>
      <x:c r="R752" s="21" t="str">
        <x:v>Retain traceability; rerun focused verification if the affected boundary changes.</x:v>
      </x:c>
      <x:c r="S752" s="18" t="str"/>
      <x:c r="T752" s="20"/>
      <x:c r="U752" s="21" t="str">
        <x:v>Completion is based on immutable repository evidence; tests were not rerun and current working-tree drift was not re-certified in this reporting-only task.</x:v>
      </x:c>
      <x:c r="V752" s="1"/>
    </x:row>
    <x:row r="753" ht="46" customHeight="1">
      <x:c r="A753" s="17" t="n">
        <x:v>749</x:v>
      </x:c>
      <x:c r="B753" s="17" t="str">
        <x:v>Phase 4</x:v>
      </x:c>
      <x:c r="C753" s="17" t="str">
        <x:v>37.2</x:v>
      </x:c>
      <x:c r="D753" s="21" t="str">
        <x:v>Trust Artifact Library</x:v>
      </x:c>
      <x:c r="E753" s="17" t="n">
        <x:v>1</x:v>
      </x:c>
      <x:c r="F753" s="21" t="str">
        <x:v>Add artifact records for security overview, architecture diagram, shared responsibility matrix, subprocessors list, data retention policy, incident response summary, AI usage policy, access control summary, and support SLA.</x:v>
      </x:c>
      <x:c r="G753" s="17" t="str">
        <x:v>Software implementation</x:v>
      </x:c>
      <x:c r="H753" s="17" t="str">
        <x:v>Planned</x:v>
      </x:c>
      <x:c r="I753" s="18" t="str">
        <x:v>Completed</x:v>
      </x:c>
      <x:c r="J753" s="17" t="str">
        <x:f>IF(OR(I753="Completed",I753="Not Applicable"),"No","Yes")</x:f>
        <x:v>No</x:v>
      </x:c>
      <x:c r="K753" s="17" t="str">
        <x:v>37.1</x:v>
      </x:c>
      <x:c r="L753" s="21" t="str">
        <x:v>Story-labeled commit f8c06848 contains delivery and focused test/test-result files: feat: implement story 37.2 trust artifact library</x:v>
      </x:c>
      <x:c r="M753" s="17" t="str">
        <x:v>Implementation commit + focused test artifacts</x:v>
      </x:c>
      <x:c r="N753" s="21" t="str">
        <x:v>git commit f8c068482e6949f210223442e78436c43c0fa2ff; /Users/devups/Development/CodexProjects/Gccs/docs/development-story-test-cases.md</x:v>
      </x:c>
      <x:c r="O753" s="19" t="n">
        <x:v>46192.96287037037</x:v>
      </x:c>
      <x:c r="P753" s="21" t="str">
        <x:v>5 acceptance criteria; 5 TC references; implementation=yes; smoke=yes; automated=yes; Story-level regression template</x:v>
      </x:c>
      <x:c r="Q753" s="21" t="str"/>
      <x:c r="R753" s="21" t="str">
        <x:v>Retain traceability; rerun focused verification if the affected boundary changes.</x:v>
      </x:c>
      <x:c r="S753" s="18" t="str"/>
      <x:c r="T753" s="20"/>
      <x:c r="U753" s="21" t="str">
        <x:v>Completion is based on immutable repository evidence; tests were not rerun and current working-tree drift was not re-certified in this reporting-only task.</x:v>
      </x:c>
      <x:c r="V753" s="1"/>
    </x:row>
    <x:row r="754" ht="46" customHeight="1">
      <x:c r="A754" s="17" t="n">
        <x:v>750</x:v>
      </x:c>
      <x:c r="B754" s="17" t="str">
        <x:v>Phase 4</x:v>
      </x:c>
      <x:c r="C754" s="17" t="str">
        <x:v>37.2</x:v>
      </x:c>
      <x:c r="D754" s="21" t="str">
        <x:v>Trust Artifact Library</x:v>
      </x:c>
      <x:c r="E754" s="17" t="n">
        <x:v>2</x:v>
      </x:c>
      <x:c r="F754" s="21" t="str">
        <x:v>Add artifact metadata for owner, version, status, audience, effective date, review date, expiration date, approver, and source file.</x:v>
      </x:c>
      <x:c r="G754" s="17" t="str">
        <x:v>Software implementation</x:v>
      </x:c>
      <x:c r="H754" s="17" t="str">
        <x:v>Planned</x:v>
      </x:c>
      <x:c r="I754" s="18" t="str">
        <x:v>Completed</x:v>
      </x:c>
      <x:c r="J754" s="17" t="str">
        <x:f>IF(OR(I754="Completed",I754="Not Applicable"),"No","Yes")</x:f>
        <x:v>No</x:v>
      </x:c>
      <x:c r="K754" s="17" t="str">
        <x:v>37.2 task 1</x:v>
      </x:c>
      <x:c r="L754" s="21" t="str">
        <x:v>Story-labeled commit f8c06848 contains delivery and focused test/test-result files: feat: implement story 37.2 trust artifact library</x:v>
      </x:c>
      <x:c r="M754" s="17" t="str">
        <x:v>Implementation commit + focused test artifacts</x:v>
      </x:c>
      <x:c r="N754" s="21" t="str">
        <x:v>git commit f8c068482e6949f210223442e78436c43c0fa2ff; /Users/devups/Development/CodexProjects/Gccs/docs/development-story-test-cases.md</x:v>
      </x:c>
      <x:c r="O754" s="19" t="n">
        <x:v>46192.96287037037</x:v>
      </x:c>
      <x:c r="P754" s="21" t="str">
        <x:v>5 acceptance criteria; 5 TC references; implementation=yes; smoke=yes; automated=yes; Story-level regression template</x:v>
      </x:c>
      <x:c r="Q754" s="21" t="str"/>
      <x:c r="R754" s="21" t="str">
        <x:v>Retain traceability; rerun focused verification if the affected boundary changes.</x:v>
      </x:c>
      <x:c r="S754" s="18" t="str"/>
      <x:c r="T754" s="20"/>
      <x:c r="U754" s="21" t="str">
        <x:v>Completion is based on immutable repository evidence; tests were not rerun and current working-tree drift was not re-certified in this reporting-only task.</x:v>
      </x:c>
      <x:c r="V754" s="1"/>
    </x:row>
    <x:row r="755" ht="46" customHeight="1">
      <x:c r="A755" s="17" t="n">
        <x:v>751</x:v>
      </x:c>
      <x:c r="B755" s="17" t="str">
        <x:v>Phase 4</x:v>
      </x:c>
      <x:c r="C755" s="17" t="str">
        <x:v>37.2</x:v>
      </x:c>
      <x:c r="D755" s="21" t="str">
        <x:v>Trust Artifact Library</x:v>
      </x:c>
      <x:c r="E755" s="17" t="n">
        <x:v>3</x:v>
      </x:c>
      <x:c r="F755" s="21" t="str">
        <x:v>Add publication states for draft, in_review, approved, published, expired, superseded, and archived.</x:v>
      </x:c>
      <x:c r="G755" s="17" t="str">
        <x:v>Software implementation</x:v>
      </x:c>
      <x:c r="H755" s="17" t="str">
        <x:v>Planned</x:v>
      </x:c>
      <x:c r="I755" s="18" t="str">
        <x:v>Completed</x:v>
      </x:c>
      <x:c r="J755" s="17" t="str">
        <x:f>IF(OR(I755="Completed",I755="Not Applicable"),"No","Yes")</x:f>
        <x:v>No</x:v>
      </x:c>
      <x:c r="K755" s="17" t="str">
        <x:v>37.2 task 2</x:v>
      </x:c>
      <x:c r="L755" s="21" t="str">
        <x:v>Story-labeled commit f8c06848 contains delivery and focused test/test-result files: feat: implement story 37.2 trust artifact library</x:v>
      </x:c>
      <x:c r="M755" s="17" t="str">
        <x:v>Implementation commit + focused test artifacts</x:v>
      </x:c>
      <x:c r="N755" s="21" t="str">
        <x:v>git commit f8c068482e6949f210223442e78436c43c0fa2ff; /Users/devups/Development/CodexProjects/Gccs/docs/development-story-test-cases.md</x:v>
      </x:c>
      <x:c r="O755" s="19" t="n">
        <x:v>46192.96287037037</x:v>
      </x:c>
      <x:c r="P755" s="21" t="str">
        <x:v>5 acceptance criteria; 5 TC references; implementation=yes; smoke=yes; automated=yes; Story-level regression template</x:v>
      </x:c>
      <x:c r="Q755" s="21" t="str"/>
      <x:c r="R755" s="21" t="str">
        <x:v>Retain traceability; rerun focused verification if the affected boundary changes.</x:v>
      </x:c>
      <x:c r="S755" s="18" t="str"/>
      <x:c r="T755" s="20"/>
      <x:c r="U755" s="21" t="str">
        <x:v>Completion is based on immutable repository evidence; tests were not rerun and current working-tree drift was not re-certified in this reporting-only task.</x:v>
      </x:c>
      <x:c r="V755" s="1"/>
    </x:row>
    <x:row r="756" ht="46" customHeight="1">
      <x:c r="A756" s="17" t="n">
        <x:v>752</x:v>
      </x:c>
      <x:c r="B756" s="17" t="str">
        <x:v>Phase 4</x:v>
      </x:c>
      <x:c r="C756" s="17" t="str">
        <x:v>37.2</x:v>
      </x:c>
      <x:c r="D756" s="21" t="str">
        <x:v>Trust Artifact Library</x:v>
      </x:c>
      <x:c r="E756" s="17" t="n">
        <x:v>4</x:v>
      </x:c>
      <x:c r="F756" s="21" t="str">
        <x:v>Add sharing restrictions by audience, tenant tier, environment, and NDA requirement.</x:v>
      </x:c>
      <x:c r="G756" s="17" t="str">
        <x:v>Software implementation</x:v>
      </x:c>
      <x:c r="H756" s="17" t="str">
        <x:v>Planned</x:v>
      </x:c>
      <x:c r="I756" s="18" t="str">
        <x:v>Completed</x:v>
      </x:c>
      <x:c r="J756" s="17" t="str">
        <x:f>IF(OR(I756="Completed",I756="Not Applicable"),"No","Yes")</x:f>
        <x:v>No</x:v>
      </x:c>
      <x:c r="K756" s="17" t="str">
        <x:v>37.2 task 3</x:v>
      </x:c>
      <x:c r="L756" s="21" t="str">
        <x:v>Story-labeled commit f8c06848 contains delivery and focused test/test-result files: feat: implement story 37.2 trust artifact library</x:v>
      </x:c>
      <x:c r="M756" s="17" t="str">
        <x:v>Implementation commit + focused test artifacts</x:v>
      </x:c>
      <x:c r="N756" s="21" t="str">
        <x:v>git commit f8c068482e6949f210223442e78436c43c0fa2ff; /Users/devups/Development/CodexProjects/Gccs/docs/development-story-test-cases.md</x:v>
      </x:c>
      <x:c r="O756" s="19" t="n">
        <x:v>46192.96287037037</x:v>
      </x:c>
      <x:c r="P756" s="21" t="str">
        <x:v>5 acceptance criteria; 5 TC references; implementation=yes; smoke=yes; automated=yes; Story-level regression template</x:v>
      </x:c>
      <x:c r="Q756" s="21" t="str"/>
      <x:c r="R756" s="21" t="str">
        <x:v>Retain traceability; rerun focused verification if the affected boundary changes.</x:v>
      </x:c>
      <x:c r="S756" s="18" t="str"/>
      <x:c r="T756" s="20"/>
      <x:c r="U756" s="21" t="str">
        <x:v>Completion is based on immutable repository evidence; tests were not rerun and current working-tree drift was not re-certified in this reporting-only task.</x:v>
      </x:c>
      <x:c r="V756" s="1"/>
    </x:row>
    <x:row r="757" ht="46" customHeight="1">
      <x:c r="A757" s="17" t="n">
        <x:v>753</x:v>
      </x:c>
      <x:c r="B757" s="17" t="str">
        <x:v>Phase 4</x:v>
      </x:c>
      <x:c r="C757" s="17" t="str">
        <x:v>37.2</x:v>
      </x:c>
      <x:c r="D757" s="21" t="str">
        <x:v>Trust Artifact Library</x:v>
      </x:c>
      <x:c r="E757" s="17" t="n">
        <x:v>5</x:v>
      </x:c>
      <x:c r="F757" s="21" t="str">
        <x:v>Add notification or task generation for artifacts approaching expiration.</x:v>
      </x:c>
      <x:c r="G757" s="17" t="str">
        <x:v>Software implementation</x:v>
      </x:c>
      <x:c r="H757" s="17" t="str">
        <x:v>Planned</x:v>
      </x:c>
      <x:c r="I757" s="18" t="str">
        <x:v>Completed</x:v>
      </x:c>
      <x:c r="J757" s="17" t="str">
        <x:f>IF(OR(I757="Completed",I757="Not Applicable"),"No","Yes")</x:f>
        <x:v>No</x:v>
      </x:c>
      <x:c r="K757" s="17" t="str">
        <x:v>37.2 task 4</x:v>
      </x:c>
      <x:c r="L757" s="21" t="str">
        <x:v>Story-labeled commit f8c06848 contains delivery and focused test/test-result files: feat: implement story 37.2 trust artifact library</x:v>
      </x:c>
      <x:c r="M757" s="17" t="str">
        <x:v>Implementation commit + focused test artifacts</x:v>
      </x:c>
      <x:c r="N757" s="21" t="str">
        <x:v>git commit f8c068482e6949f210223442e78436c43c0fa2ff; /Users/devups/Development/CodexProjects/Gccs/docs/development-story-test-cases.md</x:v>
      </x:c>
      <x:c r="O757" s="19" t="n">
        <x:v>46192.96287037037</x:v>
      </x:c>
      <x:c r="P757" s="21" t="str">
        <x:v>5 acceptance criteria; 5 TC references; implementation=yes; smoke=yes; automated=yes; Story-level regression template</x:v>
      </x:c>
      <x:c r="Q757" s="21" t="str"/>
      <x:c r="R757" s="21" t="str">
        <x:v>Retain traceability; rerun focused verification if the affected boundary changes.</x:v>
      </x:c>
      <x:c r="S757" s="18" t="str"/>
      <x:c r="T757" s="20"/>
      <x:c r="U757" s="21" t="str">
        <x:v>Completion is based on immutable repository evidence; tests were not rerun and current working-tree drift was not re-certified in this reporting-only task.</x:v>
      </x:c>
      <x:c r="V757" s="1"/>
    </x:row>
    <x:row r="758" ht="46" customHeight="1">
      <x:c r="A758" s="17" t="n">
        <x:v>754</x:v>
      </x:c>
      <x:c r="B758" s="17" t="str">
        <x:v>Phase 4</x:v>
      </x:c>
      <x:c r="C758" s="17" t="str">
        <x:v>37.3</x:v>
      </x:c>
      <x:c r="D758" s="21" t="str">
        <x:v>FedRAMP Readiness Export Package</x:v>
      </x:c>
      <x:c r="E758" s="17" t="n">
        <x:v>1</x:v>
      </x:c>
      <x:c r="F758" s="21" t="str">
        <x:v>Add export package generation for selected control mappings, trust artifacts, operations evidence, gap register, accepted risks, and readiness summary.</x:v>
      </x:c>
      <x:c r="G758" s="17" t="str">
        <x:v>Software implementation</x:v>
      </x:c>
      <x:c r="H758" s="17" t="str">
        <x:v>Planned</x:v>
      </x:c>
      <x:c r="I758" s="18" t="str">
        <x:v>Completed</x:v>
      </x:c>
      <x:c r="J758" s="17" t="str">
        <x:f>IF(OR(I758="Completed",I758="Not Applicable"),"No","Yes")</x:f>
        <x:v>No</x:v>
      </x:c>
      <x:c r="K758" s="17" t="str">
        <x:v>37.2</x:v>
      </x:c>
      <x:c r="L758" s="21" t="str">
        <x:v>Story-labeled commit 40fb9266 contains delivery and focused test/test-result files: feat: implement story 37.3 fedramp readiness package</x:v>
      </x:c>
      <x:c r="M758" s="17" t="str">
        <x:v>Implementation commit + focused test artifacts</x:v>
      </x:c>
      <x:c r="N758" s="21" t="str">
        <x:v>git commit 40fb92661e50e4e60fa34b6c311f72c6c0551262; /Users/devups/Development/CodexProjects/Gccs/docs/development-story-test-cases.md</x:v>
      </x:c>
      <x:c r="O758" s="19" t="n">
        <x:v>46192.96662037037</x:v>
      </x:c>
      <x:c r="P758" s="21" t="str">
        <x:v>5 acceptance criteria; 5 TC references; implementation=yes; smoke=yes; automated=yes; Story-level regression template</x:v>
      </x:c>
      <x:c r="Q758" s="21" t="str"/>
      <x:c r="R758" s="21" t="str">
        <x:v>Retain traceability; rerun focused verification if the affected boundary changes.</x:v>
      </x:c>
      <x:c r="S758" s="18" t="str"/>
      <x:c r="T758" s="20"/>
      <x:c r="U758" s="21" t="str">
        <x:v>Completion is based on immutable repository evidence; tests were not rerun and current working-tree drift was not re-certified in this reporting-only task.</x:v>
      </x:c>
      <x:c r="V758" s="1"/>
    </x:row>
    <x:row r="759" ht="46" customHeight="1">
      <x:c r="A759" s="17" t="n">
        <x:v>755</x:v>
      </x:c>
      <x:c r="B759" s="17" t="str">
        <x:v>Phase 4</x:v>
      </x:c>
      <x:c r="C759" s="17" t="str">
        <x:v>37.3</x:v>
      </x:c>
      <x:c r="D759" s="21" t="str">
        <x:v>FedRAMP Readiness Export Package</x:v>
      </x:c>
      <x:c r="E759" s="17" t="n">
        <x:v>2</x:v>
      </x:c>
      <x:c r="F759" s="21" t="str">
        <x:v>Include generated date, package version, environment, scope, reviewer metadata, disclaimers, and authorization-status language.</x:v>
      </x:c>
      <x:c r="G759" s="17" t="str">
        <x:v>Software implementation</x:v>
      </x:c>
      <x:c r="H759" s="17" t="str">
        <x:v>Planned</x:v>
      </x:c>
      <x:c r="I759" s="18" t="str">
        <x:v>Completed</x:v>
      </x:c>
      <x:c r="J759" s="17" t="str">
        <x:f>IF(OR(I759="Completed",I759="Not Applicable"),"No","Yes")</x:f>
        <x:v>No</x:v>
      </x:c>
      <x:c r="K759" s="17" t="str">
        <x:v>37.3 task 1</x:v>
      </x:c>
      <x:c r="L759" s="21" t="str">
        <x:v>Story-labeled commit 40fb9266 contains delivery and focused test/test-result files: feat: implement story 37.3 fedramp readiness package</x:v>
      </x:c>
      <x:c r="M759" s="17" t="str">
        <x:v>Implementation commit + focused test artifacts</x:v>
      </x:c>
      <x:c r="N759" s="21" t="str">
        <x:v>git commit 40fb92661e50e4e60fa34b6c311f72c6c0551262; /Users/devups/Development/CodexProjects/Gccs/docs/development-story-test-cases.md</x:v>
      </x:c>
      <x:c r="O759" s="19" t="n">
        <x:v>46192.96662037037</x:v>
      </x:c>
      <x:c r="P759" s="21" t="str">
        <x:v>5 acceptance criteria; 5 TC references; implementation=yes; smoke=yes; automated=yes; Story-level regression template</x:v>
      </x:c>
      <x:c r="Q759" s="21" t="str"/>
      <x:c r="R759" s="21" t="str">
        <x:v>Retain traceability; rerun focused verification if the affected boundary changes.</x:v>
      </x:c>
      <x:c r="S759" s="18" t="str"/>
      <x:c r="T759" s="20"/>
      <x:c r="U759" s="21" t="str">
        <x:v>Completion is based on immutable repository evidence; tests were not rerun and current working-tree drift was not re-certified in this reporting-only task.</x:v>
      </x:c>
      <x:c r="V759" s="1"/>
    </x:row>
    <x:row r="760" ht="46" customHeight="1">
      <x:c r="A760" s="17" t="n">
        <x:v>756</x:v>
      </x:c>
      <x:c r="B760" s="17" t="str">
        <x:v>Phase 4</x:v>
      </x:c>
      <x:c r="C760" s="17" t="str">
        <x:v>37.3</x:v>
      </x:c>
      <x:c r="D760" s="21" t="str">
        <x:v>FedRAMP Readiness Export Package</x:v>
      </x:c>
      <x:c r="E760" s="17" t="n">
        <x:v>3</x:v>
      </x:c>
      <x:c r="F760" s="21" t="str">
        <x:v>Exclude draft, expired, superseded, restricted, prohibited, or cross-tenant artifacts.</x:v>
      </x:c>
      <x:c r="G760" s="17" t="str">
        <x:v>Software implementation</x:v>
      </x:c>
      <x:c r="H760" s="17" t="str">
        <x:v>Planned</x:v>
      </x:c>
      <x:c r="I760" s="18" t="str">
        <x:v>Completed</x:v>
      </x:c>
      <x:c r="J760" s="17" t="str">
        <x:f>IF(OR(I760="Completed",I760="Not Applicable"),"No","Yes")</x:f>
        <x:v>No</x:v>
      </x:c>
      <x:c r="K760" s="17" t="str">
        <x:v>37.3 task 2</x:v>
      </x:c>
      <x:c r="L760" s="21" t="str">
        <x:v>Story-labeled commit 40fb9266 contains delivery and focused test/test-result files: feat: implement story 37.3 fedramp readiness package</x:v>
      </x:c>
      <x:c r="M760" s="17" t="str">
        <x:v>Implementation commit + focused test artifacts</x:v>
      </x:c>
      <x:c r="N760" s="21" t="str">
        <x:v>git commit 40fb92661e50e4e60fa34b6c311f72c6c0551262; /Users/devups/Development/CodexProjects/Gccs/docs/development-story-test-cases.md</x:v>
      </x:c>
      <x:c r="O760" s="19" t="n">
        <x:v>46192.96662037037</x:v>
      </x:c>
      <x:c r="P760" s="21" t="str">
        <x:v>5 acceptance criteria; 5 TC references; implementation=yes; smoke=yes; automated=yes; Story-level regression template</x:v>
      </x:c>
      <x:c r="Q760" s="21" t="str"/>
      <x:c r="R760" s="21" t="str">
        <x:v>Retain traceability; rerun focused verification if the affected boundary changes.</x:v>
      </x:c>
      <x:c r="S760" s="18" t="str"/>
      <x:c r="T760" s="20"/>
      <x:c r="U760" s="21" t="str">
        <x:v>Completion is based on immutable repository evidence; tests were not rerun and current working-tree drift was not re-certified in this reporting-only task.</x:v>
      </x:c>
      <x:c r="V760" s="1"/>
    </x:row>
    <x:row r="761" ht="46" customHeight="1">
      <x:c r="A761" s="17" t="n">
        <x:v>757</x:v>
      </x:c>
      <x:c r="B761" s="17" t="str">
        <x:v>Phase 4</x:v>
      </x:c>
      <x:c r="C761" s="17" t="str">
        <x:v>37.3</x:v>
      </x:c>
      <x:c r="D761" s="21" t="str">
        <x:v>FedRAMP Readiness Export Package</x:v>
      </x:c>
      <x:c r="E761" s="17" t="n">
        <x:v>4</x:v>
      </x:c>
      <x:c r="F761" s="21" t="str">
        <x:v>Add review workflow for draft, in_review, approved, shared, superseded, and archived readiness packages.</x:v>
      </x:c>
      <x:c r="G761" s="17" t="str">
        <x:v>Software implementation</x:v>
      </x:c>
      <x:c r="H761" s="17" t="str">
        <x:v>Planned</x:v>
      </x:c>
      <x:c r="I761" s="18" t="str">
        <x:v>Completed</x:v>
      </x:c>
      <x:c r="J761" s="17" t="str">
        <x:f>IF(OR(I761="Completed",I761="Not Applicable"),"No","Yes")</x:f>
        <x:v>No</x:v>
      </x:c>
      <x:c r="K761" s="17" t="str">
        <x:v>37.3 task 3</x:v>
      </x:c>
      <x:c r="L761" s="21" t="str">
        <x:v>Story-labeled commit 40fb9266 contains delivery and focused test/test-result files: feat: implement story 37.3 fedramp readiness package</x:v>
      </x:c>
      <x:c r="M761" s="17" t="str">
        <x:v>Implementation commit + focused test artifacts</x:v>
      </x:c>
      <x:c r="N761" s="21" t="str">
        <x:v>git commit 40fb92661e50e4e60fa34b6c311f72c6c0551262; /Users/devups/Development/CodexProjects/Gccs/docs/development-story-test-cases.md</x:v>
      </x:c>
      <x:c r="O761" s="19" t="n">
        <x:v>46192.96662037037</x:v>
      </x:c>
      <x:c r="P761" s="21" t="str">
        <x:v>5 acceptance criteria; 5 TC references; implementation=yes; smoke=yes; automated=yes; Story-level regression template</x:v>
      </x:c>
      <x:c r="Q761" s="21" t="str"/>
      <x:c r="R761" s="21" t="str">
        <x:v>Retain traceability; rerun focused verification if the affected boundary changes.</x:v>
      </x:c>
      <x:c r="S761" s="18" t="str"/>
      <x:c r="T761" s="20"/>
      <x:c r="U761" s="21" t="str">
        <x:v>Completion is based on immutable repository evidence; tests were not rerun and current working-tree drift was not re-certified in this reporting-only task.</x:v>
      </x:c>
      <x:c r="V761" s="1"/>
    </x:row>
    <x:row r="762" ht="46" customHeight="1">
      <x:c r="A762" s="17" t="n">
        <x:v>758</x:v>
      </x:c>
      <x:c r="B762" s="17" t="str">
        <x:v>Phase 4</x:v>
      </x:c>
      <x:c r="C762" s="17" t="str">
        <x:v>37.3</x:v>
      </x:c>
      <x:c r="D762" s="21" t="str">
        <x:v>FedRAMP Readiness Export Package</x:v>
      </x:c>
      <x:c r="E762" s="17" t="n">
        <x:v>5</x:v>
      </x:c>
      <x:c r="F762" s="21" t="str">
        <x:v>Add export history, external recipient metadata, and revocation status.</x:v>
      </x:c>
      <x:c r="G762" s="17" t="str">
        <x:v>Software implementation</x:v>
      </x:c>
      <x:c r="H762" s="17" t="str">
        <x:v>Planned</x:v>
      </x:c>
      <x:c r="I762" s="18" t="str">
        <x:v>Completed</x:v>
      </x:c>
      <x:c r="J762" s="17" t="str">
        <x:f>IF(OR(I762="Completed",I762="Not Applicable"),"No","Yes")</x:f>
        <x:v>No</x:v>
      </x:c>
      <x:c r="K762" s="17" t="str">
        <x:v>37.3 task 4</x:v>
      </x:c>
      <x:c r="L762" s="21" t="str">
        <x:v>Story-labeled commit 40fb9266 contains delivery and focused test/test-result files: feat: implement story 37.3 fedramp readiness package</x:v>
      </x:c>
      <x:c r="M762" s="17" t="str">
        <x:v>Implementation commit + focused test artifacts</x:v>
      </x:c>
      <x:c r="N762" s="21" t="str">
        <x:v>git commit 40fb92661e50e4e60fa34b6c311f72c6c0551262; /Users/devups/Development/CodexProjects/Gccs/docs/development-story-test-cases.md</x:v>
      </x:c>
      <x:c r="O762" s="19" t="n">
        <x:v>46192.96662037037</x:v>
      </x:c>
      <x:c r="P762" s="21" t="str">
        <x:v>5 acceptance criteria; 5 TC references; implementation=yes; smoke=yes; automated=yes; Story-level regression template</x:v>
      </x:c>
      <x:c r="Q762" s="21" t="str"/>
      <x:c r="R762" s="21" t="str">
        <x:v>Retain traceability; rerun focused verification if the affected boundary changes.</x:v>
      </x:c>
      <x:c r="S762" s="18" t="str"/>
      <x:c r="T762" s="20"/>
      <x:c r="U762" s="21" t="str">
        <x:v>Completion is based on immutable repository evidence; tests were not rerun and current working-tree drift was not re-certified in this reporting-only task.</x:v>
      </x:c>
      <x:c r="V762" s="1"/>
    </x:row>
    <x:row r="763" ht="46" customHeight="1">
      <x:c r="A763" s="17" t="n">
        <x:v>759</x:v>
      </x:c>
      <x:c r="B763" s="17" t="str">
        <x:v>Phase 4</x:v>
      </x:c>
      <x:c r="C763" s="17" t="str">
        <x:v>38.1</x:v>
      </x:c>
      <x:c r="D763" s="21" t="str">
        <x:v>CUI Enclave Boundary Model</x:v>
      </x:c>
      <x:c r="E763" s="17" t="n">
        <x:v>1</x:v>
      </x:c>
      <x:c r="F763" s="21" t="str">
        <x:v>Add enclave records with tenant, environment, boundary description, data handling mode, approved workflows, storage location, compute boundary, network restrictions, logging destination, backup policy, and support access model.</x:v>
      </x:c>
      <x:c r="G763" s="17" t="str">
        <x:v>Software implementation</x:v>
      </x:c>
      <x:c r="H763" s="17" t="str">
        <x:v>Planned</x:v>
      </x:c>
      <x:c r="I763" s="18" t="str">
        <x:v>Completed</x:v>
      </x:c>
      <x:c r="J763" s="17" t="str">
        <x:f>IF(OR(I763="Completed",I763="Not Applicable"),"No","Yes")</x:f>
        <x:v>No</x:v>
      </x:c>
      <x:c r="K763" s="17" t="str">
        <x:v>37.3</x:v>
      </x:c>
      <x:c r="L763" s="21" t="str">
        <x:v>Story-labeled commit 7d96e24e contains delivery and focused test/test-result files: feat: implement story 38.1 cui enclave boundary</x:v>
      </x:c>
      <x:c r="M763" s="17" t="str">
        <x:v>Implementation commit + focused test artifacts</x:v>
      </x:c>
      <x:c r="N763" s="21" t="str">
        <x:v>git commit 7d96e24e50d3d7a4bda93f7e819bc48ca36a63b9; /Users/devups/Development/CodexProjects/Gccs/docs/development-story-test-cases.md</x:v>
      </x:c>
      <x:c r="O763" s="19" t="n">
        <x:v>46192.96849537037</x:v>
      </x:c>
      <x:c r="P763" s="21" t="str">
        <x:v>5 acceptance criteria; 5 TC references; implementation=yes; smoke=yes; automated=yes; Story-level regression template</x:v>
      </x:c>
      <x:c r="Q763" s="21" t="str"/>
      <x:c r="R763" s="21" t="str">
        <x:v>Retain traceability; rerun focused verification if the affected boundary changes.</x:v>
      </x:c>
      <x:c r="S763" s="18" t="str"/>
      <x:c r="T763" s="20"/>
      <x:c r="U763" s="21" t="str">
        <x:v>Completion is based on immutable repository evidence; tests were not rerun and current working-tree drift was not re-certified in this reporting-only task.</x:v>
      </x:c>
      <x:c r="V763" s="1"/>
    </x:row>
    <x:row r="764" ht="46" customHeight="1">
      <x:c r="A764" s="17" t="n">
        <x:v>760</x:v>
      </x:c>
      <x:c r="B764" s="17" t="str">
        <x:v>Phase 4</x:v>
      </x:c>
      <x:c r="C764" s="17" t="str">
        <x:v>38.1</x:v>
      </x:c>
      <x:c r="D764" s="21" t="str">
        <x:v>CUI Enclave Boundary Model</x:v>
      </x:c>
      <x:c r="E764" s="17" t="n">
        <x:v>2</x:v>
      </x:c>
      <x:c r="F764" s="21" t="str">
        <x:v>Link enclave approval to future CuiReady tenant approval, security review checklist, incident readiness, and shared responsibility matrix acknowledgement.</x:v>
      </x:c>
      <x:c r="G764" s="17" t="str">
        <x:v>Software implementation</x:v>
      </x:c>
      <x:c r="H764" s="17" t="str">
        <x:v>Planned</x:v>
      </x:c>
      <x:c r="I764" s="18" t="str">
        <x:v>Completed</x:v>
      </x:c>
      <x:c r="J764" s="17" t="str">
        <x:f>IF(OR(I764="Completed",I764="Not Applicable"),"No","Yes")</x:f>
        <x:v>No</x:v>
      </x:c>
      <x:c r="K764" s="17" t="str">
        <x:v>38.1 task 1</x:v>
      </x:c>
      <x:c r="L764" s="21" t="str">
        <x:v>Story-labeled commit 7d96e24e contains delivery and focused test/test-result files: feat: implement story 38.1 cui enclave boundary</x:v>
      </x:c>
      <x:c r="M764" s="17" t="str">
        <x:v>Implementation commit + focused test artifacts</x:v>
      </x:c>
      <x:c r="N764" s="21" t="str">
        <x:v>git commit 7d96e24e50d3d7a4bda93f7e819bc48ca36a63b9; /Users/devups/Development/CodexProjects/Gccs/docs/development-story-test-cases.md</x:v>
      </x:c>
      <x:c r="O764" s="19" t="n">
        <x:v>46192.96849537037</x:v>
      </x:c>
      <x:c r="P764" s="21" t="str">
        <x:v>5 acceptance criteria; 5 TC references; implementation=yes; smoke=yes; automated=yes; Story-level regression template</x:v>
      </x:c>
      <x:c r="Q764" s="21" t="str"/>
      <x:c r="R764" s="21" t="str">
        <x:v>Retain traceability; rerun focused verification if the affected boundary changes.</x:v>
      </x:c>
      <x:c r="S764" s="18" t="str"/>
      <x:c r="T764" s="20"/>
      <x:c r="U764" s="21" t="str">
        <x:v>Completion is based on immutable repository evidence; tests were not rerun and current working-tree drift was not re-certified in this reporting-only task.</x:v>
      </x:c>
      <x:c r="V764" s="1"/>
    </x:row>
    <x:row r="765" ht="46" customHeight="1">
      <x:c r="A765" s="17" t="n">
        <x:v>761</x:v>
      </x:c>
      <x:c r="B765" s="17" t="str">
        <x:v>Phase 4</x:v>
      </x:c>
      <x:c r="C765" s="17" t="str">
        <x:v>38.1</x:v>
      </x:c>
      <x:c r="D765" s="21" t="str">
        <x:v>CUI Enclave Boundary Model</x:v>
      </x:c>
      <x:c r="E765" s="17" t="n">
        <x:v>3</x:v>
      </x:c>
      <x:c r="F765" s="21" t="str">
        <x:v>Add status workflow for draft, under_review, approved, active, suspended, retired, and revoked.</x:v>
      </x:c>
      <x:c r="G765" s="17" t="str">
        <x:v>Software implementation</x:v>
      </x:c>
      <x:c r="H765" s="17" t="str">
        <x:v>Planned</x:v>
      </x:c>
      <x:c r="I765" s="18" t="str">
        <x:v>Completed</x:v>
      </x:c>
      <x:c r="J765" s="17" t="str">
        <x:f>IF(OR(I765="Completed",I765="Not Applicable"),"No","Yes")</x:f>
        <x:v>No</x:v>
      </x:c>
      <x:c r="K765" s="17" t="str">
        <x:v>38.1 task 2</x:v>
      </x:c>
      <x:c r="L765" s="21" t="str">
        <x:v>Story-labeled commit 7d96e24e contains delivery and focused test/test-result files: feat: implement story 38.1 cui enclave boundary</x:v>
      </x:c>
      <x:c r="M765" s="17" t="str">
        <x:v>Implementation commit + focused test artifacts</x:v>
      </x:c>
      <x:c r="N765" s="21" t="str">
        <x:v>git commit 7d96e24e50d3d7a4bda93f7e819bc48ca36a63b9; /Users/devups/Development/CodexProjects/Gccs/docs/development-story-test-cases.md</x:v>
      </x:c>
      <x:c r="O765" s="19" t="n">
        <x:v>46192.96849537037</x:v>
      </x:c>
      <x:c r="P765" s="21" t="str">
        <x:v>5 acceptance criteria; 5 TC references; implementation=yes; smoke=yes; automated=yes; Story-level regression template</x:v>
      </x:c>
      <x:c r="Q765" s="21" t="str"/>
      <x:c r="R765" s="21" t="str">
        <x:v>Retain traceability; rerun focused verification if the affected boundary changes.</x:v>
      </x:c>
      <x:c r="S765" s="18" t="str"/>
      <x:c r="T765" s="20"/>
      <x:c r="U765" s="21" t="str">
        <x:v>Completion is based on immutable repository evidence; tests were not rerun and current working-tree drift was not re-certified in this reporting-only task.</x:v>
      </x:c>
      <x:c r="V765" s="1"/>
    </x:row>
    <x:row r="766" ht="46" customHeight="1">
      <x:c r="A766" s="17" t="n">
        <x:v>762</x:v>
      </x:c>
      <x:c r="B766" s="17" t="str">
        <x:v>Phase 4</x:v>
      </x:c>
      <x:c r="C766" s="17" t="str">
        <x:v>38.1</x:v>
      </x:c>
      <x:c r="D766" s="21" t="str">
        <x:v>CUI Enclave Boundary Model</x:v>
      </x:c>
      <x:c r="E766" s="17" t="n">
        <x:v>4</x:v>
      </x:c>
      <x:c r="F766" s="21" t="str">
        <x:v>Add validation that only approved CuiReady tenants can activate enclave workflows.</x:v>
      </x:c>
      <x:c r="G766" s="17" t="str">
        <x:v>Software implementation</x:v>
      </x:c>
      <x:c r="H766" s="17" t="str">
        <x:v>Planned</x:v>
      </x:c>
      <x:c r="I766" s="18" t="str">
        <x:v>Completed</x:v>
      </x:c>
      <x:c r="J766" s="17" t="str">
        <x:f>IF(OR(I766="Completed",I766="Not Applicable"),"No","Yes")</x:f>
        <x:v>No</x:v>
      </x:c>
      <x:c r="K766" s="17" t="str">
        <x:v>38.1 task 3</x:v>
      </x:c>
      <x:c r="L766" s="21" t="str">
        <x:v>Story-labeled commit 7d96e24e contains delivery and focused test/test-result files: feat: implement story 38.1 cui enclave boundary</x:v>
      </x:c>
      <x:c r="M766" s="17" t="str">
        <x:v>Implementation commit + focused test artifacts</x:v>
      </x:c>
      <x:c r="N766" s="21" t="str">
        <x:v>git commit 7d96e24e50d3d7a4bda93f7e819bc48ca36a63b9; /Users/devups/Development/CodexProjects/Gccs/docs/development-story-test-cases.md</x:v>
      </x:c>
      <x:c r="O766" s="19" t="n">
        <x:v>46192.96849537037</x:v>
      </x:c>
      <x:c r="P766" s="21" t="str">
        <x:v>5 acceptance criteria; 5 TC references; implementation=yes; smoke=yes; automated=yes; Story-level regression template</x:v>
      </x:c>
      <x:c r="Q766" s="21" t="str"/>
      <x:c r="R766" s="21" t="str">
        <x:v>Retain traceability; rerun focused verification if the affected boundary changes.</x:v>
      </x:c>
      <x:c r="S766" s="18" t="str"/>
      <x:c r="T766" s="20"/>
      <x:c r="U766" s="21" t="str">
        <x:v>Completion is based on immutable repository evidence; tests were not rerun and current working-tree drift was not re-certified in this reporting-only task.</x:v>
      </x:c>
      <x:c r="V766" s="1"/>
    </x:row>
    <x:row r="767" ht="46" customHeight="1">
      <x:c r="A767" s="17" t="n">
        <x:v>763</x:v>
      </x:c>
      <x:c r="B767" s="17" t="str">
        <x:v>Phase 4</x:v>
      </x:c>
      <x:c r="C767" s="17" t="str">
        <x:v>38.1</x:v>
      </x:c>
      <x:c r="D767" s="21" t="str">
        <x:v>CUI Enclave Boundary Model</x:v>
      </x:c>
      <x:c r="E767" s="17" t="n">
        <x:v>5</x:v>
      </x:c>
      <x:c r="F767" s="21" t="str">
        <x:v>Add boundary diagram or metadata export for review packages.</x:v>
      </x:c>
      <x:c r="G767" s="17" t="str">
        <x:v>Software implementation</x:v>
      </x:c>
      <x:c r="H767" s="17" t="str">
        <x:v>Planned</x:v>
      </x:c>
      <x:c r="I767" s="18" t="str">
        <x:v>Completed</x:v>
      </x:c>
      <x:c r="J767" s="17" t="str">
        <x:f>IF(OR(I767="Completed",I767="Not Applicable"),"No","Yes")</x:f>
        <x:v>No</x:v>
      </x:c>
      <x:c r="K767" s="17" t="str">
        <x:v>38.1 task 4</x:v>
      </x:c>
      <x:c r="L767" s="21" t="str">
        <x:v>Story-labeled commit 7d96e24e contains delivery and focused test/test-result files: feat: implement story 38.1 cui enclave boundary</x:v>
      </x:c>
      <x:c r="M767" s="17" t="str">
        <x:v>Implementation commit + focused test artifacts</x:v>
      </x:c>
      <x:c r="N767" s="21" t="str">
        <x:v>git commit 7d96e24e50d3d7a4bda93f7e819bc48ca36a63b9; /Users/devups/Development/CodexProjects/Gccs/docs/development-story-test-cases.md</x:v>
      </x:c>
      <x:c r="O767" s="19" t="n">
        <x:v>46192.96849537037</x:v>
      </x:c>
      <x:c r="P767" s="21" t="str">
        <x:v>5 acceptance criteria; 5 TC references; implementation=yes; smoke=yes; automated=yes; Story-level regression template</x:v>
      </x:c>
      <x:c r="Q767" s="21" t="str"/>
      <x:c r="R767" s="21" t="str">
        <x:v>Retain traceability; rerun focused verification if the affected boundary changes.</x:v>
      </x:c>
      <x:c r="S767" s="18" t="str"/>
      <x:c r="T767" s="20"/>
      <x:c r="U767" s="21" t="str">
        <x:v>Completion is based on immutable repository evidence; tests were not rerun and current working-tree drift was not re-certified in this reporting-only task.</x:v>
      </x:c>
      <x:c r="V767" s="1"/>
    </x:row>
    <x:row r="768" ht="46" customHeight="1">
      <x:c r="A768" s="17" t="n">
        <x:v>764</x:v>
      </x:c>
      <x:c r="B768" s="17" t="str">
        <x:v>Phase 4</x:v>
      </x:c>
      <x:c r="C768" s="17" t="str">
        <x:v>38.2</x:v>
      </x:c>
      <x:c r="D768" s="21" t="str">
        <x:v>Customer-Managed Key Policy And Rotation</x:v>
      </x:c>
      <x:c r="E768" s="17" t="n">
        <x:v>1</x:v>
      </x:c>
      <x:c r="F768" s="21" t="str">
        <x:v>Add customer-managed key policy records with key provider, key ID, environment, tenant, status, rotation cadence, last rotation date, next rotation date, owner, approver, and emergency contact.</x:v>
      </x:c>
      <x:c r="G768" s="17" t="str">
        <x:v>Software implementation</x:v>
      </x:c>
      <x:c r="H768" s="17" t="str">
        <x:v>Planned</x:v>
      </x:c>
      <x:c r="I768" s="18" t="str">
        <x:v>Completed</x:v>
      </x:c>
      <x:c r="J768" s="17" t="str">
        <x:f>IF(OR(I768="Completed",I768="Not Applicable"),"No","Yes")</x:f>
        <x:v>No</x:v>
      </x:c>
      <x:c r="K768" s="17" t="str">
        <x:v>38.1</x:v>
      </x:c>
      <x:c r="L768" s="21" t="str">
        <x:v>Story-labeled commit dc8203df contains delivery and focused test/test-result files: feat: implement story 38.2 customer managed keys</x:v>
      </x:c>
      <x:c r="M768" s="17" t="str">
        <x:v>Implementation commit + focused test artifacts</x:v>
      </x:c>
      <x:c r="N768" s="21" t="str">
        <x:v>git commit dc8203dffd8719b906c32e4d63511e230c64b2d9; /Users/devups/Development/CodexProjects/Gccs/docs/development-story-test-cases.md</x:v>
      </x:c>
      <x:c r="O768" s="19" t="n">
        <x:v>46192.970717592594</x:v>
      </x:c>
      <x:c r="P768" s="21" t="str">
        <x:v>5 acceptance criteria; 5 TC references; implementation=yes; smoke=yes; automated=yes; Story-level regression template</x:v>
      </x:c>
      <x:c r="Q768" s="21" t="str"/>
      <x:c r="R768" s="21" t="str">
        <x:v>Retain traceability; rerun focused verification if the affected boundary changes.</x:v>
      </x:c>
      <x:c r="S768" s="18" t="str"/>
      <x:c r="T768" s="20"/>
      <x:c r="U768" s="21" t="str">
        <x:v>Completion is based on immutable repository evidence; tests were not rerun and current working-tree drift was not re-certified in this reporting-only task.</x:v>
      </x:c>
      <x:c r="V768" s="1"/>
    </x:row>
    <x:row r="769" ht="46" customHeight="1">
      <x:c r="A769" s="17" t="n">
        <x:v>765</x:v>
      </x:c>
      <x:c r="B769" s="17" t="str">
        <x:v>Phase 4</x:v>
      </x:c>
      <x:c r="C769" s="17" t="str">
        <x:v>38.2</x:v>
      </x:c>
      <x:c r="D769" s="21" t="str">
        <x:v>Customer-Managed Key Policy And Rotation</x:v>
      </x:c>
      <x:c r="E769" s="17" t="n">
        <x:v>2</x:v>
      </x:c>
      <x:c r="F769" s="21" t="str">
        <x:v>Add key validation workflow for availability, permissions, region match, encryption compatibility, and backup implications.</x:v>
      </x:c>
      <x:c r="G769" s="17" t="str">
        <x:v>Software implementation</x:v>
      </x:c>
      <x:c r="H769" s="17" t="str">
        <x:v>Planned</x:v>
      </x:c>
      <x:c r="I769" s="18" t="str">
        <x:v>Completed</x:v>
      </x:c>
      <x:c r="J769" s="17" t="str">
        <x:f>IF(OR(I769="Completed",I769="Not Applicable"),"No","Yes")</x:f>
        <x:v>No</x:v>
      </x:c>
      <x:c r="K769" s="17" t="str">
        <x:v>38.2 task 1</x:v>
      </x:c>
      <x:c r="L769" s="21" t="str">
        <x:v>Story-labeled commit dc8203df contains delivery and focused test/test-result files: feat: implement story 38.2 customer managed keys</x:v>
      </x:c>
      <x:c r="M769" s="17" t="str">
        <x:v>Implementation commit + focused test artifacts</x:v>
      </x:c>
      <x:c r="N769" s="21" t="str">
        <x:v>git commit dc8203dffd8719b906c32e4d63511e230c64b2d9; /Users/devups/Development/CodexProjects/Gccs/docs/development-story-test-cases.md</x:v>
      </x:c>
      <x:c r="O769" s="19" t="n">
        <x:v>46192.970717592594</x:v>
      </x:c>
      <x:c r="P769" s="21" t="str">
        <x:v>5 acceptance criteria; 5 TC references; implementation=yes; smoke=yes; automated=yes; Story-level regression template</x:v>
      </x:c>
      <x:c r="Q769" s="21" t="str"/>
      <x:c r="R769" s="21" t="str">
        <x:v>Retain traceability; rerun focused verification if the affected boundary changes.</x:v>
      </x:c>
      <x:c r="S769" s="18" t="str"/>
      <x:c r="T769" s="20"/>
      <x:c r="U769" s="21" t="str">
        <x:v>Completion is based on immutable repository evidence; tests were not rerun and current working-tree drift was not re-certified in this reporting-only task.</x:v>
      </x:c>
      <x:c r="V769" s="1"/>
    </x:row>
    <x:row r="770" ht="46" customHeight="1">
      <x:c r="A770" s="17" t="n">
        <x:v>766</x:v>
      </x:c>
      <x:c r="B770" s="17" t="str">
        <x:v>Phase 4</x:v>
      </x:c>
      <x:c r="C770" s="17" t="str">
        <x:v>38.2</x:v>
      </x:c>
      <x:c r="D770" s="21" t="str">
        <x:v>Customer-Managed Key Policy And Rotation</x:v>
      </x:c>
      <x:c r="E770" s="17" t="n">
        <x:v>3</x:v>
      </x:c>
      <x:c r="F770" s="21" t="str">
        <x:v>Add rotation, suspension, revocation, and revalidation workflows.</x:v>
      </x:c>
      <x:c r="G770" s="17" t="str">
        <x:v>Software implementation</x:v>
      </x:c>
      <x:c r="H770" s="17" t="str">
        <x:v>Planned</x:v>
      </x:c>
      <x:c r="I770" s="18" t="str">
        <x:v>Completed</x:v>
      </x:c>
      <x:c r="J770" s="17" t="str">
        <x:f>IF(OR(I770="Completed",I770="Not Applicable"),"No","Yes")</x:f>
        <x:v>No</x:v>
      </x:c>
      <x:c r="K770" s="17" t="str">
        <x:v>38.2 task 2</x:v>
      </x:c>
      <x:c r="L770" s="21" t="str">
        <x:v>Story-labeled commit dc8203df contains delivery and focused test/test-result files: feat: implement story 38.2 customer managed keys</x:v>
      </x:c>
      <x:c r="M770" s="17" t="str">
        <x:v>Implementation commit + focused test artifacts</x:v>
      </x:c>
      <x:c r="N770" s="21" t="str">
        <x:v>git commit dc8203dffd8719b906c32e4d63511e230c64b2d9; /Users/devups/Development/CodexProjects/Gccs/docs/development-story-test-cases.md</x:v>
      </x:c>
      <x:c r="O770" s="19" t="n">
        <x:v>46192.970717592594</x:v>
      </x:c>
      <x:c r="P770" s="21" t="str">
        <x:v>5 acceptance criteria; 5 TC references; implementation=yes; smoke=yes; automated=yes; Story-level regression template</x:v>
      </x:c>
      <x:c r="Q770" s="21" t="str"/>
      <x:c r="R770" s="21" t="str">
        <x:v>Retain traceability; rerun focused verification if the affected boundary changes.</x:v>
      </x:c>
      <x:c r="S770" s="18" t="str"/>
      <x:c r="T770" s="20"/>
      <x:c r="U770" s="21" t="str">
        <x:v>Completion is based on immutable repository evidence; tests were not rerun and current working-tree drift was not re-certified in this reporting-only task.</x:v>
      </x:c>
      <x:c r="V770" s="1"/>
    </x:row>
    <x:row r="771" ht="46" customHeight="1">
      <x:c r="A771" s="17" t="n">
        <x:v>767</x:v>
      </x:c>
      <x:c r="B771" s="17" t="str">
        <x:v>Phase 4</x:v>
      </x:c>
      <x:c r="C771" s="17" t="str">
        <x:v>38.2</x:v>
      </x:c>
      <x:c r="D771" s="21" t="str">
        <x:v>Customer-Managed Key Policy And Rotation</x:v>
      </x:c>
      <x:c r="E771" s="17" t="n">
        <x:v>4</x:v>
      </x:c>
      <x:c r="F771" s="21" t="str">
        <x:v>Add failure handling when keys are unavailable, revoked, misconfigured, or region-incompatible.</x:v>
      </x:c>
      <x:c r="G771" s="17" t="str">
        <x:v>Software implementation</x:v>
      </x:c>
      <x:c r="H771" s="17" t="str">
        <x:v>Planned</x:v>
      </x:c>
      <x:c r="I771" s="18" t="str">
        <x:v>Completed</x:v>
      </x:c>
      <x:c r="J771" s="17" t="str">
        <x:f>IF(OR(I771="Completed",I771="Not Applicable"),"No","Yes")</x:f>
        <x:v>No</x:v>
      </x:c>
      <x:c r="K771" s="17" t="str">
        <x:v>38.2 task 3</x:v>
      </x:c>
      <x:c r="L771" s="21" t="str">
        <x:v>Story-labeled commit dc8203df contains delivery and focused test/test-result files: feat: implement story 38.2 customer managed keys</x:v>
      </x:c>
      <x:c r="M771" s="17" t="str">
        <x:v>Implementation commit + focused test artifacts</x:v>
      </x:c>
      <x:c r="N771" s="21" t="str">
        <x:v>git commit dc8203dffd8719b906c32e4d63511e230c64b2d9; /Users/devups/Development/CodexProjects/Gccs/docs/development-story-test-cases.md</x:v>
      </x:c>
      <x:c r="O771" s="19" t="n">
        <x:v>46192.970717592594</x:v>
      </x:c>
      <x:c r="P771" s="21" t="str">
        <x:v>5 acceptance criteria; 5 TC references; implementation=yes; smoke=yes; automated=yes; Story-level regression template</x:v>
      </x:c>
      <x:c r="Q771" s="21" t="str"/>
      <x:c r="R771" s="21" t="str">
        <x:v>Retain traceability; rerun focused verification if the affected boundary changes.</x:v>
      </x:c>
      <x:c r="S771" s="18" t="str"/>
      <x:c r="T771" s="20"/>
      <x:c r="U771" s="21" t="str">
        <x:v>Completion is based on immutable repository evidence; tests were not rerun and current working-tree drift was not re-certified in this reporting-only task.</x:v>
      </x:c>
      <x:c r="V771" s="1"/>
    </x:row>
    <x:row r="772" ht="46" customHeight="1">
      <x:c r="A772" s="17" t="n">
        <x:v>768</x:v>
      </x:c>
      <x:c r="B772" s="17" t="str">
        <x:v>Phase 4</x:v>
      </x:c>
      <x:c r="C772" s="17" t="str">
        <x:v>38.2</x:v>
      </x:c>
      <x:c r="D772" s="21" t="str">
        <x:v>Customer-Managed Key Policy And Rotation</x:v>
      </x:c>
      <x:c r="E772" s="17" t="n">
        <x:v>5</x:v>
      </x:c>
      <x:c r="F772" s="21" t="str">
        <x:v>Add reporting for key status, rotation due, validation failures, and affected workflows.</x:v>
      </x:c>
      <x:c r="G772" s="17" t="str">
        <x:v>Software implementation</x:v>
      </x:c>
      <x:c r="H772" s="17" t="str">
        <x:v>Planned</x:v>
      </x:c>
      <x:c r="I772" s="18" t="str">
        <x:v>Completed</x:v>
      </x:c>
      <x:c r="J772" s="17" t="str">
        <x:f>IF(OR(I772="Completed",I772="Not Applicable"),"No","Yes")</x:f>
        <x:v>No</x:v>
      </x:c>
      <x:c r="K772" s="17" t="str">
        <x:v>38.2 task 4</x:v>
      </x:c>
      <x:c r="L772" s="21" t="str">
        <x:v>Story-labeled commit dc8203df contains delivery and focused test/test-result files: feat: implement story 38.2 customer managed keys</x:v>
      </x:c>
      <x:c r="M772" s="17" t="str">
        <x:v>Implementation commit + focused test artifacts</x:v>
      </x:c>
      <x:c r="N772" s="21" t="str">
        <x:v>git commit dc8203dffd8719b906c32e4d63511e230c64b2d9; /Users/devups/Development/CodexProjects/Gccs/docs/development-story-test-cases.md</x:v>
      </x:c>
      <x:c r="O772" s="19" t="n">
        <x:v>46192.970717592594</x:v>
      </x:c>
      <x:c r="P772" s="21" t="str">
        <x:v>5 acceptance criteria; 5 TC references; implementation=yes; smoke=yes; automated=yes; Story-level regression template</x:v>
      </x:c>
      <x:c r="Q772" s="21" t="str"/>
      <x:c r="R772" s="21" t="str">
        <x:v>Retain traceability; rerun focused verification if the affected boundary changes.</x:v>
      </x:c>
      <x:c r="S772" s="18" t="str"/>
      <x:c r="T772" s="20"/>
      <x:c r="U772" s="21" t="str">
        <x:v>Completion is based on immutable repository evidence; tests were not rerun and current working-tree drift was not re-certified in this reporting-only task.</x:v>
      </x:c>
      <x:c r="V772" s="1"/>
    </x:row>
    <x:row r="773" ht="46" customHeight="1">
      <x:c r="A773" s="17" t="n">
        <x:v>769</x:v>
      </x:c>
      <x:c r="B773" s="17" t="str">
        <x:v>Phase 4</x:v>
      </x:c>
      <x:c r="C773" s="17" t="str">
        <x:v>38.3</x:v>
      </x:c>
      <x:c r="D773" s="21" t="str">
        <x:v>Enclave Access, Export, And Support Controls</x:v>
      </x:c>
      <x:c r="E773" s="17" t="n">
        <x:v>1</x:v>
      </x:c>
      <x:c r="F773" s="21" t="str">
        <x:v>Add enclave-specific RBAC permissions for view, upload, download, export, approve, support access, and emergency access.</x:v>
      </x:c>
      <x:c r="G773" s="17" t="str">
        <x:v>Software implementation</x:v>
      </x:c>
      <x:c r="H773" s="17" t="str">
        <x:v>Planned</x:v>
      </x:c>
      <x:c r="I773" s="18" t="str">
        <x:v>Completed</x:v>
      </x:c>
      <x:c r="J773" s="17" t="str">
        <x:f>IF(OR(I773="Completed",I773="Not Applicable"),"No","Yes")</x:f>
        <x:v>No</x:v>
      </x:c>
      <x:c r="K773" s="17" t="str">
        <x:v>38.2</x:v>
      </x:c>
      <x:c r="L773" s="21" t="str">
        <x:v>Story-labeled commit 51f75353 contains delivery and focused test/test-result files: feat: implement story 38.3 enclave access controls</x:v>
      </x:c>
      <x:c r="M773" s="17" t="str">
        <x:v>Implementation commit + focused test artifacts</x:v>
      </x:c>
      <x:c r="N773" s="21" t="str">
        <x:v>git commit 51f753534597666f8e2fa528cd46b122e4e59545; /Users/devups/Development/CodexProjects/Gccs/docs/development-story-test-cases.md</x:v>
      </x:c>
      <x:c r="O773" s="19" t="n">
        <x:v>46192.97513888889</x:v>
      </x:c>
      <x:c r="P773" s="21" t="str">
        <x:v>5 acceptance criteria; 5 TC references; implementation=yes; smoke=yes; automated=yes; Story-level regression template</x:v>
      </x:c>
      <x:c r="Q773" s="21" t="str"/>
      <x:c r="R773" s="21" t="str">
        <x:v>Retain traceability; rerun focused verification if the affected boundary changes.</x:v>
      </x:c>
      <x:c r="S773" s="18" t="str"/>
      <x:c r="T773" s="20"/>
      <x:c r="U773" s="21" t="str">
        <x:v>Completion is based on immutable repository evidence; tests were not rerun and current working-tree drift was not re-certified in this reporting-only task.</x:v>
      </x:c>
      <x:c r="V773" s="1"/>
    </x:row>
    <x:row r="774" ht="46" customHeight="1">
      <x:c r="A774" s="17" t="n">
        <x:v>770</x:v>
      </x:c>
      <x:c r="B774" s="17" t="str">
        <x:v>Phase 4</x:v>
      </x:c>
      <x:c r="C774" s="17" t="str">
        <x:v>38.3</x:v>
      </x:c>
      <x:c r="D774" s="21" t="str">
        <x:v>Enclave Access, Export, And Support Controls</x:v>
      </x:c>
      <x:c r="E774" s="17" t="n">
        <x:v>2</x:v>
      </x:c>
      <x:c r="F774" s="21" t="str">
        <x:v>Add just-in-time support access request workflow with reason, scope, approver, duration, session log, and expiration.</x:v>
      </x:c>
      <x:c r="G774" s="17" t="str">
        <x:v>Software implementation</x:v>
      </x:c>
      <x:c r="H774" s="17" t="str">
        <x:v>Planned</x:v>
      </x:c>
      <x:c r="I774" s="18" t="str">
        <x:v>Completed</x:v>
      </x:c>
      <x:c r="J774" s="17" t="str">
        <x:f>IF(OR(I774="Completed",I774="Not Applicable"),"No","Yes")</x:f>
        <x:v>No</x:v>
      </x:c>
      <x:c r="K774" s="17" t="str">
        <x:v>38.3 task 1</x:v>
      </x:c>
      <x:c r="L774" s="21" t="str">
        <x:v>Story-labeled commit 51f75353 contains delivery and focused test/test-result files: feat: implement story 38.3 enclave access controls</x:v>
      </x:c>
      <x:c r="M774" s="17" t="str">
        <x:v>Implementation commit + focused test artifacts</x:v>
      </x:c>
      <x:c r="N774" s="21" t="str">
        <x:v>git commit 51f753534597666f8e2fa528cd46b122e4e59545; /Users/devups/Development/CodexProjects/Gccs/docs/development-story-test-cases.md</x:v>
      </x:c>
      <x:c r="O774" s="19" t="n">
        <x:v>46192.97513888889</x:v>
      </x:c>
      <x:c r="P774" s="21" t="str">
        <x:v>5 acceptance criteria; 5 TC references; implementation=yes; smoke=yes; automated=yes; Story-level regression template</x:v>
      </x:c>
      <x:c r="Q774" s="21" t="str"/>
      <x:c r="R774" s="21" t="str">
        <x:v>Retain traceability; rerun focused verification if the affected boundary changes.</x:v>
      </x:c>
      <x:c r="S774" s="18" t="str"/>
      <x:c r="T774" s="20"/>
      <x:c r="U774" s="21" t="str">
        <x:v>Completion is based on immutable repository evidence; tests were not rerun and current working-tree drift was not re-certified in this reporting-only task.</x:v>
      </x:c>
      <x:c r="V774" s="1"/>
    </x:row>
    <x:row r="775" ht="46" customHeight="1">
      <x:c r="A775" s="17" t="n">
        <x:v>771</x:v>
      </x:c>
      <x:c r="B775" s="17" t="str">
        <x:v>Phase 4</x:v>
      </x:c>
      <x:c r="C775" s="17" t="str">
        <x:v>38.3</x:v>
      </x:c>
      <x:c r="D775" s="21" t="str">
        <x:v>Enclave Access, Export, And Support Controls</x:v>
      </x:c>
      <x:c r="E775" s="17" t="n">
        <x:v>3</x:v>
      </x:c>
      <x:c r="F775" s="21" t="str">
        <x:v>Add export policy controls for allowed package types, recipient restrictions, watermarking, encryption, and approval requirements.</x:v>
      </x:c>
      <x:c r="G775" s="17" t="str">
        <x:v>Software implementation</x:v>
      </x:c>
      <x:c r="H775" s="17" t="str">
        <x:v>Planned</x:v>
      </x:c>
      <x:c r="I775" s="18" t="str">
        <x:v>Completed</x:v>
      </x:c>
      <x:c r="J775" s="17" t="str">
        <x:f>IF(OR(I775="Completed",I775="Not Applicable"),"No","Yes")</x:f>
        <x:v>No</x:v>
      </x:c>
      <x:c r="K775" s="17" t="str">
        <x:v>38.3 task 2</x:v>
      </x:c>
      <x:c r="L775" s="21" t="str">
        <x:v>Story-labeled commit 51f75353 contains delivery and focused test/test-result files: feat: implement story 38.3 enclave access controls</x:v>
      </x:c>
      <x:c r="M775" s="17" t="str">
        <x:v>Implementation commit + focused test artifacts</x:v>
      </x:c>
      <x:c r="N775" s="21" t="str">
        <x:v>git commit 51f753534597666f8e2fa528cd46b122e4e59545; /Users/devups/Development/CodexProjects/Gccs/docs/development-story-test-cases.md</x:v>
      </x:c>
      <x:c r="O775" s="19" t="n">
        <x:v>46192.97513888889</x:v>
      </x:c>
      <x:c r="P775" s="21" t="str">
        <x:v>5 acceptance criteria; 5 TC references; implementation=yes; smoke=yes; automated=yes; Story-level regression template</x:v>
      </x:c>
      <x:c r="Q775" s="21" t="str"/>
      <x:c r="R775" s="21" t="str">
        <x:v>Retain traceability; rerun focused verification if the affected boundary changes.</x:v>
      </x:c>
      <x:c r="S775" s="18" t="str"/>
      <x:c r="T775" s="20"/>
      <x:c r="U775" s="21" t="str">
        <x:v>Completion is based on immutable repository evidence; tests were not rerun and current working-tree drift was not re-certified in this reporting-only task.</x:v>
      </x:c>
      <x:c r="V775" s="1"/>
    </x:row>
    <x:row r="776" ht="46" customHeight="1">
      <x:c r="A776" s="17" t="n">
        <x:v>772</x:v>
      </x:c>
      <x:c r="B776" s="17" t="str">
        <x:v>Phase 4</x:v>
      </x:c>
      <x:c r="C776" s="17" t="str">
        <x:v>38.3</x:v>
      </x:c>
      <x:c r="D776" s="21" t="str">
        <x:v>Enclave Access, Export, And Support Controls</x:v>
      </x:c>
      <x:c r="E776" s="17" t="n">
        <x:v>4</x:v>
      </x:c>
      <x:c r="F776" s="21" t="str">
        <x:v>Add emergency access workflow with elevated approval, time limit, incident linkage, and post-access review.</x:v>
      </x:c>
      <x:c r="G776" s="17" t="str">
        <x:v>Software implementation</x:v>
      </x:c>
      <x:c r="H776" s="17" t="str">
        <x:v>Planned</x:v>
      </x:c>
      <x:c r="I776" s="18" t="str">
        <x:v>Completed</x:v>
      </x:c>
      <x:c r="J776" s="17" t="str">
        <x:f>IF(OR(I776="Completed",I776="Not Applicable"),"No","Yes")</x:f>
        <x:v>No</x:v>
      </x:c>
      <x:c r="K776" s="17" t="str">
        <x:v>38.3 task 3</x:v>
      </x:c>
      <x:c r="L776" s="21" t="str">
        <x:v>Story-labeled commit 51f75353 contains delivery and focused test/test-result files: feat: implement story 38.3 enclave access controls</x:v>
      </x:c>
      <x:c r="M776" s="17" t="str">
        <x:v>Implementation commit + focused test artifacts</x:v>
      </x:c>
      <x:c r="N776" s="21" t="str">
        <x:v>git commit 51f753534597666f8e2fa528cd46b122e4e59545; /Users/devups/Development/CodexProjects/Gccs/docs/development-story-test-cases.md</x:v>
      </x:c>
      <x:c r="O776" s="19" t="n">
        <x:v>46192.97513888889</x:v>
      </x:c>
      <x:c r="P776" s="21" t="str">
        <x:v>5 acceptance criteria; 5 TC references; implementation=yes; smoke=yes; automated=yes; Story-level regression template</x:v>
      </x:c>
      <x:c r="Q776" s="21" t="str"/>
      <x:c r="R776" s="21" t="str">
        <x:v>Retain traceability; rerun focused verification if the affected boundary changes.</x:v>
      </x:c>
      <x:c r="S776" s="18" t="str"/>
      <x:c r="T776" s="20"/>
      <x:c r="U776" s="21" t="str">
        <x:v>Completion is based on immutable repository evidence; tests were not rerun and current working-tree drift was not re-certified in this reporting-only task.</x:v>
      </x:c>
      <x:c r="V776" s="1"/>
    </x:row>
    <x:row r="777" ht="46" customHeight="1">
      <x:c r="A777" s="17" t="n">
        <x:v>773</x:v>
      </x:c>
      <x:c r="B777" s="17" t="str">
        <x:v>Phase 4</x:v>
      </x:c>
      <x:c r="C777" s="17" t="str">
        <x:v>38.3</x:v>
      </x:c>
      <x:c r="D777" s="21" t="str">
        <x:v>Enclave Access, Export, And Support Controls</x:v>
      </x:c>
      <x:c r="E777" s="17" t="n">
        <x:v>5</x:v>
      </x:c>
      <x:c r="F777" s="21" t="str">
        <x:v>Add enclave access review report for tenant admins and security reviewers.</x:v>
      </x:c>
      <x:c r="G777" s="17" t="str">
        <x:v>Software implementation</x:v>
      </x:c>
      <x:c r="H777" s="17" t="str">
        <x:v>Planned</x:v>
      </x:c>
      <x:c r="I777" s="18" t="str">
        <x:v>Completed</x:v>
      </x:c>
      <x:c r="J777" s="17" t="str">
        <x:f>IF(OR(I777="Completed",I777="Not Applicable"),"No","Yes")</x:f>
        <x:v>No</x:v>
      </x:c>
      <x:c r="K777" s="17" t="str">
        <x:v>38.3 task 4</x:v>
      </x:c>
      <x:c r="L777" s="21" t="str">
        <x:v>Story-labeled commit 51f75353 contains delivery and focused test/test-result files: feat: implement story 38.3 enclave access controls</x:v>
      </x:c>
      <x:c r="M777" s="17" t="str">
        <x:v>Implementation commit + focused test artifacts</x:v>
      </x:c>
      <x:c r="N777" s="21" t="str">
        <x:v>git commit 51f753534597666f8e2fa528cd46b122e4e59545; /Users/devups/Development/CodexProjects/Gccs/docs/development-story-test-cases.md</x:v>
      </x:c>
      <x:c r="O777" s="19" t="n">
        <x:v>46192.97513888889</x:v>
      </x:c>
      <x:c r="P777" s="21" t="str">
        <x:v>5 acceptance criteria; 5 TC references; implementation=yes; smoke=yes; automated=yes; Story-level regression template</x:v>
      </x:c>
      <x:c r="Q777" s="21" t="str"/>
      <x:c r="R777" s="21" t="str">
        <x:v>Retain traceability; rerun focused verification if the affected boundary changes.</x:v>
      </x:c>
      <x:c r="S777" s="18" t="str"/>
      <x:c r="T777" s="20"/>
      <x:c r="U777" s="21" t="str">
        <x:v>Completion is based on immutable repository evidence; tests were not rerun and current working-tree drift was not re-certified in this reporting-only task.</x:v>
      </x:c>
      <x:c r="V777" s="1"/>
    </x:row>
    <x:row r="778" ht="46" customHeight="1">
      <x:c r="A778" s="17" t="n">
        <x:v>774</x:v>
      </x:c>
      <x:c r="B778" s="17" t="str">
        <x:v>Phase 4</x:v>
      </x:c>
      <x:c r="C778" s="17" t="str">
        <x:v>39.1</x:v>
      </x:c>
      <x:c r="D778" s="21" t="str">
        <x:v>Define SOC 2 Scope And Readiness Decision</x:v>
      </x:c>
      <x:c r="E778" s="17" t="n">
        <x:v>1</x:v>
      </x:c>
      <x:c r="F778" s="21" t="str">
        <x:v>Define the candidate FeDril production-system boundary, services, environments, subprocessors, customer responsibilities, exclusions, and applicable Trust Services Criteria.</x:v>
      </x:c>
      <x:c r="G778" s="17" t="str">
        <x:v>Independent assurance / governance</x:v>
      </x:c>
      <x:c r="H778" s="17" t="str">
        <x:v>Planned</x:v>
      </x:c>
      <x:c r="I778" s="18" t="str">
        <x:v>External/Human Gate</x:v>
      </x:c>
      <x:c r="J778" s="17" t="str">
        <x:f>IF(OR(I778="Completed",I778="Not Applicable"),"No","Yes")</x:f>
        <x:v>Yes</x:v>
      </x:c>
      <x:c r="K778" s="17" t="str">
        <x:v>38.3</x:v>
      </x:c>
      <x:c r="L778" s="21" t="str"/>
      <x:c r="M778" s="17" t="str">
        <x:v>Human/external evidence required</x:v>
      </x:c>
      <x:c r="N778" s="21" t="str">
        <x:v>/Users/devups/Development/CodexProjects/Gccs/docs/development-phase-use-cases.md (line 3291)</x:v>
      </x:c>
      <x:c r="O778" s="19"/>
      <x:c r="P778" s="21" t="str">
        <x:v>4 acceptance criteria; 4 TC references; implementation=no; smoke=no; automated=no; Story-level regression template</x:v>
      </x:c>
      <x:c r="Q778" s="21" t="str">
        <x:v>Commercial activation, scoped controls, operating evidence period, qualified auditor, and issued report evidence.</x:v>
      </x:c>
      <x:c r="R778" s="21" t="str">
        <x:v>Run governed human/external workflow for Story 39.1 only after the documented activation prerequisites are met.</x:v>
      </x:c>
      <x:c r="S778" s="18" t="str"/>
      <x:c r="T778" s="20"/>
      <x:c r="U778" s="21" t="str">
        <x:v>Internal readiness artifacts do not prove SOC 2 examination completion or report issuance.</x:v>
      </x:c>
      <x:c r="V778" s="1"/>
    </x:row>
    <x:row r="779" ht="46" customHeight="1">
      <x:c r="A779" s="17" t="n">
        <x:v>775</x:v>
      </x:c>
      <x:c r="B779" s="17" t="str">
        <x:v>Phase 4</x:v>
      </x:c>
      <x:c r="C779" s="17" t="str">
        <x:v>39.1</x:v>
      </x:c>
      <x:c r="D779" s="21" t="str">
        <x:v>Define SOC 2 Scope And Readiness Decision</x:v>
      </x:c>
      <x:c r="E779" s="17" t="n">
        <x:v>2</x:v>
      </x:c>
      <x:c r="F779" s="21" t="str">
        <x:v>Assign accountable control owners and identify evidence sources, operating dependencies, and unresolved control-design gaps.</x:v>
      </x:c>
      <x:c r="G779" s="17" t="str">
        <x:v>Independent assurance / governance</x:v>
      </x:c>
      <x:c r="H779" s="17" t="str">
        <x:v>Planned</x:v>
      </x:c>
      <x:c r="I779" s="18" t="str">
        <x:v>External/Human Gate</x:v>
      </x:c>
      <x:c r="J779" s="17" t="str">
        <x:f>IF(OR(I779="Completed",I779="Not Applicable"),"No","Yes")</x:f>
        <x:v>Yes</x:v>
      </x:c>
      <x:c r="K779" s="17" t="str">
        <x:v>39.1 task 1</x:v>
      </x:c>
      <x:c r="L779" s="21" t="str"/>
      <x:c r="M779" s="17" t="str">
        <x:v>Human/external evidence required</x:v>
      </x:c>
      <x:c r="N779" s="21" t="str">
        <x:v>/Users/devups/Development/CodexProjects/Gccs/docs/development-phase-use-cases.md (line 3291)</x:v>
      </x:c>
      <x:c r="O779" s="19"/>
      <x:c r="P779" s="21" t="str">
        <x:v>4 acceptance criteria; 4 TC references; implementation=no; smoke=no; automated=no; Story-level regression template</x:v>
      </x:c>
      <x:c r="Q779" s="21" t="str">
        <x:v>Commercial activation, scoped controls, operating evidence period, qualified auditor, and issued report evidence.</x:v>
      </x:c>
      <x:c r="R779" s="21" t="str">
        <x:v>Run governed human/external workflow for Story 39.1 only after the documented activation prerequisites are met.</x:v>
      </x:c>
      <x:c r="S779" s="18" t="str"/>
      <x:c r="T779" s="20"/>
      <x:c r="U779" s="21" t="str">
        <x:v>Internal readiness artifacts do not prove SOC 2 examination completion or report issuance.</x:v>
      </x:c>
      <x:c r="V779" s="1"/>
    </x:row>
    <x:row r="780" ht="46" customHeight="1">
      <x:c r="A780" s="17" t="n">
        <x:v>776</x:v>
      </x:c>
      <x:c r="B780" s="17" t="str">
        <x:v>Phase 4</x:v>
      </x:c>
      <x:c r="C780" s="17" t="str">
        <x:v>39.1</x:v>
      </x:c>
      <x:c r="D780" s="21" t="str">
        <x:v>Define SOC 2 Scope And Readiness Decision</x:v>
      </x:c>
      <x:c r="E780" s="17" t="n">
        <x:v>3</x:v>
      </x:c>
      <x:c r="F780" s="21" t="str">
        <x:v>Obtain qualified readiness input and record whether to proceed, defer, or revise scope, with budget and schedule assumptions.</x:v>
      </x:c>
      <x:c r="G780" s="17" t="str">
        <x:v>Independent assurance / governance</x:v>
      </x:c>
      <x:c r="H780" s="17" t="str">
        <x:v>Planned</x:v>
      </x:c>
      <x:c r="I780" s="18" t="str">
        <x:v>External/Human Gate</x:v>
      </x:c>
      <x:c r="J780" s="17" t="str">
        <x:f>IF(OR(I780="Completed",I780="Not Applicable"),"No","Yes")</x:f>
        <x:v>Yes</x:v>
      </x:c>
      <x:c r="K780" s="17" t="str">
        <x:v>39.1 task 2</x:v>
      </x:c>
      <x:c r="L780" s="21" t="str"/>
      <x:c r="M780" s="17" t="str">
        <x:v>Human/external evidence required</x:v>
      </x:c>
      <x:c r="N780" s="21" t="str">
        <x:v>/Users/devups/Development/CodexProjects/Gccs/docs/development-phase-use-cases.md (line 3291)</x:v>
      </x:c>
      <x:c r="O780" s="19"/>
      <x:c r="P780" s="21" t="str">
        <x:v>4 acceptance criteria; 4 TC references; implementation=no; smoke=no; automated=no; Story-level regression template</x:v>
      </x:c>
      <x:c r="Q780" s="21" t="str">
        <x:v>Commercial activation, scoped controls, operating evidence period, qualified auditor, and issued report evidence.</x:v>
      </x:c>
      <x:c r="R780" s="21" t="str">
        <x:v>Run governed human/external workflow for Story 39.1 only after the documented activation prerequisites are met.</x:v>
      </x:c>
      <x:c r="S780" s="18" t="str"/>
      <x:c r="T780" s="20"/>
      <x:c r="U780" s="21" t="str">
        <x:v>Internal readiness artifacts do not prove SOC 2 examination completion or report issuance.</x:v>
      </x:c>
      <x:c r="V780" s="1"/>
    </x:row>
    <x:row r="781" ht="46" customHeight="1">
      <x:c r="A781" s="17" t="n">
        <x:v>777</x:v>
      </x:c>
      <x:c r="B781" s="17" t="str">
        <x:v>Phase 4</x:v>
      </x:c>
      <x:c r="C781" s="17" t="str">
        <x:v>39.1</x:v>
      </x:c>
      <x:c r="D781" s="21" t="str">
        <x:v>Define SOC 2 Scope And Readiness Decision</x:v>
      </x:c>
      <x:c r="E781" s="17" t="n">
        <x:v>4</x:v>
      </x:c>
      <x:c r="F781" s="21" t="str">
        <x:v>Preserve the No-CUI product posture and separate SOC 2 scope from FedRAMP, CMMC, government approval, and permission to process real CUI.</x:v>
      </x:c>
      <x:c r="G781" s="17" t="str">
        <x:v>Independent assurance / governance</x:v>
      </x:c>
      <x:c r="H781" s="17" t="str">
        <x:v>Planned</x:v>
      </x:c>
      <x:c r="I781" s="18" t="str">
        <x:v>External/Human Gate</x:v>
      </x:c>
      <x:c r="J781" s="17" t="str">
        <x:f>IF(OR(I781="Completed",I781="Not Applicable"),"No","Yes")</x:f>
        <x:v>Yes</x:v>
      </x:c>
      <x:c r="K781" s="17" t="str">
        <x:v>39.1 task 3</x:v>
      </x:c>
      <x:c r="L781" s="21" t="str"/>
      <x:c r="M781" s="17" t="str">
        <x:v>Human/external evidence required</x:v>
      </x:c>
      <x:c r="N781" s="21" t="str">
        <x:v>/Users/devups/Development/CodexProjects/Gccs/docs/development-phase-use-cases.md (line 3291)</x:v>
      </x:c>
      <x:c r="O781" s="19"/>
      <x:c r="P781" s="21" t="str">
        <x:v>4 acceptance criteria; 4 TC references; implementation=no; smoke=no; automated=no; Story-level regression template</x:v>
      </x:c>
      <x:c r="Q781" s="21" t="str">
        <x:v>Commercial activation, scoped controls, operating evidence period, qualified auditor, and issued report evidence.</x:v>
      </x:c>
      <x:c r="R781" s="21" t="str">
        <x:v>Run governed human/external workflow for Story 39.1 only after the documented activation prerequisites are met.</x:v>
      </x:c>
      <x:c r="S781" s="18" t="str"/>
      <x:c r="T781" s="20"/>
      <x:c r="U781" s="21" t="str">
        <x:v>Internal readiness artifacts do not prove SOC 2 examination completion or report issuance.</x:v>
      </x:c>
      <x:c r="V781" s="1"/>
    </x:row>
    <x:row r="782" ht="46" customHeight="1">
      <x:c r="A782" s="17" t="n">
        <x:v>778</x:v>
      </x:c>
      <x:c r="B782" s="17" t="str">
        <x:v>Phase 4</x:v>
      </x:c>
      <x:c r="C782" s="17" t="str">
        <x:v>39.2</x:v>
      </x:c>
      <x:c r="D782" s="21" t="str">
        <x:v>Remediate Gaps And Collect Operating Evidence</x:v>
      </x:c>
      <x:c r="E782" s="17" t="n">
        <x:v>1</x:v>
      </x:c>
      <x:c r="F782" s="21" t="str">
        <x:v>Maintain a gap register with control, severity, owner, target date, remediation plan, exception, accepted-risk approval, and closure evidence.</x:v>
      </x:c>
      <x:c r="G782" s="17" t="str">
        <x:v>Independent assurance / governance</x:v>
      </x:c>
      <x:c r="H782" s="17" t="str">
        <x:v>Planned</x:v>
      </x:c>
      <x:c r="I782" s="18" t="str">
        <x:v>External/Human Gate</x:v>
      </x:c>
      <x:c r="J782" s="17" t="str">
        <x:f>IF(OR(I782="Completed",I782="Not Applicable"),"No","Yes")</x:f>
        <x:v>Yes</x:v>
      </x:c>
      <x:c r="K782" s="17" t="str">
        <x:v>39.1</x:v>
      </x:c>
      <x:c r="L782" s="21" t="str"/>
      <x:c r="M782" s="17" t="str">
        <x:v>Human/external evidence required</x:v>
      </x:c>
      <x:c r="N782" s="21" t="str">
        <x:v>/Users/devups/Development/CodexProjects/Gccs/docs/development-phase-use-cases.md (line 3311)</x:v>
      </x:c>
      <x:c r="O782" s="19"/>
      <x:c r="P782" s="21" t="str">
        <x:v>4 acceptance criteria; 4 TC references; implementation=no; smoke=no; automated=no; Story-level regression template</x:v>
      </x:c>
      <x:c r="Q782" s="21" t="str">
        <x:v>Commercial activation, scoped controls, operating evidence period, qualified auditor, and issued report evidence.</x:v>
      </x:c>
      <x:c r="R782" s="21" t="str">
        <x:v>Run governed human/external workflow for Story 39.2 only after the documented activation prerequisites are met.</x:v>
      </x:c>
      <x:c r="S782" s="18" t="str"/>
      <x:c r="T782" s="20"/>
      <x:c r="U782" s="21" t="str">
        <x:v>Internal readiness artifacts do not prove SOC 2 examination completion or report issuance.</x:v>
      </x:c>
      <x:c r="V782" s="1"/>
    </x:row>
    <x:row r="783" ht="46" customHeight="1">
      <x:c r="A783" s="17" t="n">
        <x:v>779</x:v>
      </x:c>
      <x:c r="B783" s="17" t="str">
        <x:v>Phase 4</x:v>
      </x:c>
      <x:c r="C783" s="17" t="str">
        <x:v>39.2</x:v>
      </x:c>
      <x:c r="D783" s="21" t="str">
        <x:v>Remediate Gaps And Collect Operating Evidence</x:v>
      </x:c>
      <x:c r="E783" s="17" t="n">
        <x:v>2</x:v>
      </x:c>
      <x:c r="F783" s="21" t="str">
        <x:v>Define an evidence calendar covering the selected controls, systems, owners, collection cadence, retention, reviewer, and secure storage location.</x:v>
      </x:c>
      <x:c r="G783" s="17" t="str">
        <x:v>Independent assurance / governance</x:v>
      </x:c>
      <x:c r="H783" s="17" t="str">
        <x:v>Planned</x:v>
      </x:c>
      <x:c r="I783" s="18" t="str">
        <x:v>External/Human Gate</x:v>
      </x:c>
      <x:c r="J783" s="17" t="str">
        <x:f>IF(OR(I783="Completed",I783="Not Applicable"),"No","Yes")</x:f>
        <x:v>Yes</x:v>
      </x:c>
      <x:c r="K783" s="17" t="str">
        <x:v>39.2 task 1</x:v>
      </x:c>
      <x:c r="L783" s="21" t="str"/>
      <x:c r="M783" s="17" t="str">
        <x:v>Human/external evidence required</x:v>
      </x:c>
      <x:c r="N783" s="21" t="str">
        <x:v>/Users/devups/Development/CodexProjects/Gccs/docs/development-phase-use-cases.md (line 3311)</x:v>
      </x:c>
      <x:c r="O783" s="19"/>
      <x:c r="P783" s="21" t="str">
        <x:v>4 acceptance criteria; 4 TC references; implementation=no; smoke=no; automated=no; Story-level regression template</x:v>
      </x:c>
      <x:c r="Q783" s="21" t="str">
        <x:v>Commercial activation, scoped controls, operating evidence period, qualified auditor, and issued report evidence.</x:v>
      </x:c>
      <x:c r="R783" s="21" t="str">
        <x:v>Run governed human/external workflow for Story 39.2 only after the documented activation prerequisites are met.</x:v>
      </x:c>
      <x:c r="S783" s="18" t="str"/>
      <x:c r="T783" s="20"/>
      <x:c r="U783" s="21" t="str">
        <x:v>Internal readiness artifacts do not prove SOC 2 examination completion or report issuance.</x:v>
      </x:c>
      <x:c r="V783" s="1"/>
    </x:row>
    <x:row r="784" ht="46" customHeight="1">
      <x:c r="A784" s="17" t="n">
        <x:v>780</x:v>
      </x:c>
      <x:c r="B784" s="17" t="str">
        <x:v>Phase 4</x:v>
      </x:c>
      <x:c r="C784" s="17" t="str">
        <x:v>39.2</x:v>
      </x:c>
      <x:c r="D784" s="21" t="str">
        <x:v>Remediate Gaps And Collect Operating Evidence</x:v>
      </x:c>
      <x:c r="E784" s="17" t="n">
        <x:v>3</x:v>
      </x:c>
      <x:c r="F784" s="21" t="str">
        <x:v>Record control operation, exceptions, failures, corrective actions, significant changes, and management review throughout the selected period.</x:v>
      </x:c>
      <x:c r="G784" s="17" t="str">
        <x:v>Independent assurance / governance</x:v>
      </x:c>
      <x:c r="H784" s="17" t="str">
        <x:v>Planned</x:v>
      </x:c>
      <x:c r="I784" s="18" t="str">
        <x:v>External/Human Gate</x:v>
      </x:c>
      <x:c r="J784" s="17" t="str">
        <x:f>IF(OR(I784="Completed",I784="Not Applicable"),"No","Yes")</x:f>
        <x:v>Yes</x:v>
      </x:c>
      <x:c r="K784" s="17" t="str">
        <x:v>39.2 task 2</x:v>
      </x:c>
      <x:c r="L784" s="21" t="str"/>
      <x:c r="M784" s="17" t="str">
        <x:v>Human/external evidence required</x:v>
      </x:c>
      <x:c r="N784" s="21" t="str">
        <x:v>/Users/devups/Development/CodexProjects/Gccs/docs/development-phase-use-cases.md (line 3311)</x:v>
      </x:c>
      <x:c r="O784" s="19"/>
      <x:c r="P784" s="21" t="str">
        <x:v>4 acceptance criteria; 4 TC references; implementation=no; smoke=no; automated=no; Story-level regression template</x:v>
      </x:c>
      <x:c r="Q784" s="21" t="str">
        <x:v>Commercial activation, scoped controls, operating evidence period, qualified auditor, and issued report evidence.</x:v>
      </x:c>
      <x:c r="R784" s="21" t="str">
        <x:v>Run governed human/external workflow for Story 39.2 only after the documented activation prerequisites are met.</x:v>
      </x:c>
      <x:c r="S784" s="18" t="str"/>
      <x:c r="T784" s="20"/>
      <x:c r="U784" s="21" t="str">
        <x:v>Internal readiness artifacts do not prove SOC 2 examination completion or report issuance.</x:v>
      </x:c>
      <x:c r="V784" s="1"/>
    </x:row>
    <x:row r="785" ht="46" customHeight="1">
      <x:c r="A785" s="17" t="n">
        <x:v>781</x:v>
      </x:c>
      <x:c r="B785" s="17" t="str">
        <x:v>Phase 4</x:v>
      </x:c>
      <x:c r="C785" s="17" t="str">
        <x:v>39.2</x:v>
      </x:c>
      <x:c r="D785" s="21" t="str">
        <x:v>Remediate Gaps And Collect Operating Evidence</x:v>
      </x:c>
      <x:c r="E785" s="17" t="n">
        <x:v>4</x:v>
      </x:c>
      <x:c r="F785" s="21" t="str">
        <x:v>Run a final readiness review and retain the evidence index supplied to the independent service auditor.</x:v>
      </x:c>
      <x:c r="G785" s="17" t="str">
        <x:v>Independent assurance / governance</x:v>
      </x:c>
      <x:c r="H785" s="17" t="str">
        <x:v>Planned</x:v>
      </x:c>
      <x:c r="I785" s="18" t="str">
        <x:v>External/Human Gate</x:v>
      </x:c>
      <x:c r="J785" s="17" t="str">
        <x:f>IF(OR(I785="Completed",I785="Not Applicable"),"No","Yes")</x:f>
        <x:v>Yes</x:v>
      </x:c>
      <x:c r="K785" s="17" t="str">
        <x:v>39.2 task 3</x:v>
      </x:c>
      <x:c r="L785" s="21" t="str"/>
      <x:c r="M785" s="17" t="str">
        <x:v>Human/external evidence required</x:v>
      </x:c>
      <x:c r="N785" s="21" t="str">
        <x:v>/Users/devups/Development/CodexProjects/Gccs/docs/development-phase-use-cases.md (line 3311)</x:v>
      </x:c>
      <x:c r="O785" s="19"/>
      <x:c r="P785" s="21" t="str">
        <x:v>4 acceptance criteria; 4 TC references; implementation=no; smoke=no; automated=no; Story-level regression template</x:v>
      </x:c>
      <x:c r="Q785" s="21" t="str">
        <x:v>Commercial activation, scoped controls, operating evidence period, qualified auditor, and issued report evidence.</x:v>
      </x:c>
      <x:c r="R785" s="21" t="str">
        <x:v>Run governed human/external workflow for Story 39.2 only after the documented activation prerequisites are met.</x:v>
      </x:c>
      <x:c r="S785" s="18" t="str"/>
      <x:c r="T785" s="20"/>
      <x:c r="U785" s="21" t="str">
        <x:v>Internal readiness artifacts do not prove SOC 2 examination completion or report issuance.</x:v>
      </x:c>
      <x:c r="V785" s="1"/>
    </x:row>
    <x:row r="786" ht="46" customHeight="1">
      <x:c r="A786" s="17" t="n">
        <x:v>782</x:v>
      </x:c>
      <x:c r="B786" s="17" t="str">
        <x:v>Phase 4</x:v>
      </x:c>
      <x:c r="C786" s="17" t="str">
        <x:v>39.3</x:v>
      </x:c>
      <x:c r="D786" s="21" t="str">
        <x:v>Govern Independent Examination And Report Distribution</x:v>
      </x:c>
      <x:c r="E786" s="17" t="n">
        <x:v>1</x:v>
      </x:c>
      <x:c r="F786" s="21" t="str">
        <x:v>Record service-auditor independence and engagement details, examination type, scoped system, criteria, as-of date or review period, management assertion, and delivery status.</x:v>
      </x:c>
      <x:c r="G786" s="17" t="str">
        <x:v>Independent assurance / governance</x:v>
      </x:c>
      <x:c r="H786" s="17" t="str">
        <x:v>Planned</x:v>
      </x:c>
      <x:c r="I786" s="18" t="str">
        <x:v>External/Human Gate</x:v>
      </x:c>
      <x:c r="J786" s="17" t="str">
        <x:f>IF(OR(I786="Completed",I786="Not Applicable"),"No","Yes")</x:f>
        <x:v>Yes</x:v>
      </x:c>
      <x:c r="K786" s="17" t="str">
        <x:v>39.2</x:v>
      </x:c>
      <x:c r="L786" s="21" t="str"/>
      <x:c r="M786" s="17" t="str">
        <x:v>Human/external evidence required</x:v>
      </x:c>
      <x:c r="N786" s="21" t="str">
        <x:v>/Users/devups/Development/CodexProjects/Gccs/docs/development-phase-use-cases.md (line 3331)</x:v>
      </x:c>
      <x:c r="O786" s="19"/>
      <x:c r="P786" s="21" t="str">
        <x:v>5 acceptance criteria; 5 TC references; implementation=no; smoke=no; automated=no; Story-level regression template</x:v>
      </x:c>
      <x:c r="Q786" s="21" t="str">
        <x:v>Commercial activation, scoped controls, operating evidence period, qualified auditor, and issued report evidence.</x:v>
      </x:c>
      <x:c r="R786" s="21" t="str">
        <x:v>Run governed human/external workflow for Story 39.3 only after the documented activation prerequisites are met.</x:v>
      </x:c>
      <x:c r="S786" s="18" t="str"/>
      <x:c r="T786" s="20"/>
      <x:c r="U786" s="21" t="str">
        <x:v>Internal readiness artifacts do not prove SOC 2 examination completion or report issuance.</x:v>
      </x:c>
      <x:c r="V786" s="1"/>
    </x:row>
    <x:row r="787" ht="46" customHeight="1">
      <x:c r="A787" s="17" t="n">
        <x:v>783</x:v>
      </x:c>
      <x:c r="B787" s="17" t="str">
        <x:v>Phase 4</x:v>
      </x:c>
      <x:c r="C787" s="17" t="str">
        <x:v>39.3</x:v>
      </x:c>
      <x:c r="D787" s="21" t="str">
        <x:v>Govern Independent Examination And Report Distribution</x:v>
      </x:c>
      <x:c r="E787" s="17" t="n">
        <x:v>2</x:v>
      </x:c>
      <x:c r="F787" s="21" t="str">
        <x:v>Track auditor requests, management responses, exceptions, remediation commitments, and final disposition without presenting internal readiness artifacts as an issued report.</x:v>
      </x:c>
      <x:c r="G787" s="17" t="str">
        <x:v>Independent assurance / governance</x:v>
      </x:c>
      <x:c r="H787" s="17" t="str">
        <x:v>Planned</x:v>
      </x:c>
      <x:c r="I787" s="18" t="str">
        <x:v>External/Human Gate</x:v>
      </x:c>
      <x:c r="J787" s="17" t="str">
        <x:f>IF(OR(I787="Completed",I787="Not Applicable"),"No","Yes")</x:f>
        <x:v>Yes</x:v>
      </x:c>
      <x:c r="K787" s="17" t="str">
        <x:v>39.3 task 1</x:v>
      </x:c>
      <x:c r="L787" s="21" t="str"/>
      <x:c r="M787" s="17" t="str">
        <x:v>Human/external evidence required</x:v>
      </x:c>
      <x:c r="N787" s="21" t="str">
        <x:v>/Users/devups/Development/CodexProjects/Gccs/docs/development-phase-use-cases.md (line 3331)</x:v>
      </x:c>
      <x:c r="O787" s="19"/>
      <x:c r="P787" s="21" t="str">
        <x:v>5 acceptance criteria; 5 TC references; implementation=no; smoke=no; automated=no; Story-level regression template</x:v>
      </x:c>
      <x:c r="Q787" s="21" t="str">
        <x:v>Commercial activation, scoped controls, operating evidence period, qualified auditor, and issued report evidence.</x:v>
      </x:c>
      <x:c r="R787" s="21" t="str">
        <x:v>Run governed human/external workflow for Story 39.3 only after the documented activation prerequisites are met.</x:v>
      </x:c>
      <x:c r="S787" s="18" t="str"/>
      <x:c r="T787" s="20"/>
      <x:c r="U787" s="21" t="str">
        <x:v>Internal readiness artifacts do not prove SOC 2 examination completion or report issuance.</x:v>
      </x:c>
      <x:c r="V787" s="1"/>
    </x:row>
    <x:row r="788" ht="46" customHeight="1">
      <x:c r="A788" s="17" t="n">
        <x:v>784</x:v>
      </x:c>
      <x:c r="B788" s="17" t="str">
        <x:v>Phase 4</x:v>
      </x:c>
      <x:c r="C788" s="17" t="str">
        <x:v>39.3</x:v>
      </x:c>
      <x:c r="D788" s="21" t="str">
        <x:v>Govern Independent Examination And Report Distribution</x:v>
      </x:c>
      <x:c r="E788" s="17" t="n">
        <x:v>3</x:v>
      </x:c>
      <x:c r="F788" s="21" t="str">
        <x:v>Establish controlled report storage and distribution with audience, NDA or confidentiality requirements, approver, recipient, purpose, sent date, expiration or review date, and revocation history.</x:v>
      </x:c>
      <x:c r="G788" s="17" t="str">
        <x:v>Independent assurance / governance</x:v>
      </x:c>
      <x:c r="H788" s="17" t="str">
        <x:v>Planned</x:v>
      </x:c>
      <x:c r="I788" s="18" t="str">
        <x:v>External/Human Gate</x:v>
      </x:c>
      <x:c r="J788" s="17" t="str">
        <x:f>IF(OR(I788="Completed",I788="Not Applicable"),"No","Yes")</x:f>
        <x:v>Yes</x:v>
      </x:c>
      <x:c r="K788" s="17" t="str">
        <x:v>39.3 task 2</x:v>
      </x:c>
      <x:c r="L788" s="21" t="str"/>
      <x:c r="M788" s="17" t="str">
        <x:v>Human/external evidence required</x:v>
      </x:c>
      <x:c r="N788" s="21" t="str">
        <x:v>/Users/devups/Development/CodexProjects/Gccs/docs/development-phase-use-cases.md (line 3331)</x:v>
      </x:c>
      <x:c r="O788" s="19"/>
      <x:c r="P788" s="21" t="str">
        <x:v>5 acceptance criteria; 5 TC references; implementation=no; smoke=no; automated=no; Story-level regression template</x:v>
      </x:c>
      <x:c r="Q788" s="21" t="str">
        <x:v>Commercial activation, scoped controls, operating evidence period, qualified auditor, and issued report evidence.</x:v>
      </x:c>
      <x:c r="R788" s="21" t="str">
        <x:v>Run governed human/external workflow for Story 39.3 only after the documented activation prerequisites are met.</x:v>
      </x:c>
      <x:c r="S788" s="18" t="str"/>
      <x:c r="T788" s="20"/>
      <x:c r="U788" s="21" t="str">
        <x:v>Internal readiness artifacts do not prove SOC 2 examination completion or report issuance.</x:v>
      </x:c>
      <x:c r="V788" s="1"/>
    </x:row>
    <x:row r="789" ht="46" customHeight="1">
      <x:c r="A789" s="17" t="n">
        <x:v>785</x:v>
      </x:c>
      <x:c r="B789" s="17" t="str">
        <x:v>Phase 4</x:v>
      </x:c>
      <x:c r="C789" s="17" t="str">
        <x:v>39.3</x:v>
      </x:c>
      <x:c r="D789" s="21" t="str">
        <x:v>Govern Independent Examination And Report Distribution</x:v>
      </x:c>
      <x:c r="E789" s="17" t="n">
        <x:v>4</x:v>
      </x:c>
      <x:c r="F789" s="21" t="str">
        <x:v>Maintain a claims register and renewal decision that identifies the exact approved wording, report type, scope, period, owner, reviewer, and expiration.</x:v>
      </x:c>
      <x:c r="G789" s="17" t="str">
        <x:v>Independent assurance / governance</x:v>
      </x:c>
      <x:c r="H789" s="17" t="str">
        <x:v>Planned</x:v>
      </x:c>
      <x:c r="I789" s="18" t="str">
        <x:v>External/Human Gate</x:v>
      </x:c>
      <x:c r="J789" s="17" t="str">
        <x:f>IF(OR(I789="Completed",I789="Not Applicable"),"No","Yes")</x:f>
        <x:v>Yes</x:v>
      </x:c>
      <x:c r="K789" s="17" t="str">
        <x:v>39.3 task 3</x:v>
      </x:c>
      <x:c r="L789" s="21" t="str"/>
      <x:c r="M789" s="17" t="str">
        <x:v>Human/external evidence required</x:v>
      </x:c>
      <x:c r="N789" s="21" t="str">
        <x:v>/Users/devups/Development/CodexProjects/Gccs/docs/development-phase-use-cases.md (line 3331)</x:v>
      </x:c>
      <x:c r="O789" s="19"/>
      <x:c r="P789" s="21" t="str">
        <x:v>5 acceptance criteria; 5 TC references; implementation=no; smoke=no; automated=no; Story-level regression template</x:v>
      </x:c>
      <x:c r="Q789" s="21" t="str">
        <x:v>Commercial activation, scoped controls, operating evidence period, qualified auditor, and issued report evidence.</x:v>
      </x:c>
      <x:c r="R789" s="21" t="str">
        <x:v>Run governed human/external workflow for Story 39.3 only after the documented activation prerequisites are met.</x:v>
      </x:c>
      <x:c r="S789" s="18" t="str"/>
      <x:c r="T789" s="20"/>
      <x:c r="U789" s="21" t="str">
        <x:v>Internal readiness artifacts do not prove SOC 2 examination completion or report issuance.</x:v>
      </x:c>
      <x:c r="V789" s="1"/>
    </x:row>
    <x:row r="790" ht="46" customHeight="1">
      <x:c r="A790" s="17" t="n">
        <x:v>786</x:v>
      </x:c>
      <x:c r="B790" s="17" t="str">
        <x:v>FedRAMP</x:v>
      </x:c>
      <x:c r="C790" s="17" t="str">
        <x:v>FR-0</x:v>
      </x:c>
      <x:c r="D790" s="21" t="str">
        <x:v>Maintain a documented FedRAMP decision record covering target customers, federal use case, expected information types, likely impact level or certification class, budget, owner, and activation-gate status</x:v>
      </x:c>
      <x:c r="E790" s="17" t="n">
        <x:v>1</x:v>
      </x:c>
      <x:c r="F790" s="21" t="str">
        <x:v>Maintain a documented FedRAMP decision record covering target customers, federal use case, expected information types, likely impact level or certification class, budget, owner, and activation-gate status. Review it at each phase gate.</x:v>
      </x:c>
      <x:c r="G790" s="17" t="str">
        <x:v>FedRAMP program gate</x:v>
      </x:c>
      <x:c r="H790" s="17" t="str">
        <x:v>Planned</x:v>
      </x:c>
      <x:c r="I790" s="18" t="str">
        <x:v>Not Verified</x:v>
      </x:c>
      <x:c r="J790" s="17" t="str">
        <x:f>IF(OR(I790="Completed",I790="Not Applicable"),"No","Yes")</x:f>
        <x:v>Yes</x:v>
      </x:c>
      <x:c r="K790" s="17" t="str"/>
      <x:c r="L790" s="21" t="str"/>
      <x:c r="M790" s="17" t="str">
        <x:v>Insufficient evidence</x:v>
      </x:c>
      <x:c r="N790" s="21" t="str">
        <x:v>/Users/devups/Development/CodexProjects/Gccs/docs/mvp-roadmap.md (line 105)</x:v>
      </x:c>
      <x:c r="O790" s="19"/>
      <x:c r="P790" s="21" t="str">
        <x:v>1 acceptance criteria; 0 TC references; implementation=no; smoke=no; automated=no; Not applicable; governed/external evidence</x:v>
      </x:c>
      <x:c r="Q790" s="21" t="str"/>
      <x:c r="R790" s="21" t="str">
        <x:v>Inventory evidence for FR-0 and record a governed proceed/defer decision.</x:v>
      </x:c>
      <x:c r="S790" s="18" t="str"/>
      <x:c r="T790" s="20"/>
      <x:c r="U790" s="21" t="str">
        <x:v>Roadmap status is not authorization evidence; no FedRAMP authorization/equivalence claim is permitted.</x:v>
      </x:c>
      <x:c r="V790" s="1"/>
    </x:row>
    <x:row r="791" ht="46" customHeight="1">
      <x:c r="A791" s="17" t="n">
        <x:v>787</x:v>
      </x:c>
      <x:c r="B791" s="17" t="str">
        <x:v>FedRAMP</x:v>
      </x:c>
      <x:c r="C791" s="17" t="str">
        <x:v>FR-1</x:v>
      </x:c>
      <x:c r="D791" s="21" t="str">
        <x:v>The legacy client Boolean is retained temporarily for compatibility but ignored, and readiness-package language always fails closed</x:v>
      </x:c>
      <x:c r="E791" s="17" t="n">
        <x:v>1</x:v>
      </x:c>
      <x:c r="F791" s="21" t="str">
        <x:v>The legacy client Boolean is retained temporarily for compatibility but ignored, and readiness-package language always fails closed. A restricted governance record backed by official evidence, reviewer identity, scope, effective/expiry dates, history, and audit events remains planned before any positive claim can exist.</x:v>
      </x:c>
      <x:c r="G791" s="17" t="str">
        <x:v>FedRAMP program gate</x:v>
      </x:c>
      <x:c r="H791" s="17" t="str">
        <x:v>Partially implemented</x:v>
      </x:c>
      <x:c r="I791" s="18" t="str">
        <x:v>Partially Completed</x:v>
      </x:c>
      <x:c r="J791" s="17" t="str">
        <x:f>IF(OR(I791="Completed",I791="Not Applicable"),"No","Yes")</x:f>
        <x:v>Yes</x:v>
      </x:c>
      <x:c r="K791" s="17" t="str">
        <x:v>FR-0</x:v>
      </x:c>
      <x:c r="L791" s="21" t="str"/>
      <x:c r="M791" s="17" t="str">
        <x:v>Insufficient evidence</x:v>
      </x:c>
      <x:c r="N791" s="21" t="str">
        <x:v>/Users/devups/Development/CodexProjects/Gccs/docs/mvp-roadmap.md (line 106)</x:v>
      </x:c>
      <x:c r="O791" s="19"/>
      <x:c r="P791" s="21" t="str">
        <x:v>1 acceptance criteria; 0 TC references; implementation=no; smoke=no; automated=no; Not applicable; governed/external evidence</x:v>
      </x:c>
      <x:c r="Q791" s="21" t="str"/>
      <x:c r="R791" s="21" t="str">
        <x:v>Inventory evidence for FR-1 and record a governed proceed/defer decision.</x:v>
      </x:c>
      <x:c r="S791" s="18" t="str"/>
      <x:c r="T791" s="20"/>
      <x:c r="U791" s="21" t="str">
        <x:v>Roadmap status is not authorization evidence; no FedRAMP authorization/equivalence claim is permitted.</x:v>
      </x:c>
      <x:c r="V791" s="1"/>
    </x:row>
    <x:row r="792" ht="46" customHeight="1">
      <x:c r="A792" s="17" t="n">
        <x:v>788</x:v>
      </x:c>
      <x:c r="B792" s="17" t="str">
        <x:v>FedRAMP</x:v>
      </x:c>
      <x:c r="C792" s="17" t="str">
        <x:v>FR-2</x:v>
      </x:c>
      <x:c r="D792" s="21" t="str">
        <x:v>Control mappings, gaps, evidence links, readiness packages, included-record snapshots, and lifecycle history now have durable tenant-scoped EF persistence, optimistic concurrency, and transactional audit writes</x:v>
      </x:c>
      <x:c r="E792" s="17" t="n">
        <x:v>1</x:v>
      </x:c>
      <x:c r="F792" s="21" t="str">
        <x:v>Control mappings, gaps, evidence links, readiness packages, included-record snapshots, and lifecycle history now have durable tenant-scoped EF persistence, optimistic concurrency, and transactional audit writes. Trust and SSP artifacts remain to be migrated.</x:v>
      </x:c>
      <x:c r="G792" s="17" t="str">
        <x:v>FedRAMP program gate</x:v>
      </x:c>
      <x:c r="H792" s="17" t="str">
        <x:v>Partially implemented</x:v>
      </x:c>
      <x:c r="I792" s="18" t="str">
        <x:v>Partially Completed</x:v>
      </x:c>
      <x:c r="J792" s="17" t="str">
        <x:f>IF(OR(I792="Completed",I792="Not Applicable"),"No","Yes")</x:f>
        <x:v>Yes</x:v>
      </x:c>
      <x:c r="K792" s="17" t="str">
        <x:v>FR-1</x:v>
      </x:c>
      <x:c r="L792" s="21" t="str"/>
      <x:c r="M792" s="17" t="str">
        <x:v>Insufficient evidence</x:v>
      </x:c>
      <x:c r="N792" s="21" t="str">
        <x:v>/Users/devups/Development/CodexProjects/Gccs/docs/mvp-roadmap.md (line 107)</x:v>
      </x:c>
      <x:c r="O792" s="19"/>
      <x:c r="P792" s="21" t="str">
        <x:v>1 acceptance criteria; 0 TC references; implementation=no; smoke=no; automated=no; Not applicable; governed/external evidence</x:v>
      </x:c>
      <x:c r="Q792" s="21" t="str"/>
      <x:c r="R792" s="21" t="str">
        <x:v>Inventory evidence for FR-2 and record a governed proceed/defer decision.</x:v>
      </x:c>
      <x:c r="S792" s="18" t="str"/>
      <x:c r="T792" s="20"/>
      <x:c r="U792" s="21" t="str">
        <x:v>Roadmap status is not authorization evidence; no FedRAMP authorization/equivalence claim is permitted.</x:v>
      </x:c>
      <x:c r="V792" s="1"/>
    </x:row>
    <x:row r="793" ht="46" customHeight="1">
      <x:c r="A793" s="17" t="n">
        <x:v>789</x:v>
      </x:c>
      <x:c r="B793" s="17" t="str">
        <x:v>FedRAMP</x:v>
      </x:c>
      <x:c r="C793" s="17" t="str">
        <x:v>FR-3</x:v>
      </x:c>
      <x:c r="D793" s="21" t="str">
        <x:v>Preserve reusable security foundations: tenant isolation, server-side RBAC, MFA-capable identity, least-privilege administration, encryption, secrets management, immutable audit history, vulnerability and dependency scanning, SBOM inventory, hardened configuration, backup/restore rehearsal, incident response, change control, and evidence retention</x:v>
      </x:c>
      <x:c r="E793" s="17" t="n">
        <x:v>1</x:v>
      </x:c>
      <x:c r="F793" s="21" t="str">
        <x:v>Preserve reusable security foundations: tenant isolation, server-side RBAC, MFA-capable identity, least-privilege administration, encryption, secrets management, immutable audit history, vulnerability and dependency scanning, SBOM inventory, hardened configuration, backup/restore rehearsal, incident response, change control, and evidence retention.</x:v>
      </x:c>
      <x:c r="G793" s="17" t="str">
        <x:v>FedRAMP program gate</x:v>
      </x:c>
      <x:c r="H793" s="17" t="str">
        <x:v>Planned</x:v>
      </x:c>
      <x:c r="I793" s="18" t="str">
        <x:v>Not Verified</x:v>
      </x:c>
      <x:c r="J793" s="17" t="str">
        <x:f>IF(OR(I793="Completed",I793="Not Applicable"),"No","Yes")</x:f>
        <x:v>Yes</x:v>
      </x:c>
      <x:c r="K793" s="17" t="str">
        <x:v>FR-2</x:v>
      </x:c>
      <x:c r="L793" s="21" t="str"/>
      <x:c r="M793" s="17" t="str">
        <x:v>Insufficient evidence</x:v>
      </x:c>
      <x:c r="N793" s="21" t="str">
        <x:v>/Users/devups/Development/CodexProjects/Gccs/docs/mvp-roadmap.md (line 108)</x:v>
      </x:c>
      <x:c r="O793" s="19"/>
      <x:c r="P793" s="21" t="str">
        <x:v>1 acceptance criteria; 0 TC references; implementation=no; smoke=no; automated=no; Not applicable; governed/external evidence</x:v>
      </x:c>
      <x:c r="Q793" s="21" t="str"/>
      <x:c r="R793" s="21" t="str">
        <x:v>Inventory evidence for FR-3 and record a governed proceed/defer decision.</x:v>
      </x:c>
      <x:c r="S793" s="18" t="str"/>
      <x:c r="T793" s="20"/>
      <x:c r="U793" s="21" t="str">
        <x:v>Roadmap status is not authorization evidence; no FedRAMP authorization/equivalence claim is permitted.</x:v>
      </x:c>
      <x:c r="V793" s="1"/>
    </x:row>
    <x:row r="794" ht="46" customHeight="1">
      <x:c r="A794" s="17" t="n">
        <x:v>790</x:v>
      </x:c>
      <x:c r="B794" s="17" t="str">
        <x:v>FedRAMP</x:v>
      </x:c>
      <x:c r="C794" s="17" t="str">
        <x:v>FR-4</x:v>
      </x:c>
      <x:c r="D794" s="21" t="str">
        <x:v>Define the prospective cloud service offering and minimum assessment boundary, including application components, data flows, information resources, administrators, subprocessors, inherited cloud controls, external connections, customer responsibilities, and prohibited data</x:v>
      </x:c>
      <x:c r="E794" s="17" t="n">
        <x:v>1</x:v>
      </x:c>
      <x:c r="F794" s="21" t="str">
        <x:v>Define the prospective cloud service offering and minimum assessment boundary, including application components, data flows, information resources, administrators, subprocessors, inherited cloud controls, external connections, customer responsibilities, and prohibited data.</x:v>
      </x:c>
      <x:c r="G794" s="17" t="str">
        <x:v>FedRAMP program gate</x:v>
      </x:c>
      <x:c r="H794" s="17" t="str">
        <x:v>Planned</x:v>
      </x:c>
      <x:c r="I794" s="18" t="str">
        <x:v>Not Verified</x:v>
      </x:c>
      <x:c r="J794" s="17" t="str">
        <x:f>IF(OR(I794="Completed",I794="Not Applicable"),"No","Yes")</x:f>
        <x:v>Yes</x:v>
      </x:c>
      <x:c r="K794" s="17" t="str">
        <x:v>FR-3</x:v>
      </x:c>
      <x:c r="L794" s="21" t="str"/>
      <x:c r="M794" s="17" t="str">
        <x:v>Insufficient evidence</x:v>
      </x:c>
      <x:c r="N794" s="21" t="str">
        <x:v>/Users/devups/Development/CodexProjects/Gccs/docs/mvp-roadmap.md (line 109)</x:v>
      </x:c>
      <x:c r="O794" s="19"/>
      <x:c r="P794" s="21" t="str">
        <x:v>1 acceptance criteria; 0 TC references; implementation=no; smoke=no; automated=no; Not applicable; governed/external evidence</x:v>
      </x:c>
      <x:c r="Q794" s="21" t="str"/>
      <x:c r="R794" s="21" t="str">
        <x:v>Inventory evidence for FR-4 and record a governed proceed/defer decision.</x:v>
      </x:c>
      <x:c r="S794" s="18" t="str"/>
      <x:c r="T794" s="20"/>
      <x:c r="U794" s="21" t="str">
        <x:v>Roadmap status is not authorization evidence; no FedRAMP authorization/equivalence claim is permitted.</x:v>
      </x:c>
      <x:c r="V794" s="1"/>
    </x:row>
    <x:row r="795" ht="46" customHeight="1">
      <x:c r="A795" s="17" t="n">
        <x:v>791</x:v>
      </x:c>
      <x:c r="B795" s="17" t="str">
        <x:v>FedRAMP</x:v>
      </x:c>
      <x:c r="C795" s="17" t="str">
        <x:v>FR-5</x:v>
      </x:c>
      <x:c r="D795" s="21" t="str">
        <x:v>Select the applicable current FedRAMP certification profile and path with qualified FedRAMP counsel or an advisor and a FedRAMP-recognized independent assessment service</x:v>
      </x:c>
      <x:c r="E795" s="17" t="n">
        <x:v>1</x:v>
      </x:c>
      <x:c r="F795" s="21" t="str">
        <x:v>Select the applicable current FedRAMP certification profile and path with qualified FedRAMP counsel or an advisor and a FedRAMP-recognized independent assessment service. Do not assume that GovCloud hosting determines the certification class or establishes authorization.</x:v>
      </x:c>
      <x:c r="G795" s="17" t="str">
        <x:v>FedRAMP program gate</x:v>
      </x:c>
      <x:c r="H795" s="17" t="str">
        <x:v>Planned</x:v>
      </x:c>
      <x:c r="I795" s="18" t="str">
        <x:v>External/Human Gate</x:v>
      </x:c>
      <x:c r="J795" s="17" t="str">
        <x:f>IF(OR(I795="Completed",I795="Not Applicable"),"No","Yes")</x:f>
        <x:v>Yes</x:v>
      </x:c>
      <x:c r="K795" s="17" t="str">
        <x:v>FR-4</x:v>
      </x:c>
      <x:c r="L795" s="21" t="str"/>
      <x:c r="M795" s="17" t="str">
        <x:v>Human/external evidence required</x:v>
      </x:c>
      <x:c r="N795" s="21" t="str">
        <x:v>/Users/devups/Development/CodexProjects/Gccs/docs/mvp-roadmap.md (line 110)</x:v>
      </x:c>
      <x:c r="O795" s="19"/>
      <x:c r="P795" s="21" t="str">
        <x:v>1 acceptance criteria; 0 TC references; implementation=no; smoke=no; automated=no; Not applicable; governed/external evidence</x:v>
      </x:c>
      <x:c r="Q795" s="21" t="str">
        <x:v>Activation decision plus current qualified program/advisor/assessor or agency prerequisite.</x:v>
      </x:c>
      <x:c r="R795" s="21" t="str">
        <x:v>Do not schedule FR-5 until activation prerequisites are approved and current program rules are revalidated.</x:v>
      </x:c>
      <x:c r="S795" s="18" t="str"/>
      <x:c r="T795" s="20"/>
      <x:c r="U795" s="21" t="str">
        <x:v>Roadmap status is not authorization evidence; no FedRAMP authorization/equivalence claim is permitted.</x:v>
      </x:c>
      <x:c r="V795" s="1"/>
    </x:row>
    <x:row r="796" ht="46" customHeight="1">
      <x:c r="A796" s="17" t="n">
        <x:v>792</x:v>
      </x:c>
      <x:c r="B796" s="17" t="str">
        <x:v>FedRAMP</x:v>
      </x:c>
      <x:c r="C796" s="17" t="str">
        <x:v>FR-6</x:v>
      </x:c>
      <x:c r="D796" s="21" t="str">
        <x:v>Commercial production now has real Terraform declarations, import blocks, CI validation, and a gated drift workflow</x:v>
      </x:c>
      <x:c r="E796" s="17" t="n">
        <x:v>1</x:v>
      </x:c>
      <x:c r="F796" s="21" t="str">
        <x:v>Commercial production now has real Terraform declarations, import blocks, CI validation, and a gated drift workflow. Remote-state adoption, imports, a reviewed zero-drift baseline, hardening, policy-as-code, and a separate regulated deployment remain planned. Current resource settings are discovery/adoption inputs, not approved controls.</x:v>
      </x:c>
      <x:c r="G796" s="17" t="str">
        <x:v>FedRAMP program gate</x:v>
      </x:c>
      <x:c r="H796" s="17" t="str">
        <x:v>Partially implemented foundation</x:v>
      </x:c>
      <x:c r="I796" s="18" t="str">
        <x:v>Partially Completed</x:v>
      </x:c>
      <x:c r="J796" s="17" t="str">
        <x:f>IF(OR(I796="Completed",I796="Not Applicable"),"No","Yes")</x:f>
        <x:v>Yes</x:v>
      </x:c>
      <x:c r="K796" s="17" t="str">
        <x:v>FR-5</x:v>
      </x:c>
      <x:c r="L796" s="21" t="str"/>
      <x:c r="M796" s="17" t="str">
        <x:v>Insufficient evidence</x:v>
      </x:c>
      <x:c r="N796" s="21" t="str">
        <x:v>/Users/devups/Development/CodexProjects/Gccs/docs/mvp-roadmap.md (line 111)</x:v>
      </x:c>
      <x:c r="O796" s="19"/>
      <x:c r="P796" s="21" t="str">
        <x:v>1 acceptance criteria; 0 TC references; implementation=no; smoke=no; automated=no; Not applicable; governed/external evidence</x:v>
      </x:c>
      <x:c r="Q796" s="21" t="str"/>
      <x:c r="R796" s="21" t="str">
        <x:v>Inventory evidence for FR-6 and record a governed proceed/defer decision.</x:v>
      </x:c>
      <x:c r="S796" s="18" t="str"/>
      <x:c r="T796" s="20"/>
      <x:c r="U796" s="21" t="str">
        <x:v>Roadmap status is not authorization evidence; no FedRAMP authorization/equivalence claim is permitted.</x:v>
      </x:c>
      <x:c r="V796" s="1"/>
    </x:row>
    <x:row r="797" ht="46" customHeight="1">
      <x:c r="A797" s="17" t="n">
        <x:v>793</x:v>
      </x:c>
      <x:c r="B797" s="17" t="str">
        <x:v>FedRAMP</x:v>
      </x:c>
      <x:c r="C797" s="17" t="str">
        <x:v>FR-7</x:v>
      </x:c>
      <x:c r="D797" s="21" t="str">
        <x:v>Run a formal gap assessment and begin persistent control verification and security-metric collection early enough to meet the selected certification profile's historical-evidence requirements</x:v>
      </x:c>
      <x:c r="E797" s="17" t="n">
        <x:v>1</x:v>
      </x:c>
      <x:c r="F797" s="21" t="str">
        <x:v>Run a formal gap assessment and begin persistent control verification and security-metric collection early enough to meet the selected certification profile's historical-evidence requirements. Track remediation owners, target dates, exceptions, accepted risks, and significant changes.</x:v>
      </x:c>
      <x:c r="G797" s="17" t="str">
        <x:v>FedRAMP program gate</x:v>
      </x:c>
      <x:c r="H797" s="17" t="str">
        <x:v>Planned</x:v>
      </x:c>
      <x:c r="I797" s="18" t="str">
        <x:v>External/Human Gate</x:v>
      </x:c>
      <x:c r="J797" s="17" t="str">
        <x:f>IF(OR(I797="Completed",I797="Not Applicable"),"No","Yes")</x:f>
        <x:v>Yes</x:v>
      </x:c>
      <x:c r="K797" s="17" t="str">
        <x:v>FR-6</x:v>
      </x:c>
      <x:c r="L797" s="21" t="str"/>
      <x:c r="M797" s="17" t="str">
        <x:v>Human/external evidence required</x:v>
      </x:c>
      <x:c r="N797" s="21" t="str">
        <x:v>/Users/devups/Development/CodexProjects/Gccs/docs/mvp-roadmap.md (line 112)</x:v>
      </x:c>
      <x:c r="O797" s="19"/>
      <x:c r="P797" s="21" t="str">
        <x:v>1 acceptance criteria; 0 TC references; implementation=no; smoke=no; automated=no; Not applicable; governed/external evidence</x:v>
      </x:c>
      <x:c r="Q797" s="21" t="str">
        <x:v>Activation decision plus current qualified program/advisor/assessor or agency prerequisite.</x:v>
      </x:c>
      <x:c r="R797" s="21" t="str">
        <x:v>Do not schedule FR-7 until activation prerequisites are approved and current program rules are revalidated.</x:v>
      </x:c>
      <x:c r="S797" s="18" t="str"/>
      <x:c r="T797" s="20"/>
      <x:c r="U797" s="21" t="str">
        <x:v>Roadmap status is not authorization evidence; no FedRAMP authorization/equivalence claim is permitted.</x:v>
      </x:c>
      <x:c r="V797" s="1"/>
    </x:row>
    <x:row r="798" ht="46" customHeight="1">
      <x:c r="A798" s="17" t="n">
        <x:v>794</x:v>
      </x:c>
      <x:c r="B798" s="17" t="str">
        <x:v>FedRAMP</x:v>
      </x:c>
      <x:c r="C798" s="17" t="str">
        <x:v>FR-8</x:v>
      </x:c>
      <x:c r="D798" s="21" t="str">
        <x:v>Produce the required human-readable and machine-readable certification package, secure-configuration guidance, policies, plans, assessment materials, and customer-responsibility documentation from governed evidence</x:v>
      </x:c>
      <x:c r="E798" s="17" t="n">
        <x:v>1</x:v>
      </x:c>
      <x:c r="F798" s="21" t="str">
        <x:v>Produce the required human-readable and machine-readable certification package, secure-configuration guidance, policies, plans, assessment materials, and customer-responsibility documentation from governed evidence.</x:v>
      </x:c>
      <x:c r="G798" s="17" t="str">
        <x:v>FedRAMP program gate</x:v>
      </x:c>
      <x:c r="H798" s="17" t="str">
        <x:v>Planned</x:v>
      </x:c>
      <x:c r="I798" s="18" t="str">
        <x:v>Not Verified</x:v>
      </x:c>
      <x:c r="J798" s="17" t="str">
        <x:f>IF(OR(I798="Completed",I798="Not Applicable"),"No","Yes")</x:f>
        <x:v>Yes</x:v>
      </x:c>
      <x:c r="K798" s="17" t="str">
        <x:v>FR-7</x:v>
      </x:c>
      <x:c r="L798" s="21" t="str"/>
      <x:c r="M798" s="17" t="str">
        <x:v>Insufficient evidence</x:v>
      </x:c>
      <x:c r="N798" s="21" t="str">
        <x:v>/Users/devups/Development/CodexProjects/Gccs/docs/mvp-roadmap.md (line 113)</x:v>
      </x:c>
      <x:c r="O798" s="19"/>
      <x:c r="P798" s="21" t="str">
        <x:v>1 acceptance criteria; 0 TC references; implementation=no; smoke=no; automated=no; Not applicable; governed/external evidence</x:v>
      </x:c>
      <x:c r="Q798" s="21" t="str"/>
      <x:c r="R798" s="21" t="str">
        <x:v>Inventory evidence for FR-8 and record a governed proceed/defer decision.</x:v>
      </x:c>
      <x:c r="S798" s="18" t="str"/>
      <x:c r="T798" s="20"/>
      <x:c r="U798" s="21" t="str">
        <x:v>Roadmap status is not authorization evidence; no FedRAMP authorization/equivalence claim is permitted.</x:v>
      </x:c>
      <x:c r="V798" s="1"/>
    </x:row>
    <x:row r="799" ht="46" customHeight="1">
      <x:c r="A799" s="17" t="n">
        <x:v>795</x:v>
      </x:c>
      <x:c r="B799" s="17" t="str">
        <x:v>FedRAMP</x:v>
      </x:c>
      <x:c r="C799" s="17" t="str">
        <x:v>FR-9</x:v>
      </x:c>
      <x:c r="D799" s="21" t="str">
        <x:v>Complete the applicable Marketplace, independent-assessment, Program, and/or agency authorization process</x:v>
      </x:c>
      <x:c r="E799" s="17" t="n">
        <x:v>1</x:v>
      </x:c>
      <x:c r="F799" s="21" t="str">
        <x:v>Complete the applicable Marketplace, independent-assessment, Program, and/or agency authorization process. Customer-facing status language must match the official status and approved scope exactly.</x:v>
      </x:c>
      <x:c r="G799" s="17" t="str">
        <x:v>FedRAMP program gate</x:v>
      </x:c>
      <x:c r="H799" s="17" t="str">
        <x:v>Planned</x:v>
      </x:c>
      <x:c r="I799" s="18" t="str">
        <x:v>External/Human Gate</x:v>
      </x:c>
      <x:c r="J799" s="17" t="str">
        <x:f>IF(OR(I799="Completed",I799="Not Applicable"),"No","Yes")</x:f>
        <x:v>Yes</x:v>
      </x:c>
      <x:c r="K799" s="17" t="str">
        <x:v>FR-8</x:v>
      </x:c>
      <x:c r="L799" s="21" t="str"/>
      <x:c r="M799" s="17" t="str">
        <x:v>Human/external evidence required</x:v>
      </x:c>
      <x:c r="N799" s="21" t="str">
        <x:v>/Users/devups/Development/CodexProjects/Gccs/docs/mvp-roadmap.md (line 114)</x:v>
      </x:c>
      <x:c r="O799" s="19"/>
      <x:c r="P799" s="21" t="str">
        <x:v>1 acceptance criteria; 0 TC references; implementation=no; smoke=no; automated=no; Not applicable; governed/external evidence</x:v>
      </x:c>
      <x:c r="Q799" s="21" t="str">
        <x:v>Activation decision plus current qualified program/advisor/assessor or agency prerequisite.</x:v>
      </x:c>
      <x:c r="R799" s="21" t="str">
        <x:v>Do not schedule FR-9 until activation prerequisites are approved and current program rules are revalidated.</x:v>
      </x:c>
      <x:c r="S799" s="18" t="str"/>
      <x:c r="T799" s="20"/>
      <x:c r="U799" s="21" t="str">
        <x:v>Roadmap status is not authorization evidence; no FedRAMP authorization/equivalence claim is permitted.</x:v>
      </x:c>
      <x:c r="V799" s="1"/>
    </x:row>
    <x:row r="800" ht="46" customHeight="1">
      <x:c r="A800" s="17" t="n">
        <x:v>796</x:v>
      </x:c>
      <x:c r="B800" s="17" t="str">
        <x:v>FedRAMP</x:v>
      </x:c>
      <x:c r="C800" s="17" t="str">
        <x:v>FR-10</x:v>
      </x:c>
      <x:c r="D800" s="21" t="str">
        <x:v>Operate continuous monitoring, package maintenance, vulnerability response, incident reporting, access review, evidence refresh, significant-change review, supplier monitoring, and recurring independent assessment at the cadence required by the selected current profile</x:v>
      </x:c>
      <x:c r="E800" s="17" t="n">
        <x:v>1</x:v>
      </x:c>
      <x:c r="F800" s="21" t="str">
        <x:v>Operate continuous monitoring, package maintenance, vulnerability response, incident reporting, access review, evidence refresh, significant-change review, supplier monitoring, and recurring independent assessment at the cadence required by the selected current profile.</x:v>
      </x:c>
      <x:c r="G800" s="17" t="str">
        <x:v>FedRAMP program gate</x:v>
      </x:c>
      <x:c r="H800" s="17" t="str">
        <x:v>Planned</x:v>
      </x:c>
      <x:c r="I800" s="18" t="str">
        <x:v>External/Human Gate</x:v>
      </x:c>
      <x:c r="J800" s="17" t="str">
        <x:f>IF(OR(I800="Completed",I800="Not Applicable"),"No","Yes")</x:f>
        <x:v>Yes</x:v>
      </x:c>
      <x:c r="K800" s="17" t="str">
        <x:v>FR-9</x:v>
      </x:c>
      <x:c r="L800" s="21" t="str"/>
      <x:c r="M800" s="17" t="str">
        <x:v>Human/external evidence required</x:v>
      </x:c>
      <x:c r="N800" s="21" t="str">
        <x:v>/Users/devups/Development/CodexProjects/Gccs/docs/mvp-roadmap.md (line 115)</x:v>
      </x:c>
      <x:c r="O800" s="19"/>
      <x:c r="P800" s="21" t="str">
        <x:v>1 acceptance criteria; 0 TC references; implementation=no; smoke=no; automated=no; Not applicable; governed/external evidence</x:v>
      </x:c>
      <x:c r="Q800" s="21" t="str">
        <x:v>Activation decision plus current qualified program/advisor/assessor or agency prerequisite.</x:v>
      </x:c>
      <x:c r="R800" s="21" t="str">
        <x:v>Do not schedule FR-10 until activation prerequisites are approved and current program rules are revalidated.</x:v>
      </x:c>
      <x:c r="S800" s="18" t="str"/>
      <x:c r="T800" s="20"/>
      <x:c r="U800" s="21" t="str">
        <x:v>Roadmap status is not authorization evidence; no FedRAMP authorization/equivalence claim is permitted.</x:v>
      </x:c>
      <x:c r="V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row>
    <x:row r="100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row>
    <x:row r="1002">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row>
    <x:row r="1003">
      <x:c r="A1003" s="1"/>
      <x:c r="B1003" s="1"/>
      <x:c r="C1003" s="1"/>
      <x:c r="D1003" s="1"/>
      <x:c r="E1003" s="1"/>
      <x:c r="F1003" s="1"/>
      <x:c r="G1003" s="1"/>
      <x:c r="H1003" s="1"/>
      <x:c r="I1003" s="1"/>
      <x:c r="J1003" s="1"/>
      <x:c r="K1003" s="1"/>
      <x:c r="L1003" s="1"/>
      <x:c r="M1003" s="1"/>
      <x:c r="N1003" s="1"/>
      <x:c r="O1003" s="1"/>
      <x:c r="P1003" s="1"/>
      <x:c r="Q1003" s="1"/>
      <x:c r="R1003" s="1"/>
      <x:c r="S1003" s="1"/>
      <x:c r="T1003" s="1"/>
      <x:c r="U1003" s="1"/>
      <x:c r="V1003" s="1"/>
    </x:row>
    <x:row r="1004">
      <x:c r="A1004" s="1"/>
      <x:c r="B1004" s="1"/>
      <x:c r="C1004" s="1"/>
      <x:c r="D1004" s="1"/>
      <x:c r="E1004" s="1"/>
      <x:c r="F1004" s="1"/>
      <x:c r="G1004" s="1"/>
      <x:c r="H1004" s="1"/>
      <x:c r="I1004" s="1"/>
      <x:c r="J1004" s="1"/>
      <x:c r="K1004" s="1"/>
      <x:c r="L1004" s="1"/>
      <x:c r="M1004" s="1"/>
      <x:c r="N1004" s="1"/>
      <x:c r="O1004" s="1"/>
      <x:c r="P1004" s="1"/>
      <x:c r="Q1004" s="1"/>
      <x:c r="R1004" s="1"/>
      <x:c r="S1004" s="1"/>
      <x:c r="T1004" s="1"/>
      <x:c r="U1004" s="1"/>
      <x:c r="V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row>
    <x:row r="1201">
      <x:c r="A1201" s="1"/>
      <x:c r="B1201" s="1"/>
      <x:c r="C1201" s="1"/>
      <x:c r="D1201" s="1"/>
      <x:c r="E1201" s="1"/>
      <x:c r="F1201" s="1"/>
      <x:c r="G1201" s="1"/>
      <x:c r="H1201" s="1"/>
      <x:c r="I1201" s="1"/>
      <x:c r="J1201" s="1"/>
      <x:c r="K1201" s="1"/>
      <x:c r="L1201" s="1"/>
      <x:c r="M1201" s="1"/>
      <x:c r="N1201" s="1"/>
      <x:c r="O1201" s="1"/>
      <x:c r="P1201" s="1"/>
      <x:c r="Q1201" s="1"/>
      <x:c r="R1201" s="1"/>
      <x:c r="S1201" s="1"/>
      <x:c r="T1201" s="1"/>
      <x:c r="U1201" s="1"/>
      <x:c r="V1201" s="1"/>
    </x:row>
    <x:row r="1202">
      <x:c r="A1202" s="1"/>
      <x:c r="B1202" s="1"/>
      <x:c r="C1202" s="1"/>
      <x:c r="D1202" s="1"/>
      <x:c r="E1202" s="1"/>
      <x:c r="F1202" s="1"/>
      <x:c r="G1202" s="1"/>
      <x:c r="H1202" s="1"/>
      <x:c r="I1202" s="1"/>
      <x:c r="J1202" s="1"/>
      <x:c r="K1202" s="1"/>
      <x:c r="L1202" s="1"/>
      <x:c r="M1202" s="1"/>
      <x:c r="N1202" s="1"/>
      <x:c r="O1202" s="1"/>
      <x:c r="P1202" s="1"/>
      <x:c r="Q1202" s="1"/>
      <x:c r="R1202" s="1"/>
      <x:c r="S1202" s="1"/>
      <x:c r="T1202" s="1"/>
      <x:c r="U1202" s="1"/>
      <x:c r="V1202" s="1"/>
    </x:row>
    <x:row r="1203">
      <x:c r="A1203" s="1"/>
      <x:c r="B1203" s="1"/>
      <x:c r="C1203" s="1"/>
      <x:c r="D1203" s="1"/>
      <x:c r="E1203" s="1"/>
      <x:c r="F1203" s="1"/>
      <x:c r="G1203" s="1"/>
      <x:c r="H1203" s="1"/>
      <x:c r="I1203" s="1"/>
      <x:c r="J1203" s="1"/>
      <x:c r="K1203" s="1"/>
      <x:c r="L1203" s="1"/>
      <x:c r="M1203" s="1"/>
      <x:c r="N1203" s="1"/>
      <x:c r="O1203" s="1"/>
      <x:c r="P1203" s="1"/>
      <x:c r="Q1203" s="1"/>
      <x:c r="R1203" s="1"/>
      <x:c r="S1203" s="1"/>
      <x:c r="T1203" s="1"/>
      <x:c r="U1203" s="1"/>
      <x:c r="V1203" s="1"/>
    </x:row>
    <x:row r="1204">
      <x:c r="A1204" s="1"/>
      <x:c r="B1204" s="1"/>
      <x:c r="C1204" s="1"/>
      <x:c r="D1204" s="1"/>
      <x:c r="E1204" s="1"/>
      <x:c r="F1204" s="1"/>
      <x:c r="G1204" s="1"/>
      <x:c r="H1204" s="1"/>
      <x:c r="I1204" s="1"/>
      <x:c r="J1204" s="1"/>
      <x:c r="K1204" s="1"/>
      <x:c r="L1204" s="1"/>
      <x:c r="M1204" s="1"/>
      <x:c r="N1204" s="1"/>
      <x:c r="O1204" s="1"/>
      <x:c r="P1204" s="1"/>
      <x:c r="Q1204" s="1"/>
      <x:c r="R1204" s="1"/>
      <x:c r="S1204" s="1"/>
      <x:c r="T1204" s="1"/>
      <x:c r="U1204" s="1"/>
      <x:c r="V1204" s="1"/>
    </x:row>
    <x:row r="1205">
      <x:c r="A1205" s="1"/>
      <x:c r="B1205" s="1"/>
      <x:c r="C1205" s="1"/>
      <x:c r="D1205" s="1"/>
      <x:c r="E1205" s="1"/>
      <x:c r="F1205" s="1"/>
      <x:c r="G1205" s="1"/>
      <x:c r="H1205" s="1"/>
      <x:c r="I1205" s="1"/>
      <x:c r="J1205" s="1"/>
      <x:c r="K1205" s="1"/>
      <x:c r="L1205" s="1"/>
      <x:c r="M1205" s="1"/>
      <x:c r="N1205" s="1"/>
      <x:c r="O1205" s="1"/>
      <x:c r="P1205" s="1"/>
      <x:c r="Q1205" s="1"/>
      <x:c r="R1205" s="1"/>
      <x:c r="S1205" s="1"/>
      <x:c r="T1205" s="1"/>
      <x:c r="U1205" s="1"/>
      <x:c r="V1205" s="1"/>
    </x:row>
    <x:row r="1206">
      <x:c r="A1206" s="1"/>
      <x:c r="B1206" s="1"/>
      <x:c r="C1206" s="1"/>
      <x:c r="D1206" s="1"/>
      <x:c r="E1206" s="1"/>
      <x:c r="F1206" s="1"/>
      <x:c r="G1206" s="1"/>
      <x:c r="H1206" s="1"/>
      <x:c r="I1206" s="1"/>
      <x:c r="J1206" s="1"/>
      <x:c r="K1206" s="1"/>
      <x:c r="L1206" s="1"/>
      <x:c r="M1206" s="1"/>
      <x:c r="N1206" s="1"/>
      <x:c r="O1206" s="1"/>
      <x:c r="P1206" s="1"/>
      <x:c r="Q1206" s="1"/>
      <x:c r="R1206" s="1"/>
      <x:c r="S1206" s="1"/>
      <x:c r="T1206" s="1"/>
      <x:c r="U1206" s="1"/>
      <x:c r="V1206" s="1"/>
    </x:row>
    <x:row r="1207">
      <x:c r="A1207" s="1"/>
      <x:c r="B1207" s="1"/>
      <x:c r="C1207" s="1"/>
      <x:c r="D1207" s="1"/>
      <x:c r="E1207" s="1"/>
      <x:c r="F1207" s="1"/>
      <x:c r="G1207" s="1"/>
      <x:c r="H1207" s="1"/>
      <x:c r="I1207" s="1"/>
      <x:c r="J1207" s="1"/>
      <x:c r="K1207" s="1"/>
      <x:c r="L1207" s="1"/>
      <x:c r="M1207" s="1"/>
      <x:c r="N1207" s="1"/>
      <x:c r="O1207" s="1"/>
      <x:c r="P1207" s="1"/>
      <x:c r="Q1207" s="1"/>
      <x:c r="R1207" s="1"/>
      <x:c r="S1207" s="1"/>
      <x:c r="T1207" s="1"/>
      <x:c r="U1207" s="1"/>
      <x:c r="V1207" s="1"/>
    </x:row>
    <x:row r="1208">
      <x:c r="A1208" s="1"/>
      <x:c r="B1208" s="1"/>
      <x:c r="C1208" s="1"/>
      <x:c r="D1208" s="1"/>
      <x:c r="E1208" s="1"/>
      <x:c r="F1208" s="1"/>
      <x:c r="G1208" s="1"/>
      <x:c r="H1208" s="1"/>
      <x:c r="I1208" s="1"/>
      <x:c r="J1208" s="1"/>
      <x:c r="K1208" s="1"/>
      <x:c r="L1208" s="1"/>
      <x:c r="M1208" s="1"/>
      <x:c r="N1208" s="1"/>
      <x:c r="O1208" s="1"/>
      <x:c r="P1208" s="1"/>
      <x:c r="Q1208" s="1"/>
      <x:c r="R1208" s="1"/>
      <x:c r="S1208" s="1"/>
      <x:c r="T1208" s="1"/>
      <x:c r="U1208" s="1"/>
      <x:c r="V1208" s="1"/>
    </x:row>
    <x:row r="1209">
      <x:c r="A1209" s="1"/>
      <x:c r="B1209" s="1"/>
      <x:c r="C1209" s="1"/>
      <x:c r="D1209" s="1"/>
      <x:c r="E1209" s="1"/>
      <x:c r="F1209" s="1"/>
      <x:c r="G1209" s="1"/>
      <x:c r="H1209" s="1"/>
      <x:c r="I1209" s="1"/>
      <x:c r="J1209" s="1"/>
      <x:c r="K1209" s="1"/>
      <x:c r="L1209" s="1"/>
      <x:c r="M1209" s="1"/>
      <x:c r="N1209" s="1"/>
      <x:c r="O1209" s="1"/>
      <x:c r="P1209" s="1"/>
      <x:c r="Q1209" s="1"/>
      <x:c r="R1209" s="1"/>
      <x:c r="S1209" s="1"/>
      <x:c r="T1209" s="1"/>
      <x:c r="U1209" s="1"/>
      <x:c r="V1209" s="1"/>
    </x:row>
    <x:row r="1210">
      <x:c r="A1210" s="1"/>
      <x:c r="B1210" s="1"/>
      <x:c r="C1210" s="1"/>
      <x:c r="D1210" s="1"/>
      <x:c r="E1210" s="1"/>
      <x:c r="F1210" s="1"/>
      <x:c r="G1210" s="1"/>
      <x:c r="H1210" s="1"/>
      <x:c r="I1210" s="1"/>
      <x:c r="J1210" s="1"/>
      <x:c r="K1210" s="1"/>
      <x:c r="L1210" s="1"/>
      <x:c r="M1210" s="1"/>
      <x:c r="N1210" s="1"/>
      <x:c r="O1210" s="1"/>
      <x:c r="P1210" s="1"/>
      <x:c r="Q1210" s="1"/>
      <x:c r="R1210" s="1"/>
      <x:c r="S1210" s="1"/>
      <x:c r="T1210" s="1"/>
      <x:c r="U1210" s="1"/>
      <x:c r="V1210" s="1"/>
    </x:row>
    <x:row r="1211">
      <x:c r="A1211" s="1"/>
      <x:c r="B1211" s="1"/>
      <x:c r="C1211" s="1"/>
      <x:c r="D1211" s="1"/>
      <x:c r="E1211" s="1"/>
      <x:c r="F1211" s="1"/>
      <x:c r="G1211" s="1"/>
      <x:c r="H1211" s="1"/>
      <x:c r="I1211" s="1"/>
      <x:c r="J1211" s="1"/>
      <x:c r="K1211" s="1"/>
      <x:c r="L1211" s="1"/>
      <x:c r="M1211" s="1"/>
      <x:c r="N1211" s="1"/>
      <x:c r="O1211" s="1"/>
      <x:c r="P1211" s="1"/>
      <x:c r="Q1211" s="1"/>
      <x:c r="R1211" s="1"/>
      <x:c r="S1211" s="1"/>
      <x:c r="T1211" s="1"/>
      <x:c r="U1211" s="1"/>
      <x:c r="V1211" s="1"/>
    </x:row>
    <x:row r="1212">
      <x:c r="A1212" s="1"/>
      <x:c r="B1212" s="1"/>
      <x:c r="C1212" s="1"/>
      <x:c r="D1212" s="1"/>
      <x:c r="E1212" s="1"/>
      <x:c r="F1212" s="1"/>
      <x:c r="G1212" s="1"/>
      <x:c r="H1212" s="1"/>
      <x:c r="I1212" s="1"/>
      <x:c r="J1212" s="1"/>
      <x:c r="K1212" s="1"/>
      <x:c r="L1212" s="1"/>
      <x:c r="M1212" s="1"/>
      <x:c r="N1212" s="1"/>
      <x:c r="O1212" s="1"/>
      <x:c r="P1212" s="1"/>
      <x:c r="Q1212" s="1"/>
      <x:c r="R1212" s="1"/>
      <x:c r="S1212" s="1"/>
      <x:c r="T1212" s="1"/>
      <x:c r="U1212" s="1"/>
      <x:c r="V1212" s="1"/>
    </x:row>
    <x:row r="1213">
      <x:c r="A1213" s="1"/>
      <x:c r="B1213" s="1"/>
      <x:c r="C1213" s="1"/>
      <x:c r="D1213" s="1"/>
      <x:c r="E1213" s="1"/>
      <x:c r="F1213" s="1"/>
      <x:c r="G1213" s="1"/>
      <x:c r="H1213" s="1"/>
      <x:c r="I1213" s="1"/>
      <x:c r="J1213" s="1"/>
      <x:c r="K1213" s="1"/>
      <x:c r="L1213" s="1"/>
      <x:c r="M1213" s="1"/>
      <x:c r="N1213" s="1"/>
      <x:c r="O1213" s="1"/>
      <x:c r="P1213" s="1"/>
      <x:c r="Q1213" s="1"/>
      <x:c r="R1213" s="1"/>
      <x:c r="S1213" s="1"/>
      <x:c r="T1213" s="1"/>
      <x:c r="U1213" s="1"/>
      <x:c r="V1213" s="1"/>
    </x:row>
    <x:row r="1214">
      <x:c r="A1214" s="1"/>
      <x:c r="B1214" s="1"/>
      <x:c r="C1214" s="1"/>
      <x:c r="D1214" s="1"/>
      <x:c r="E1214" s="1"/>
      <x:c r="F1214" s="1"/>
      <x:c r="G1214" s="1"/>
      <x:c r="H1214" s="1"/>
      <x:c r="I1214" s="1"/>
      <x:c r="J1214" s="1"/>
      <x:c r="K1214" s="1"/>
      <x:c r="L1214" s="1"/>
      <x:c r="M1214" s="1"/>
      <x:c r="N1214" s="1"/>
      <x:c r="O1214" s="1"/>
      <x:c r="P1214" s="1"/>
      <x:c r="Q1214" s="1"/>
      <x:c r="R1214" s="1"/>
      <x:c r="S1214" s="1"/>
      <x:c r="T1214" s="1"/>
      <x:c r="U1214" s="1"/>
      <x:c r="V1214" s="1"/>
    </x:row>
    <x:row r="1215">
      <x:c r="A1215" s="1"/>
      <x:c r="B1215" s="1"/>
      <x:c r="C1215" s="1"/>
      <x:c r="D1215" s="1"/>
      <x:c r="E1215" s="1"/>
      <x:c r="F1215" s="1"/>
      <x:c r="G1215" s="1"/>
      <x:c r="H1215" s="1"/>
      <x:c r="I1215" s="1"/>
      <x:c r="J1215" s="1"/>
      <x:c r="K1215" s="1"/>
      <x:c r="L1215" s="1"/>
      <x:c r="M1215" s="1"/>
      <x:c r="N1215" s="1"/>
      <x:c r="O1215" s="1"/>
      <x:c r="P1215" s="1"/>
      <x:c r="Q1215" s="1"/>
      <x:c r="R1215" s="1"/>
      <x:c r="S1215" s="1"/>
      <x:c r="T1215" s="1"/>
      <x:c r="U1215" s="1"/>
      <x:c r="V1215" s="1"/>
    </x:row>
    <x:row r="1216">
      <x:c r="A1216" s="1"/>
      <x:c r="B1216" s="1"/>
      <x:c r="C1216" s="1"/>
      <x:c r="D1216" s="1"/>
      <x:c r="E1216" s="1"/>
      <x:c r="F1216" s="1"/>
      <x:c r="G1216" s="1"/>
      <x:c r="H1216" s="1"/>
      <x:c r="I1216" s="1"/>
      <x:c r="J1216" s="1"/>
      <x:c r="K1216" s="1"/>
      <x:c r="L1216" s="1"/>
      <x:c r="M1216" s="1"/>
      <x:c r="N1216" s="1"/>
      <x:c r="O1216" s="1"/>
      <x:c r="P1216" s="1"/>
      <x:c r="Q1216" s="1"/>
      <x:c r="R1216" s="1"/>
      <x:c r="S1216" s="1"/>
      <x:c r="T1216" s="1"/>
      <x:c r="U1216" s="1"/>
      <x:c r="V1216" s="1"/>
    </x:row>
    <x:row r="1217">
      <x:c r="A1217" s="1"/>
      <x:c r="B1217" s="1"/>
      <x:c r="C1217" s="1"/>
      <x:c r="D1217" s="1"/>
      <x:c r="E1217" s="1"/>
      <x:c r="F1217" s="1"/>
      <x:c r="G1217" s="1"/>
      <x:c r="H1217" s="1"/>
      <x:c r="I1217" s="1"/>
      <x:c r="J1217" s="1"/>
      <x:c r="K1217" s="1"/>
      <x:c r="L1217" s="1"/>
      <x:c r="M1217" s="1"/>
      <x:c r="N1217" s="1"/>
      <x:c r="O1217" s="1"/>
      <x:c r="P1217" s="1"/>
      <x:c r="Q1217" s="1"/>
      <x:c r="R1217" s="1"/>
      <x:c r="S1217" s="1"/>
      <x:c r="T1217" s="1"/>
      <x:c r="U1217" s="1"/>
      <x:c r="V1217" s="1"/>
    </x:row>
    <x:row r="1218">
      <x:c r="A1218" s="1"/>
      <x:c r="B1218" s="1"/>
      <x:c r="C1218" s="1"/>
      <x:c r="D1218" s="1"/>
      <x:c r="E1218" s="1"/>
      <x:c r="F1218" s="1"/>
      <x:c r="G1218" s="1"/>
      <x:c r="H1218" s="1"/>
      <x:c r="I1218" s="1"/>
      <x:c r="J1218" s="1"/>
      <x:c r="K1218" s="1"/>
      <x:c r="L1218" s="1"/>
      <x:c r="M1218" s="1"/>
      <x:c r="N1218" s="1"/>
      <x:c r="O1218" s="1"/>
      <x:c r="P1218" s="1"/>
      <x:c r="Q1218" s="1"/>
      <x:c r="R1218" s="1"/>
      <x:c r="S1218" s="1"/>
      <x:c r="T1218" s="1"/>
      <x:c r="U1218" s="1"/>
      <x:c r="V1218" s="1"/>
    </x:row>
    <x:row r="1219">
      <x:c r="A1219" s="1"/>
      <x:c r="B1219" s="1"/>
      <x:c r="C1219" s="1"/>
      <x:c r="D1219" s="1"/>
      <x:c r="E1219" s="1"/>
      <x:c r="F1219" s="1"/>
      <x:c r="G1219" s="1"/>
      <x:c r="H1219" s="1"/>
      <x:c r="I1219" s="1"/>
      <x:c r="J1219" s="1"/>
      <x:c r="K1219" s="1"/>
      <x:c r="L1219" s="1"/>
      <x:c r="M1219" s="1"/>
      <x:c r="N1219" s="1"/>
      <x:c r="O1219" s="1"/>
      <x:c r="P1219" s="1"/>
      <x:c r="Q1219" s="1"/>
      <x:c r="R1219" s="1"/>
      <x:c r="S1219" s="1"/>
      <x:c r="T1219" s="1"/>
      <x:c r="U1219" s="1"/>
      <x:c r="V1219" s="1"/>
    </x:row>
    <x:row r="1220">
      <x:c r="A1220" s="1"/>
      <x:c r="B1220" s="1"/>
      <x:c r="C1220" s="1"/>
      <x:c r="D1220" s="1"/>
      <x:c r="E1220" s="1"/>
      <x:c r="F1220" s="1"/>
      <x:c r="G1220" s="1"/>
      <x:c r="H1220" s="1"/>
      <x:c r="I1220" s="1"/>
      <x:c r="J1220" s="1"/>
      <x:c r="K1220" s="1"/>
      <x:c r="L1220" s="1"/>
      <x:c r="M1220" s="1"/>
      <x:c r="N1220" s="1"/>
      <x:c r="O1220" s="1"/>
      <x:c r="P1220" s="1"/>
      <x:c r="Q1220" s="1"/>
      <x:c r="R1220" s="1"/>
      <x:c r="S1220" s="1"/>
      <x:c r="T1220" s="1"/>
      <x:c r="U1220" s="1"/>
      <x:c r="V1220" s="1"/>
    </x:row>
    <x:row r="1221">
      <x:c r="A1221" s="1"/>
      <x:c r="B1221" s="1"/>
      <x:c r="C1221" s="1"/>
      <x:c r="D1221" s="1"/>
      <x:c r="E1221" s="1"/>
      <x:c r="F1221" s="1"/>
      <x:c r="G1221" s="1"/>
      <x:c r="H1221" s="1"/>
      <x:c r="I1221" s="1"/>
      <x:c r="J1221" s="1"/>
      <x:c r="K1221" s="1"/>
      <x:c r="L1221" s="1"/>
      <x:c r="M1221" s="1"/>
      <x:c r="N1221" s="1"/>
      <x:c r="O1221" s="1"/>
      <x:c r="P1221" s="1"/>
      <x:c r="Q1221" s="1"/>
      <x:c r="R1221" s="1"/>
      <x:c r="S1221" s="1"/>
      <x:c r="T1221" s="1"/>
      <x:c r="U1221" s="1"/>
      <x:c r="V1221" s="1"/>
    </x:row>
    <x:row r="1222">
      <x:c r="A1222" s="1"/>
      <x:c r="B1222" s="1"/>
      <x:c r="C1222" s="1"/>
      <x:c r="D1222" s="1"/>
      <x:c r="E1222" s="1"/>
      <x:c r="F1222" s="1"/>
      <x:c r="G1222" s="1"/>
      <x:c r="H1222" s="1"/>
      <x:c r="I1222" s="1"/>
      <x:c r="J1222" s="1"/>
      <x:c r="K1222" s="1"/>
      <x:c r="L1222" s="1"/>
      <x:c r="M1222" s="1"/>
      <x:c r="N1222" s="1"/>
      <x:c r="O1222" s="1"/>
      <x:c r="P1222" s="1"/>
      <x:c r="Q1222" s="1"/>
      <x:c r="R1222" s="1"/>
      <x:c r="S1222" s="1"/>
      <x:c r="T1222" s="1"/>
      <x:c r="U1222" s="1"/>
      <x:c r="V1222" s="1"/>
    </x:row>
    <x:row r="1223">
      <x:c r="A1223" s="1"/>
      <x:c r="B1223" s="1"/>
      <x:c r="C1223" s="1"/>
      <x:c r="D1223" s="1"/>
      <x:c r="E1223" s="1"/>
      <x:c r="F1223" s="1"/>
      <x:c r="G1223" s="1"/>
      <x:c r="H1223" s="1"/>
      <x:c r="I1223" s="1"/>
      <x:c r="J1223" s="1"/>
      <x:c r="K1223" s="1"/>
      <x:c r="L1223" s="1"/>
      <x:c r="M1223" s="1"/>
      <x:c r="N1223" s="1"/>
      <x:c r="O1223" s="1"/>
      <x:c r="P1223" s="1"/>
      <x:c r="Q1223" s="1"/>
      <x:c r="R1223" s="1"/>
      <x:c r="S1223" s="1"/>
      <x:c r="T1223" s="1"/>
      <x:c r="U1223" s="1"/>
      <x:c r="V1223" s="1"/>
    </x:row>
    <x:row r="1224">
      <x:c r="A1224" s="1"/>
      <x:c r="B1224" s="1"/>
      <x:c r="C1224" s="1"/>
      <x:c r="D1224" s="1"/>
      <x:c r="E1224" s="1"/>
      <x:c r="F1224" s="1"/>
      <x:c r="G1224" s="1"/>
      <x:c r="H1224" s="1"/>
      <x:c r="I1224" s="1"/>
      <x:c r="J1224" s="1"/>
      <x:c r="K1224" s="1"/>
      <x:c r="L1224" s="1"/>
      <x:c r="M1224" s="1"/>
      <x:c r="N1224" s="1"/>
      <x:c r="O1224" s="1"/>
      <x:c r="P1224" s="1"/>
      <x:c r="Q1224" s="1"/>
      <x:c r="R1224" s="1"/>
      <x:c r="S1224" s="1"/>
      <x:c r="T1224" s="1"/>
      <x:c r="U1224" s="1"/>
      <x:c r="V1224" s="1"/>
    </x:row>
    <x:row r="1225">
      <x:c r="A1225" s="1"/>
      <x:c r="B1225" s="1"/>
      <x:c r="C1225" s="1"/>
      <x:c r="D1225" s="1"/>
      <x:c r="E1225" s="1"/>
      <x:c r="F1225" s="1"/>
      <x:c r="G1225" s="1"/>
      <x:c r="H1225" s="1"/>
      <x:c r="I1225" s="1"/>
      <x:c r="J1225" s="1"/>
      <x:c r="K1225" s="1"/>
      <x:c r="L1225" s="1"/>
      <x:c r="M1225" s="1"/>
      <x:c r="N1225" s="1"/>
      <x:c r="O1225" s="1"/>
      <x:c r="P1225" s="1"/>
      <x:c r="Q1225" s="1"/>
      <x:c r="R1225" s="1"/>
      <x:c r="S1225" s="1"/>
      <x:c r="T1225" s="1"/>
      <x:c r="U1225" s="1"/>
      <x:c r="V1225" s="1"/>
    </x:row>
    <x:row r="1226">
      <x:c r="A1226" s="1"/>
      <x:c r="B1226" s="1"/>
      <x:c r="C1226" s="1"/>
      <x:c r="D1226" s="1"/>
      <x:c r="E1226" s="1"/>
      <x:c r="F1226" s="1"/>
      <x:c r="G1226" s="1"/>
      <x:c r="H1226" s="1"/>
      <x:c r="I1226" s="1"/>
      <x:c r="J1226" s="1"/>
      <x:c r="K1226" s="1"/>
      <x:c r="L1226" s="1"/>
      <x:c r="M1226" s="1"/>
      <x:c r="N1226" s="1"/>
      <x:c r="O1226" s="1"/>
      <x:c r="P1226" s="1"/>
      <x:c r="Q1226" s="1"/>
      <x:c r="R1226" s="1"/>
      <x:c r="S1226" s="1"/>
      <x:c r="T1226" s="1"/>
      <x:c r="U1226" s="1"/>
      <x:c r="V1226" s="1"/>
    </x:row>
    <x:row r="1227">
      <x:c r="A1227" s="1"/>
      <x:c r="B1227" s="1"/>
      <x:c r="C1227" s="1"/>
      <x:c r="D1227" s="1"/>
      <x:c r="E1227" s="1"/>
      <x:c r="F1227" s="1"/>
      <x:c r="G1227" s="1"/>
      <x:c r="H1227" s="1"/>
      <x:c r="I1227" s="1"/>
      <x:c r="J1227" s="1"/>
      <x:c r="K1227" s="1"/>
      <x:c r="L1227" s="1"/>
      <x:c r="M1227" s="1"/>
      <x:c r="N1227" s="1"/>
      <x:c r="O1227" s="1"/>
      <x:c r="P1227" s="1"/>
      <x:c r="Q1227" s="1"/>
      <x:c r="R1227" s="1"/>
      <x:c r="S1227" s="1"/>
      <x:c r="T1227" s="1"/>
      <x:c r="U1227" s="1"/>
      <x:c r="V1227" s="1"/>
    </x:row>
    <x:row r="1228">
      <x:c r="A1228" s="1"/>
      <x:c r="B1228" s="1"/>
      <x:c r="C1228" s="1"/>
      <x:c r="D1228" s="1"/>
      <x:c r="E1228" s="1"/>
      <x:c r="F1228" s="1"/>
      <x:c r="G1228" s="1"/>
      <x:c r="H1228" s="1"/>
      <x:c r="I1228" s="1"/>
      <x:c r="J1228" s="1"/>
      <x:c r="K1228" s="1"/>
      <x:c r="L1228" s="1"/>
      <x:c r="M1228" s="1"/>
      <x:c r="N1228" s="1"/>
      <x:c r="O1228" s="1"/>
      <x:c r="P1228" s="1"/>
      <x:c r="Q1228" s="1"/>
      <x:c r="R1228" s="1"/>
      <x:c r="S1228" s="1"/>
      <x:c r="T1228" s="1"/>
      <x:c r="U1228" s="1"/>
      <x:c r="V1228" s="1"/>
    </x:row>
    <x:row r="1229">
      <x:c r="A1229" s="1"/>
      <x:c r="B1229" s="1"/>
      <x:c r="C1229" s="1"/>
      <x:c r="D1229" s="1"/>
      <x:c r="E1229" s="1"/>
      <x:c r="F1229" s="1"/>
      <x:c r="G1229" s="1"/>
      <x:c r="H1229" s="1"/>
      <x:c r="I1229" s="1"/>
      <x:c r="J1229" s="1"/>
      <x:c r="K1229" s="1"/>
      <x:c r="L1229" s="1"/>
      <x:c r="M1229" s="1"/>
      <x:c r="N1229" s="1"/>
      <x:c r="O1229" s="1"/>
      <x:c r="P1229" s="1"/>
      <x:c r="Q1229" s="1"/>
      <x:c r="R1229" s="1"/>
      <x:c r="S1229" s="1"/>
      <x:c r="T1229" s="1"/>
      <x:c r="U1229" s="1"/>
      <x:c r="V1229" s="1"/>
    </x:row>
    <x:row r="1230">
      <x:c r="A1230" s="1"/>
      <x:c r="B1230" s="1"/>
      <x:c r="C1230" s="1"/>
      <x:c r="D1230" s="1"/>
      <x:c r="E1230" s="1"/>
      <x:c r="F1230" s="1"/>
      <x:c r="G1230" s="1"/>
      <x:c r="H1230" s="1"/>
      <x:c r="I1230" s="1"/>
      <x:c r="J1230" s="1"/>
      <x:c r="K1230" s="1"/>
      <x:c r="L1230" s="1"/>
      <x:c r="M1230" s="1"/>
      <x:c r="N1230" s="1"/>
      <x:c r="O1230" s="1"/>
      <x:c r="P1230" s="1"/>
      <x:c r="Q1230" s="1"/>
      <x:c r="R1230" s="1"/>
      <x:c r="S1230" s="1"/>
      <x:c r="T1230" s="1"/>
      <x:c r="U1230" s="1"/>
      <x:c r="V1230" s="1"/>
    </x:row>
    <x:row r="1231">
      <x:c r="A1231" s="1"/>
      <x:c r="B1231" s="1"/>
      <x:c r="C1231" s="1"/>
      <x:c r="D1231" s="1"/>
      <x:c r="E1231" s="1"/>
      <x:c r="F1231" s="1"/>
      <x:c r="G1231" s="1"/>
      <x:c r="H1231" s="1"/>
      <x:c r="I1231" s="1"/>
      <x:c r="J1231" s="1"/>
      <x:c r="K1231" s="1"/>
      <x:c r="L1231" s="1"/>
      <x:c r="M1231" s="1"/>
      <x:c r="N1231" s="1"/>
      <x:c r="O1231" s="1"/>
      <x:c r="P1231" s="1"/>
      <x:c r="Q1231" s="1"/>
      <x:c r="R1231" s="1"/>
      <x:c r="S1231" s="1"/>
      <x:c r="T1231" s="1"/>
      <x:c r="U1231" s="1"/>
      <x:c r="V1231" s="1"/>
    </x:row>
    <x:row r="1232">
      <x:c r="A1232" s="1"/>
      <x:c r="B1232" s="1"/>
      <x:c r="C1232" s="1"/>
      <x:c r="D1232" s="1"/>
      <x:c r="E1232" s="1"/>
      <x:c r="F1232" s="1"/>
      <x:c r="G1232" s="1"/>
      <x:c r="H1232" s="1"/>
      <x:c r="I1232" s="1"/>
      <x:c r="J1232" s="1"/>
      <x:c r="K1232" s="1"/>
      <x:c r="L1232" s="1"/>
      <x:c r="M1232" s="1"/>
      <x:c r="N1232" s="1"/>
      <x:c r="O1232" s="1"/>
      <x:c r="P1232" s="1"/>
      <x:c r="Q1232" s="1"/>
      <x:c r="R1232" s="1"/>
      <x:c r="S1232" s="1"/>
      <x:c r="T1232" s="1"/>
      <x:c r="U1232" s="1"/>
      <x:c r="V1232" s="1"/>
    </x:row>
    <x:row r="1233">
      <x:c r="A1233" s="1"/>
      <x:c r="B1233" s="1"/>
      <x:c r="C1233" s="1"/>
      <x:c r="D1233" s="1"/>
      <x:c r="E1233" s="1"/>
      <x:c r="F1233" s="1"/>
      <x:c r="G1233" s="1"/>
      <x:c r="H1233" s="1"/>
      <x:c r="I1233" s="1"/>
      <x:c r="J1233" s="1"/>
      <x:c r="K1233" s="1"/>
      <x:c r="L1233" s="1"/>
      <x:c r="M1233" s="1"/>
      <x:c r="N1233" s="1"/>
      <x:c r="O1233" s="1"/>
      <x:c r="P1233" s="1"/>
      <x:c r="Q1233" s="1"/>
      <x:c r="R1233" s="1"/>
      <x:c r="S1233" s="1"/>
      <x:c r="T1233" s="1"/>
      <x:c r="U1233" s="1"/>
      <x:c r="V1233" s="1"/>
    </x:row>
    <x:row r="1234">
      <x:c r="A1234" s="1"/>
      <x:c r="B1234" s="1"/>
      <x:c r="C1234" s="1"/>
      <x:c r="D1234" s="1"/>
      <x:c r="E1234" s="1"/>
      <x:c r="F1234" s="1"/>
      <x:c r="G1234" s="1"/>
      <x:c r="H1234" s="1"/>
      <x:c r="I1234" s="1"/>
      <x:c r="J1234" s="1"/>
      <x:c r="K1234" s="1"/>
      <x:c r="L1234" s="1"/>
      <x:c r="M1234" s="1"/>
      <x:c r="N1234" s="1"/>
      <x:c r="O1234" s="1"/>
      <x:c r="P1234" s="1"/>
      <x:c r="Q1234" s="1"/>
      <x:c r="R1234" s="1"/>
      <x:c r="S1234" s="1"/>
      <x:c r="T1234" s="1"/>
      <x:c r="U1234" s="1"/>
      <x:c r="V1234" s="1"/>
    </x:row>
    <x:row r="1235">
      <x:c r="A1235" s="1"/>
      <x:c r="B1235" s="1"/>
      <x:c r="C1235" s="1"/>
      <x:c r="D1235" s="1"/>
      <x:c r="E1235" s="1"/>
      <x:c r="F1235" s="1"/>
      <x:c r="G1235" s="1"/>
      <x:c r="H1235" s="1"/>
      <x:c r="I1235" s="1"/>
      <x:c r="J1235" s="1"/>
      <x:c r="K1235" s="1"/>
      <x:c r="L1235" s="1"/>
      <x:c r="M1235" s="1"/>
      <x:c r="N1235" s="1"/>
      <x:c r="O1235" s="1"/>
      <x:c r="P1235" s="1"/>
      <x:c r="Q1235" s="1"/>
      <x:c r="R1235" s="1"/>
      <x:c r="S1235" s="1"/>
      <x:c r="T1235" s="1"/>
      <x:c r="U1235" s="1"/>
      <x:c r="V1235" s="1"/>
    </x:row>
    <x:row r="1236">
      <x:c r="A1236" s="1"/>
      <x:c r="B1236" s="1"/>
      <x:c r="C1236" s="1"/>
      <x:c r="D1236" s="1"/>
      <x:c r="E1236" s="1"/>
      <x:c r="F1236" s="1"/>
      <x:c r="G1236" s="1"/>
      <x:c r="H1236" s="1"/>
      <x:c r="I1236" s="1"/>
      <x:c r="J1236" s="1"/>
      <x:c r="K1236" s="1"/>
      <x:c r="L1236" s="1"/>
      <x:c r="M1236" s="1"/>
      <x:c r="N1236" s="1"/>
      <x:c r="O1236" s="1"/>
      <x:c r="P1236" s="1"/>
      <x:c r="Q1236" s="1"/>
      <x:c r="R1236" s="1"/>
      <x:c r="S1236" s="1"/>
      <x:c r="T1236" s="1"/>
      <x:c r="U1236" s="1"/>
      <x:c r="V1236" s="1"/>
    </x:row>
    <x:row r="1237">
      <x:c r="A1237" s="1"/>
      <x:c r="B1237" s="1"/>
      <x:c r="C1237" s="1"/>
      <x:c r="D1237" s="1"/>
      <x:c r="E1237" s="1"/>
      <x:c r="F1237" s="1"/>
      <x:c r="G1237" s="1"/>
      <x:c r="H1237" s="1"/>
      <x:c r="I1237" s="1"/>
      <x:c r="J1237" s="1"/>
      <x:c r="K1237" s="1"/>
      <x:c r="L1237" s="1"/>
      <x:c r="M1237" s="1"/>
      <x:c r="N1237" s="1"/>
      <x:c r="O1237" s="1"/>
      <x:c r="P1237" s="1"/>
      <x:c r="Q1237" s="1"/>
      <x:c r="R1237" s="1"/>
      <x:c r="S1237" s="1"/>
      <x:c r="T1237" s="1"/>
      <x:c r="U1237" s="1"/>
      <x:c r="V1237" s="1"/>
    </x:row>
    <x:row r="1238">
      <x:c r="A1238" s="1"/>
      <x:c r="B1238" s="1"/>
      <x:c r="C1238" s="1"/>
      <x:c r="D1238" s="1"/>
      <x:c r="E1238" s="1"/>
      <x:c r="F1238" s="1"/>
      <x:c r="G1238" s="1"/>
      <x:c r="H1238" s="1"/>
      <x:c r="I1238" s="1"/>
      <x:c r="J1238" s="1"/>
      <x:c r="K1238" s="1"/>
      <x:c r="L1238" s="1"/>
      <x:c r="M1238" s="1"/>
      <x:c r="N1238" s="1"/>
      <x:c r="O1238" s="1"/>
      <x:c r="P1238" s="1"/>
      <x:c r="Q1238" s="1"/>
      <x:c r="R1238" s="1"/>
      <x:c r="S1238" s="1"/>
      <x:c r="T1238" s="1"/>
      <x:c r="U1238" s="1"/>
      <x:c r="V1238" s="1"/>
    </x:row>
    <x:row r="1239">
      <x:c r="A1239" s="1"/>
      <x:c r="B1239" s="1"/>
      <x:c r="C1239" s="1"/>
      <x:c r="D1239" s="1"/>
      <x:c r="E1239" s="1"/>
      <x:c r="F1239" s="1"/>
      <x:c r="G1239" s="1"/>
      <x:c r="H1239" s="1"/>
      <x:c r="I1239" s="1"/>
      <x:c r="J1239" s="1"/>
      <x:c r="K1239" s="1"/>
      <x:c r="L1239" s="1"/>
      <x:c r="M1239" s="1"/>
      <x:c r="N1239" s="1"/>
      <x:c r="O1239" s="1"/>
      <x:c r="P1239" s="1"/>
      <x:c r="Q1239" s="1"/>
      <x:c r="R1239" s="1"/>
      <x:c r="S1239" s="1"/>
      <x:c r="T1239" s="1"/>
      <x:c r="U1239" s="1"/>
      <x:c r="V1239" s="1"/>
    </x:row>
    <x:row r="1240">
      <x:c r="A1240" s="1"/>
      <x:c r="B1240" s="1"/>
      <x:c r="C1240" s="1"/>
      <x:c r="D1240" s="1"/>
      <x:c r="E1240" s="1"/>
      <x:c r="F1240" s="1"/>
      <x:c r="G1240" s="1"/>
      <x:c r="H1240" s="1"/>
      <x:c r="I1240" s="1"/>
      <x:c r="J1240" s="1"/>
      <x:c r="K1240" s="1"/>
      <x:c r="L1240" s="1"/>
      <x:c r="M1240" s="1"/>
      <x:c r="N1240" s="1"/>
      <x:c r="O1240" s="1"/>
      <x:c r="P1240" s="1"/>
      <x:c r="Q1240" s="1"/>
      <x:c r="R1240" s="1"/>
      <x:c r="S1240" s="1"/>
      <x:c r="T1240" s="1"/>
      <x:c r="U1240" s="1"/>
      <x:c r="V1240" s="1"/>
    </x:row>
    <x:row r="1241">
      <x:c r="A1241" s="1"/>
      <x:c r="B1241" s="1"/>
      <x:c r="C1241" s="1"/>
      <x:c r="D1241" s="1"/>
      <x:c r="E1241" s="1"/>
      <x:c r="F1241" s="1"/>
      <x:c r="G1241" s="1"/>
      <x:c r="H1241" s="1"/>
      <x:c r="I1241" s="1"/>
      <x:c r="J1241" s="1"/>
      <x:c r="K1241" s="1"/>
      <x:c r="L1241" s="1"/>
      <x:c r="M1241" s="1"/>
      <x:c r="N1241" s="1"/>
      <x:c r="O1241" s="1"/>
      <x:c r="P1241" s="1"/>
      <x:c r="Q1241" s="1"/>
      <x:c r="R1241" s="1"/>
      <x:c r="S1241" s="1"/>
      <x:c r="T1241" s="1"/>
      <x:c r="U1241" s="1"/>
      <x:c r="V1241" s="1"/>
    </x:row>
    <x:row r="1242">
      <x:c r="A1242" s="1"/>
      <x:c r="B1242" s="1"/>
      <x:c r="C1242" s="1"/>
      <x:c r="D1242" s="1"/>
      <x:c r="E1242" s="1"/>
      <x:c r="F1242" s="1"/>
      <x:c r="G1242" s="1"/>
      <x:c r="H1242" s="1"/>
      <x:c r="I1242" s="1"/>
      <x:c r="J1242" s="1"/>
      <x:c r="K1242" s="1"/>
      <x:c r="L1242" s="1"/>
      <x:c r="M1242" s="1"/>
      <x:c r="N1242" s="1"/>
      <x:c r="O1242" s="1"/>
      <x:c r="P1242" s="1"/>
      <x:c r="Q1242" s="1"/>
      <x:c r="R1242" s="1"/>
      <x:c r="S1242" s="1"/>
      <x:c r="T1242" s="1"/>
      <x:c r="U1242" s="1"/>
      <x:c r="V1242" s="1"/>
    </x:row>
    <x:row r="1243">
      <x:c r="A1243" s="1"/>
      <x:c r="B1243" s="1"/>
      <x:c r="C1243" s="1"/>
      <x:c r="D1243" s="1"/>
      <x:c r="E1243" s="1"/>
      <x:c r="F1243" s="1"/>
      <x:c r="G1243" s="1"/>
      <x:c r="H1243" s="1"/>
      <x:c r="I1243" s="1"/>
      <x:c r="J1243" s="1"/>
      <x:c r="K1243" s="1"/>
      <x:c r="L1243" s="1"/>
      <x:c r="M1243" s="1"/>
      <x:c r="N1243" s="1"/>
      <x:c r="O1243" s="1"/>
      <x:c r="P1243" s="1"/>
      <x:c r="Q1243" s="1"/>
      <x:c r="R1243" s="1"/>
      <x:c r="S1243" s="1"/>
      <x:c r="T1243" s="1"/>
      <x:c r="U1243" s="1"/>
      <x:c r="V1243" s="1"/>
    </x:row>
    <x:row r="1244">
      <x:c r="A1244" s="1"/>
      <x:c r="B1244" s="1"/>
      <x:c r="C1244" s="1"/>
      <x:c r="D1244" s="1"/>
      <x:c r="E1244" s="1"/>
      <x:c r="F1244" s="1"/>
      <x:c r="G1244" s="1"/>
      <x:c r="H1244" s="1"/>
      <x:c r="I1244" s="1"/>
      <x:c r="J1244" s="1"/>
      <x:c r="K1244" s="1"/>
      <x:c r="L1244" s="1"/>
      <x:c r="M1244" s="1"/>
      <x:c r="N1244" s="1"/>
      <x:c r="O1244" s="1"/>
      <x:c r="P1244" s="1"/>
      <x:c r="Q1244" s="1"/>
      <x:c r="R1244" s="1"/>
      <x:c r="S1244" s="1"/>
      <x:c r="T1244" s="1"/>
      <x:c r="U1244" s="1"/>
      <x:c r="V1244" s="1"/>
    </x:row>
    <x:row r="1245">
      <x:c r="A1245" s="1"/>
      <x:c r="B1245" s="1"/>
      <x:c r="C1245" s="1"/>
      <x:c r="D1245" s="1"/>
      <x:c r="E1245" s="1"/>
      <x:c r="F1245" s="1"/>
      <x:c r="G1245" s="1"/>
      <x:c r="H1245" s="1"/>
      <x:c r="I1245" s="1"/>
      <x:c r="J1245" s="1"/>
      <x:c r="K1245" s="1"/>
      <x:c r="L1245" s="1"/>
      <x:c r="M1245" s="1"/>
      <x:c r="N1245" s="1"/>
      <x:c r="O1245" s="1"/>
      <x:c r="P1245" s="1"/>
      <x:c r="Q1245" s="1"/>
      <x:c r="R1245" s="1"/>
      <x:c r="S1245" s="1"/>
      <x:c r="T1245" s="1"/>
      <x:c r="U1245" s="1"/>
      <x:c r="V1245" s="1"/>
    </x:row>
    <x:row r="1246">
      <x:c r="A1246" s="1"/>
      <x:c r="B1246" s="1"/>
      <x:c r="C1246" s="1"/>
      <x:c r="D1246" s="1"/>
      <x:c r="E1246" s="1"/>
      <x:c r="F1246" s="1"/>
      <x:c r="G1246" s="1"/>
      <x:c r="H1246" s="1"/>
      <x:c r="I1246" s="1"/>
      <x:c r="J1246" s="1"/>
      <x:c r="K1246" s="1"/>
      <x:c r="L1246" s="1"/>
      <x:c r="M1246" s="1"/>
      <x:c r="N1246" s="1"/>
      <x:c r="O1246" s="1"/>
      <x:c r="P1246" s="1"/>
      <x:c r="Q1246" s="1"/>
      <x:c r="R1246" s="1"/>
      <x:c r="S1246" s="1"/>
      <x:c r="T1246" s="1"/>
      <x:c r="U1246" s="1"/>
      <x:c r="V1246" s="1"/>
    </x:row>
    <x:row r="1247">
      <x:c r="A1247" s="1"/>
      <x:c r="B1247" s="1"/>
      <x:c r="C1247" s="1"/>
      <x:c r="D1247" s="1"/>
      <x:c r="E1247" s="1"/>
      <x:c r="F1247" s="1"/>
      <x:c r="G1247" s="1"/>
      <x:c r="H1247" s="1"/>
      <x:c r="I1247" s="1"/>
      <x:c r="J1247" s="1"/>
      <x:c r="K1247" s="1"/>
      <x:c r="L1247" s="1"/>
      <x:c r="M1247" s="1"/>
      <x:c r="N1247" s="1"/>
      <x:c r="O1247" s="1"/>
      <x:c r="P1247" s="1"/>
      <x:c r="Q1247" s="1"/>
      <x:c r="R1247" s="1"/>
      <x:c r="S1247" s="1"/>
      <x:c r="T1247" s="1"/>
      <x:c r="U1247" s="1"/>
      <x:c r="V1247" s="1"/>
    </x:row>
    <x:row r="1248">
      <x:c r="A1248" s="1"/>
      <x:c r="B1248" s="1"/>
      <x:c r="C1248" s="1"/>
      <x:c r="D1248" s="1"/>
      <x:c r="E1248" s="1"/>
      <x:c r="F1248" s="1"/>
      <x:c r="G1248" s="1"/>
      <x:c r="H1248" s="1"/>
      <x:c r="I1248" s="1"/>
      <x:c r="J1248" s="1"/>
      <x:c r="K1248" s="1"/>
      <x:c r="L1248" s="1"/>
      <x:c r="M1248" s="1"/>
      <x:c r="N1248" s="1"/>
      <x:c r="O1248" s="1"/>
      <x:c r="P1248" s="1"/>
      <x:c r="Q1248" s="1"/>
      <x:c r="R1248" s="1"/>
      <x:c r="S1248" s="1"/>
      <x:c r="T1248" s="1"/>
      <x:c r="U1248" s="1"/>
      <x:c r="V1248" s="1"/>
    </x:row>
    <x:row r="1249">
      <x:c r="A1249" s="1"/>
      <x:c r="B1249" s="1"/>
      <x:c r="C1249" s="1"/>
      <x:c r="D1249" s="1"/>
      <x:c r="E1249" s="1"/>
      <x:c r="F1249" s="1"/>
      <x:c r="G1249" s="1"/>
      <x:c r="H1249" s="1"/>
      <x:c r="I1249" s="1"/>
      <x:c r="J1249" s="1"/>
      <x:c r="K1249" s="1"/>
      <x:c r="L1249" s="1"/>
      <x:c r="M1249" s="1"/>
      <x:c r="N1249" s="1"/>
      <x:c r="O1249" s="1"/>
      <x:c r="P1249" s="1"/>
      <x:c r="Q1249" s="1"/>
      <x:c r="R1249" s="1"/>
      <x:c r="S1249" s="1"/>
      <x:c r="T1249" s="1"/>
      <x:c r="U1249" s="1"/>
      <x:c r="V1249" s="1"/>
    </x:row>
    <x:row r="1250">
      <x:c r="A1250" s="1"/>
      <x:c r="B1250" s="1"/>
      <x:c r="C1250" s="1"/>
      <x:c r="D1250" s="1"/>
      <x:c r="E1250" s="1"/>
      <x:c r="F1250" s="1"/>
      <x:c r="G1250" s="1"/>
      <x:c r="H1250" s="1"/>
      <x:c r="I1250" s="1"/>
      <x:c r="J1250" s="1"/>
      <x:c r="K1250" s="1"/>
      <x:c r="L1250" s="1"/>
      <x:c r="M1250" s="1"/>
      <x:c r="N1250" s="1"/>
      <x:c r="O1250" s="1"/>
      <x:c r="P1250" s="1"/>
      <x:c r="Q1250" s="1"/>
      <x:c r="R1250" s="1"/>
      <x:c r="S1250" s="1"/>
      <x:c r="T1250" s="1"/>
      <x:c r="U1250" s="1"/>
      <x:c r="V1250" s="1"/>
    </x:row>
    <x:row r="1251">
      <x:c r="A1251" s="1"/>
      <x:c r="B1251" s="1"/>
      <x:c r="C1251" s="1"/>
      <x:c r="D1251" s="1"/>
      <x:c r="E1251" s="1"/>
      <x:c r="F1251" s="1"/>
      <x:c r="G1251" s="1"/>
      <x:c r="H1251" s="1"/>
      <x:c r="I1251" s="1"/>
      <x:c r="J1251" s="1"/>
      <x:c r="K1251" s="1"/>
      <x:c r="L1251" s="1"/>
      <x:c r="M1251" s="1"/>
      <x:c r="N1251" s="1"/>
      <x:c r="O1251" s="1"/>
      <x:c r="P1251" s="1"/>
      <x:c r="Q1251" s="1"/>
      <x:c r="R1251" s="1"/>
      <x:c r="S1251" s="1"/>
      <x:c r="T1251" s="1"/>
      <x:c r="U1251" s="1"/>
      <x:c r="V1251" s="1"/>
    </x:row>
    <x:row r="1252">
      <x:c r="A1252" s="1"/>
      <x:c r="B1252" s="1"/>
      <x:c r="C1252" s="1"/>
      <x:c r="D1252" s="1"/>
      <x:c r="E1252" s="1"/>
      <x:c r="F1252" s="1"/>
      <x:c r="G1252" s="1"/>
      <x:c r="H1252" s="1"/>
      <x:c r="I1252" s="1"/>
      <x:c r="J1252" s="1"/>
      <x:c r="K1252" s="1"/>
      <x:c r="L1252" s="1"/>
      <x:c r="M1252" s="1"/>
      <x:c r="N1252" s="1"/>
      <x:c r="O1252" s="1"/>
      <x:c r="P1252" s="1"/>
      <x:c r="Q1252" s="1"/>
      <x:c r="R1252" s="1"/>
      <x:c r="S1252" s="1"/>
      <x:c r="T1252" s="1"/>
      <x:c r="U1252" s="1"/>
      <x:c r="V1252" s="1"/>
    </x:row>
    <x:row r="1253">
      <x:c r="A1253" s="1"/>
      <x:c r="B1253" s="1"/>
      <x:c r="C1253" s="1"/>
      <x:c r="D1253" s="1"/>
      <x:c r="E1253" s="1"/>
      <x:c r="F1253" s="1"/>
      <x:c r="G1253" s="1"/>
      <x:c r="H1253" s="1"/>
      <x:c r="I1253" s="1"/>
      <x:c r="J1253" s="1"/>
      <x:c r="K1253" s="1"/>
      <x:c r="L1253" s="1"/>
      <x:c r="M1253" s="1"/>
      <x:c r="N1253" s="1"/>
      <x:c r="O1253" s="1"/>
      <x:c r="P1253" s="1"/>
      <x:c r="Q1253" s="1"/>
      <x:c r="R1253" s="1"/>
      <x:c r="S1253" s="1"/>
      <x:c r="T1253" s="1"/>
      <x:c r="U1253" s="1"/>
      <x:c r="V1253" s="1"/>
    </x:row>
    <x:row r="1254">
      <x:c r="A1254" s="1"/>
      <x:c r="B1254" s="1"/>
      <x:c r="C1254" s="1"/>
      <x:c r="D1254" s="1"/>
      <x:c r="E1254" s="1"/>
      <x:c r="F1254" s="1"/>
      <x:c r="G1254" s="1"/>
      <x:c r="H1254" s="1"/>
      <x:c r="I1254" s="1"/>
      <x:c r="J1254" s="1"/>
      <x:c r="K1254" s="1"/>
      <x:c r="L1254" s="1"/>
      <x:c r="M1254" s="1"/>
      <x:c r="N1254" s="1"/>
      <x:c r="O1254" s="1"/>
      <x:c r="P1254" s="1"/>
      <x:c r="Q1254" s="1"/>
      <x:c r="R1254" s="1"/>
      <x:c r="S1254" s="1"/>
      <x:c r="T1254" s="1"/>
      <x:c r="U1254" s="1"/>
      <x:c r="V1254" s="1"/>
    </x:row>
    <x:row r="1255">
      <x:c r="A1255" s="1"/>
      <x:c r="B1255" s="1"/>
      <x:c r="C1255" s="1"/>
      <x:c r="D1255" s="1"/>
      <x:c r="E1255" s="1"/>
      <x:c r="F1255" s="1"/>
      <x:c r="G1255" s="1"/>
      <x:c r="H1255" s="1"/>
      <x:c r="I1255" s="1"/>
      <x:c r="J1255" s="1"/>
      <x:c r="K1255" s="1"/>
      <x:c r="L1255" s="1"/>
      <x:c r="M1255" s="1"/>
      <x:c r="N1255" s="1"/>
      <x:c r="O1255" s="1"/>
      <x:c r="P1255" s="1"/>
      <x:c r="Q1255" s="1"/>
      <x:c r="R1255" s="1"/>
      <x:c r="S1255" s="1"/>
      <x:c r="T1255" s="1"/>
      <x:c r="U1255" s="1"/>
      <x:c r="V1255" s="1"/>
    </x:row>
    <x:row r="1256">
      <x:c r="A1256" s="1"/>
      <x:c r="B1256" s="1"/>
      <x:c r="C1256" s="1"/>
      <x:c r="D1256" s="1"/>
      <x:c r="E1256" s="1"/>
      <x:c r="F1256" s="1"/>
      <x:c r="G1256" s="1"/>
      <x:c r="H1256" s="1"/>
      <x:c r="I1256" s="1"/>
      <x:c r="J1256" s="1"/>
      <x:c r="K1256" s="1"/>
      <x:c r="L1256" s="1"/>
      <x:c r="M1256" s="1"/>
      <x:c r="N1256" s="1"/>
      <x:c r="O1256" s="1"/>
      <x:c r="P1256" s="1"/>
      <x:c r="Q1256" s="1"/>
      <x:c r="R1256" s="1"/>
      <x:c r="S1256" s="1"/>
      <x:c r="T1256" s="1"/>
      <x:c r="U1256" s="1"/>
      <x:c r="V1256" s="1"/>
    </x:row>
    <x:row r="1257">
      <x:c r="A1257" s="1"/>
      <x:c r="B1257" s="1"/>
      <x:c r="C1257" s="1"/>
      <x:c r="D1257" s="1"/>
      <x:c r="E1257" s="1"/>
      <x:c r="F1257" s="1"/>
      <x:c r="G1257" s="1"/>
      <x:c r="H1257" s="1"/>
      <x:c r="I1257" s="1"/>
      <x:c r="J1257" s="1"/>
      <x:c r="K1257" s="1"/>
      <x:c r="L1257" s="1"/>
      <x:c r="M1257" s="1"/>
      <x:c r="N1257" s="1"/>
      <x:c r="O1257" s="1"/>
      <x:c r="P1257" s="1"/>
      <x:c r="Q1257" s="1"/>
      <x:c r="R1257" s="1"/>
      <x:c r="S1257" s="1"/>
      <x:c r="T1257" s="1"/>
      <x:c r="U1257" s="1"/>
      <x:c r="V1257" s="1"/>
    </x:row>
    <x:row r="1258">
      <x:c r="A1258" s="1"/>
      <x:c r="B1258" s="1"/>
      <x:c r="C1258" s="1"/>
      <x:c r="D1258" s="1"/>
      <x:c r="E1258" s="1"/>
      <x:c r="F1258" s="1"/>
      <x:c r="G1258" s="1"/>
      <x:c r="H1258" s="1"/>
      <x:c r="I1258" s="1"/>
      <x:c r="J1258" s="1"/>
      <x:c r="K1258" s="1"/>
      <x:c r="L1258" s="1"/>
      <x:c r="M1258" s="1"/>
      <x:c r="N1258" s="1"/>
      <x:c r="O1258" s="1"/>
      <x:c r="P1258" s="1"/>
      <x:c r="Q1258" s="1"/>
      <x:c r="R1258" s="1"/>
      <x:c r="S1258" s="1"/>
      <x:c r="T1258" s="1"/>
      <x:c r="U1258" s="1"/>
      <x:c r="V1258" s="1"/>
    </x:row>
    <x:row r="1259">
      <x:c r="A1259" s="1"/>
      <x:c r="B1259" s="1"/>
      <x:c r="C1259" s="1"/>
      <x:c r="D1259" s="1"/>
      <x:c r="E1259" s="1"/>
      <x:c r="F1259" s="1"/>
      <x:c r="G1259" s="1"/>
      <x:c r="H1259" s="1"/>
      <x:c r="I1259" s="1"/>
      <x:c r="J1259" s="1"/>
      <x:c r="K1259" s="1"/>
      <x:c r="L1259" s="1"/>
      <x:c r="M1259" s="1"/>
      <x:c r="N1259" s="1"/>
      <x:c r="O1259" s="1"/>
      <x:c r="P1259" s="1"/>
      <x:c r="Q1259" s="1"/>
      <x:c r="R1259" s="1"/>
      <x:c r="S1259" s="1"/>
      <x:c r="T1259" s="1"/>
      <x:c r="U1259" s="1"/>
      <x:c r="V1259" s="1"/>
    </x:row>
    <x:row r="1260">
      <x:c r="A1260" s="1"/>
      <x:c r="B1260" s="1"/>
      <x:c r="C1260" s="1"/>
      <x:c r="D1260" s="1"/>
      <x:c r="E1260" s="1"/>
      <x:c r="F1260" s="1"/>
      <x:c r="G1260" s="1"/>
      <x:c r="H1260" s="1"/>
      <x:c r="I1260" s="1"/>
      <x:c r="J1260" s="1"/>
      <x:c r="K1260" s="1"/>
      <x:c r="L1260" s="1"/>
      <x:c r="M1260" s="1"/>
      <x:c r="N1260" s="1"/>
      <x:c r="O1260" s="1"/>
      <x:c r="P1260" s="1"/>
      <x:c r="Q1260" s="1"/>
      <x:c r="R1260" s="1"/>
      <x:c r="S1260" s="1"/>
      <x:c r="T1260" s="1"/>
      <x:c r="U1260" s="1"/>
      <x:c r="V1260" s="1"/>
    </x:row>
    <x:row r="1261">
      <x:c r="A1261" s="1"/>
      <x:c r="B1261" s="1"/>
      <x:c r="C1261" s="1"/>
      <x:c r="D1261" s="1"/>
      <x:c r="E1261" s="1"/>
      <x:c r="F1261" s="1"/>
      <x:c r="G1261" s="1"/>
      <x:c r="H1261" s="1"/>
      <x:c r="I1261" s="1"/>
      <x:c r="J1261" s="1"/>
      <x:c r="K1261" s="1"/>
      <x:c r="L1261" s="1"/>
      <x:c r="M1261" s="1"/>
      <x:c r="N1261" s="1"/>
      <x:c r="O1261" s="1"/>
      <x:c r="P1261" s="1"/>
      <x:c r="Q1261" s="1"/>
      <x:c r="R1261" s="1"/>
      <x:c r="S1261" s="1"/>
      <x:c r="T1261" s="1"/>
      <x:c r="U1261" s="1"/>
      <x:c r="V1261" s="1"/>
    </x:row>
    <x:row r="1262">
      <x:c r="A1262" s="1"/>
      <x:c r="B1262" s="1"/>
      <x:c r="C1262" s="1"/>
      <x:c r="D1262" s="1"/>
      <x:c r="E1262" s="1"/>
      <x:c r="F1262" s="1"/>
      <x:c r="G1262" s="1"/>
      <x:c r="H1262" s="1"/>
      <x:c r="I1262" s="1"/>
      <x:c r="J1262" s="1"/>
      <x:c r="K1262" s="1"/>
      <x:c r="L1262" s="1"/>
      <x:c r="M1262" s="1"/>
      <x:c r="N1262" s="1"/>
      <x:c r="O1262" s="1"/>
      <x:c r="P1262" s="1"/>
      <x:c r="Q1262" s="1"/>
      <x:c r="R1262" s="1"/>
      <x:c r="S1262" s="1"/>
      <x:c r="T1262" s="1"/>
      <x:c r="U1262" s="1"/>
      <x:c r="V1262" s="1"/>
    </x:row>
    <x:row r="1263">
      <x:c r="A1263" s="1"/>
      <x:c r="B1263" s="1"/>
      <x:c r="C1263" s="1"/>
      <x:c r="D1263" s="1"/>
      <x:c r="E1263" s="1"/>
      <x:c r="F1263" s="1"/>
      <x:c r="G1263" s="1"/>
      <x:c r="H1263" s="1"/>
      <x:c r="I1263" s="1"/>
      <x:c r="J1263" s="1"/>
      <x:c r="K1263" s="1"/>
      <x:c r="L1263" s="1"/>
      <x:c r="M1263" s="1"/>
      <x:c r="N1263" s="1"/>
      <x:c r="O1263" s="1"/>
      <x:c r="P1263" s="1"/>
      <x:c r="Q1263" s="1"/>
      <x:c r="R1263" s="1"/>
      <x:c r="S1263" s="1"/>
      <x:c r="T1263" s="1"/>
      <x:c r="U1263" s="1"/>
      <x:c r="V1263" s="1"/>
    </x:row>
    <x:row r="1264">
      <x:c r="A1264" s="1"/>
      <x:c r="B1264" s="1"/>
      <x:c r="C1264" s="1"/>
      <x:c r="D1264" s="1"/>
      <x:c r="E1264" s="1"/>
      <x:c r="F1264" s="1"/>
      <x:c r="G1264" s="1"/>
      <x:c r="H1264" s="1"/>
      <x:c r="I1264" s="1"/>
      <x:c r="J1264" s="1"/>
      <x:c r="K1264" s="1"/>
      <x:c r="L1264" s="1"/>
      <x:c r="M1264" s="1"/>
      <x:c r="N1264" s="1"/>
      <x:c r="O1264" s="1"/>
      <x:c r="P1264" s="1"/>
      <x:c r="Q1264" s="1"/>
      <x:c r="R1264" s="1"/>
      <x:c r="S1264" s="1"/>
      <x:c r="T1264" s="1"/>
      <x:c r="U1264" s="1"/>
      <x:c r="V1264" s="1"/>
    </x:row>
    <x:row r="1265">
      <x:c r="A1265" s="1"/>
      <x:c r="B1265" s="1"/>
      <x:c r="C1265" s="1"/>
      <x:c r="D1265" s="1"/>
      <x:c r="E1265" s="1"/>
      <x:c r="F1265" s="1"/>
      <x:c r="G1265" s="1"/>
      <x:c r="H1265" s="1"/>
      <x:c r="I1265" s="1"/>
      <x:c r="J1265" s="1"/>
      <x:c r="K1265" s="1"/>
      <x:c r="L1265" s="1"/>
      <x:c r="M1265" s="1"/>
      <x:c r="N1265" s="1"/>
      <x:c r="O1265" s="1"/>
      <x:c r="P1265" s="1"/>
      <x:c r="Q1265" s="1"/>
      <x:c r="R1265" s="1"/>
      <x:c r="S1265" s="1"/>
      <x:c r="T1265" s="1"/>
      <x:c r="U1265" s="1"/>
      <x:c r="V1265" s="1"/>
    </x:row>
    <x:row r="1266">
      <x:c r="A1266" s="1"/>
      <x:c r="B1266" s="1"/>
      <x:c r="C1266" s="1"/>
      <x:c r="D1266" s="1"/>
      <x:c r="E1266" s="1"/>
      <x:c r="F1266" s="1"/>
      <x:c r="G1266" s="1"/>
      <x:c r="H1266" s="1"/>
      <x:c r="I1266" s="1"/>
      <x:c r="J1266" s="1"/>
      <x:c r="K1266" s="1"/>
      <x:c r="L1266" s="1"/>
      <x:c r="M1266" s="1"/>
      <x:c r="N1266" s="1"/>
      <x:c r="O1266" s="1"/>
      <x:c r="P1266" s="1"/>
      <x:c r="Q1266" s="1"/>
      <x:c r="R1266" s="1"/>
      <x:c r="S1266" s="1"/>
      <x:c r="T1266" s="1"/>
      <x:c r="U1266" s="1"/>
      <x:c r="V1266" s="1"/>
    </x:row>
    <x:row r="1267">
      <x:c r="A1267" s="1"/>
      <x:c r="B1267" s="1"/>
      <x:c r="C1267" s="1"/>
      <x:c r="D1267" s="1"/>
      <x:c r="E1267" s="1"/>
      <x:c r="F1267" s="1"/>
      <x:c r="G1267" s="1"/>
      <x:c r="H1267" s="1"/>
      <x:c r="I1267" s="1"/>
      <x:c r="J1267" s="1"/>
      <x:c r="K1267" s="1"/>
      <x:c r="L1267" s="1"/>
      <x:c r="M1267" s="1"/>
      <x:c r="N1267" s="1"/>
      <x:c r="O1267" s="1"/>
      <x:c r="P1267" s="1"/>
      <x:c r="Q1267" s="1"/>
      <x:c r="R1267" s="1"/>
      <x:c r="S1267" s="1"/>
      <x:c r="T1267" s="1"/>
      <x:c r="U1267" s="1"/>
      <x:c r="V1267" s="1"/>
    </x:row>
    <x:row r="1268">
      <x:c r="A1268" s="1"/>
      <x:c r="B1268" s="1"/>
      <x:c r="C1268" s="1"/>
      <x:c r="D1268" s="1"/>
      <x:c r="E1268" s="1"/>
      <x:c r="F1268" s="1"/>
      <x:c r="G1268" s="1"/>
      <x:c r="H1268" s="1"/>
      <x:c r="I1268" s="1"/>
      <x:c r="J1268" s="1"/>
      <x:c r="K1268" s="1"/>
      <x:c r="L1268" s="1"/>
      <x:c r="M1268" s="1"/>
      <x:c r="N1268" s="1"/>
      <x:c r="O1268" s="1"/>
      <x:c r="P1268" s="1"/>
      <x:c r="Q1268" s="1"/>
      <x:c r="R1268" s="1"/>
      <x:c r="S1268" s="1"/>
      <x:c r="T1268" s="1"/>
      <x:c r="U1268" s="1"/>
      <x:c r="V1268" s="1"/>
    </x:row>
    <x:row r="1269">
      <x:c r="A1269" s="1"/>
      <x:c r="B1269" s="1"/>
      <x:c r="C1269" s="1"/>
      <x:c r="D1269" s="1"/>
      <x:c r="E1269" s="1"/>
      <x:c r="F1269" s="1"/>
      <x:c r="G1269" s="1"/>
      <x:c r="H1269" s="1"/>
      <x:c r="I1269" s="1"/>
      <x:c r="J1269" s="1"/>
      <x:c r="K1269" s="1"/>
      <x:c r="L1269" s="1"/>
      <x:c r="M1269" s="1"/>
      <x:c r="N1269" s="1"/>
      <x:c r="O1269" s="1"/>
      <x:c r="P1269" s="1"/>
      <x:c r="Q1269" s="1"/>
      <x:c r="R1269" s="1"/>
      <x:c r="S1269" s="1"/>
      <x:c r="T1269" s="1"/>
      <x:c r="U1269" s="1"/>
      <x:c r="V1269" s="1"/>
    </x:row>
    <x:row r="1270">
      <x:c r="A1270" s="1"/>
      <x:c r="B1270" s="1"/>
      <x:c r="C1270" s="1"/>
      <x:c r="D1270" s="1"/>
      <x:c r="E1270" s="1"/>
      <x:c r="F1270" s="1"/>
      <x:c r="G1270" s="1"/>
      <x:c r="H1270" s="1"/>
      <x:c r="I1270" s="1"/>
      <x:c r="J1270" s="1"/>
      <x:c r="K1270" s="1"/>
      <x:c r="L1270" s="1"/>
      <x:c r="M1270" s="1"/>
      <x:c r="N1270" s="1"/>
      <x:c r="O1270" s="1"/>
      <x:c r="P1270" s="1"/>
      <x:c r="Q1270" s="1"/>
      <x:c r="R1270" s="1"/>
      <x:c r="S1270" s="1"/>
      <x:c r="T1270" s="1"/>
      <x:c r="U1270" s="1"/>
      <x:c r="V1270" s="1"/>
    </x:row>
    <x:row r="1271">
      <x:c r="A1271" s="1"/>
      <x:c r="B1271" s="1"/>
      <x:c r="C1271" s="1"/>
      <x:c r="D1271" s="1"/>
      <x:c r="E1271" s="1"/>
      <x:c r="F1271" s="1"/>
      <x:c r="G1271" s="1"/>
      <x:c r="H1271" s="1"/>
      <x:c r="I1271" s="1"/>
      <x:c r="J1271" s="1"/>
      <x:c r="K1271" s="1"/>
      <x:c r="L1271" s="1"/>
      <x:c r="M1271" s="1"/>
      <x:c r="N1271" s="1"/>
      <x:c r="O1271" s="1"/>
      <x:c r="P1271" s="1"/>
      <x:c r="Q1271" s="1"/>
      <x:c r="R1271" s="1"/>
      <x:c r="S1271" s="1"/>
      <x:c r="T1271" s="1"/>
      <x:c r="U1271" s="1"/>
      <x:c r="V1271" s="1"/>
    </x:row>
    <x:row r="1272">
      <x:c r="A1272" s="1"/>
      <x:c r="B1272" s="1"/>
      <x:c r="C1272" s="1"/>
      <x:c r="D1272" s="1"/>
      <x:c r="E1272" s="1"/>
      <x:c r="F1272" s="1"/>
      <x:c r="G1272" s="1"/>
      <x:c r="H1272" s="1"/>
      <x:c r="I1272" s="1"/>
      <x:c r="J1272" s="1"/>
      <x:c r="K1272" s="1"/>
      <x:c r="L1272" s="1"/>
      <x:c r="M1272" s="1"/>
      <x:c r="N1272" s="1"/>
      <x:c r="O1272" s="1"/>
      <x:c r="P1272" s="1"/>
      <x:c r="Q1272" s="1"/>
      <x:c r="R1272" s="1"/>
      <x:c r="S1272" s="1"/>
      <x:c r="T1272" s="1"/>
      <x:c r="U1272" s="1"/>
      <x:c r="V1272" s="1"/>
    </x:row>
    <x:row r="1273">
      <x:c r="A1273" s="1"/>
      <x:c r="B1273" s="1"/>
      <x:c r="C1273" s="1"/>
      <x:c r="D1273" s="1"/>
      <x:c r="E1273" s="1"/>
      <x:c r="F1273" s="1"/>
      <x:c r="G1273" s="1"/>
      <x:c r="H1273" s="1"/>
      <x:c r="I1273" s="1"/>
      <x:c r="J1273" s="1"/>
      <x:c r="K1273" s="1"/>
      <x:c r="L1273" s="1"/>
      <x:c r="M1273" s="1"/>
      <x:c r="N1273" s="1"/>
      <x:c r="O1273" s="1"/>
      <x:c r="P1273" s="1"/>
      <x:c r="Q1273" s="1"/>
      <x:c r="R1273" s="1"/>
      <x:c r="S1273" s="1"/>
      <x:c r="T1273" s="1"/>
      <x:c r="U1273" s="1"/>
      <x:c r="V1273" s="1"/>
    </x:row>
    <x:row r="1274">
      <x:c r="A1274" s="1"/>
      <x:c r="B1274" s="1"/>
      <x:c r="C1274" s="1"/>
      <x:c r="D1274" s="1"/>
      <x:c r="E1274" s="1"/>
      <x:c r="F1274" s="1"/>
      <x:c r="G1274" s="1"/>
      <x:c r="H1274" s="1"/>
      <x:c r="I1274" s="1"/>
      <x:c r="J1274" s="1"/>
      <x:c r="K1274" s="1"/>
      <x:c r="L1274" s="1"/>
      <x:c r="M1274" s="1"/>
      <x:c r="N1274" s="1"/>
      <x:c r="O1274" s="1"/>
      <x:c r="P1274" s="1"/>
      <x:c r="Q1274" s="1"/>
      <x:c r="R1274" s="1"/>
      <x:c r="S1274" s="1"/>
      <x:c r="T1274" s="1"/>
      <x:c r="U1274" s="1"/>
      <x:c r="V1274" s="1"/>
    </x:row>
    <x:row r="1275">
      <x:c r="A1275" s="1"/>
      <x:c r="B1275" s="1"/>
      <x:c r="C1275" s="1"/>
      <x:c r="D1275" s="1"/>
      <x:c r="E1275" s="1"/>
      <x:c r="F1275" s="1"/>
      <x:c r="G1275" s="1"/>
      <x:c r="H1275" s="1"/>
      <x:c r="I1275" s="1"/>
      <x:c r="J1275" s="1"/>
      <x:c r="K1275" s="1"/>
      <x:c r="L1275" s="1"/>
      <x:c r="M1275" s="1"/>
      <x:c r="N1275" s="1"/>
      <x:c r="O1275" s="1"/>
      <x:c r="P1275" s="1"/>
      <x:c r="Q1275" s="1"/>
      <x:c r="R1275" s="1"/>
      <x:c r="S1275" s="1"/>
      <x:c r="T1275" s="1"/>
      <x:c r="U1275" s="1"/>
      <x:c r="V1275" s="1"/>
    </x:row>
    <x:row r="1276">
      <x:c r="A1276" s="1"/>
      <x:c r="B1276" s="1"/>
      <x:c r="C1276" s="1"/>
      <x:c r="D1276" s="1"/>
      <x:c r="E1276" s="1"/>
      <x:c r="F1276" s="1"/>
      <x:c r="G1276" s="1"/>
      <x:c r="H1276" s="1"/>
      <x:c r="I1276" s="1"/>
      <x:c r="J1276" s="1"/>
      <x:c r="K1276" s="1"/>
      <x:c r="L1276" s="1"/>
      <x:c r="M1276" s="1"/>
      <x:c r="N1276" s="1"/>
      <x:c r="O1276" s="1"/>
      <x:c r="P1276" s="1"/>
      <x:c r="Q1276" s="1"/>
      <x:c r="R1276" s="1"/>
      <x:c r="S1276" s="1"/>
      <x:c r="T1276" s="1"/>
      <x:c r="U1276" s="1"/>
      <x:c r="V1276" s="1"/>
    </x:row>
    <x:row r="1277">
      <x:c r="A1277" s="1"/>
      <x:c r="B1277" s="1"/>
      <x:c r="C1277" s="1"/>
      <x:c r="D1277" s="1"/>
      <x:c r="E1277" s="1"/>
      <x:c r="F1277" s="1"/>
      <x:c r="G1277" s="1"/>
      <x:c r="H1277" s="1"/>
      <x:c r="I1277" s="1"/>
      <x:c r="J1277" s="1"/>
      <x:c r="K1277" s="1"/>
      <x:c r="L1277" s="1"/>
      <x:c r="M1277" s="1"/>
      <x:c r="N1277" s="1"/>
      <x:c r="O1277" s="1"/>
      <x:c r="P1277" s="1"/>
      <x:c r="Q1277" s="1"/>
      <x:c r="R1277" s="1"/>
      <x:c r="S1277" s="1"/>
      <x:c r="T1277" s="1"/>
      <x:c r="U1277" s="1"/>
      <x:c r="V1277" s="1"/>
    </x:row>
    <x:row r="1278">
      <x:c r="A1278" s="1"/>
      <x:c r="B1278" s="1"/>
      <x:c r="C1278" s="1"/>
      <x:c r="D1278" s="1"/>
      <x:c r="E1278" s="1"/>
      <x:c r="F1278" s="1"/>
      <x:c r="G1278" s="1"/>
      <x:c r="H1278" s="1"/>
      <x:c r="I1278" s="1"/>
      <x:c r="J1278" s="1"/>
      <x:c r="K1278" s="1"/>
      <x:c r="L1278" s="1"/>
      <x:c r="M1278" s="1"/>
      <x:c r="N1278" s="1"/>
      <x:c r="O1278" s="1"/>
      <x:c r="P1278" s="1"/>
      <x:c r="Q1278" s="1"/>
      <x:c r="R1278" s="1"/>
      <x:c r="S1278" s="1"/>
      <x:c r="T1278" s="1"/>
      <x:c r="U1278" s="1"/>
      <x:c r="V1278" s="1"/>
    </x:row>
    <x:row r="1279">
      <x:c r="A1279" s="1"/>
      <x:c r="B1279" s="1"/>
      <x:c r="C1279" s="1"/>
      <x:c r="D1279" s="1"/>
      <x:c r="E1279" s="1"/>
      <x:c r="F1279" s="1"/>
      <x:c r="G1279" s="1"/>
      <x:c r="H1279" s="1"/>
      <x:c r="I1279" s="1"/>
      <x:c r="J1279" s="1"/>
      <x:c r="K1279" s="1"/>
      <x:c r="L1279" s="1"/>
      <x:c r="M1279" s="1"/>
      <x:c r="N1279" s="1"/>
      <x:c r="O1279" s="1"/>
      <x:c r="P1279" s="1"/>
      <x:c r="Q1279" s="1"/>
      <x:c r="R1279" s="1"/>
      <x:c r="S1279" s="1"/>
      <x:c r="T1279" s="1"/>
      <x:c r="U1279" s="1"/>
      <x:c r="V1279" s="1"/>
    </x:row>
    <x:row r="1280">
      <x:c r="A1280" s="1"/>
      <x:c r="B1280" s="1"/>
      <x:c r="C1280" s="1"/>
      <x:c r="D1280" s="1"/>
      <x:c r="E1280" s="1"/>
      <x:c r="F1280" s="1"/>
      <x:c r="G1280" s="1"/>
      <x:c r="H1280" s="1"/>
      <x:c r="I1280" s="1"/>
      <x:c r="J1280" s="1"/>
      <x:c r="K1280" s="1"/>
      <x:c r="L1280" s="1"/>
      <x:c r="M1280" s="1"/>
      <x:c r="N1280" s="1"/>
      <x:c r="O1280" s="1"/>
      <x:c r="P1280" s="1"/>
      <x:c r="Q1280" s="1"/>
      <x:c r="R1280" s="1"/>
      <x:c r="S1280" s="1"/>
      <x:c r="T1280" s="1"/>
      <x:c r="U1280" s="1"/>
      <x:c r="V1280" s="1"/>
    </x:row>
    <x:row r="1281">
      <x:c r="A1281" s="1"/>
      <x:c r="B1281" s="1"/>
      <x:c r="C1281" s="1"/>
      <x:c r="D1281" s="1"/>
      <x:c r="E1281" s="1"/>
      <x:c r="F1281" s="1"/>
      <x:c r="G1281" s="1"/>
      <x:c r="H1281" s="1"/>
      <x:c r="I1281" s="1"/>
      <x:c r="J1281" s="1"/>
      <x:c r="K1281" s="1"/>
      <x:c r="L1281" s="1"/>
      <x:c r="M1281" s="1"/>
      <x:c r="N1281" s="1"/>
      <x:c r="O1281" s="1"/>
      <x:c r="P1281" s="1"/>
      <x:c r="Q1281" s="1"/>
      <x:c r="R1281" s="1"/>
      <x:c r="S1281" s="1"/>
      <x:c r="T1281" s="1"/>
      <x:c r="U1281" s="1"/>
      <x:c r="V1281" s="1"/>
    </x:row>
    <x:row r="1282">
      <x:c r="A1282" s="1"/>
      <x:c r="B1282" s="1"/>
      <x:c r="C1282" s="1"/>
      <x:c r="D1282" s="1"/>
      <x:c r="E1282" s="1"/>
      <x:c r="F1282" s="1"/>
      <x:c r="G1282" s="1"/>
      <x:c r="H1282" s="1"/>
      <x:c r="I1282" s="1"/>
      <x:c r="J1282" s="1"/>
      <x:c r="K1282" s="1"/>
      <x:c r="L1282" s="1"/>
      <x:c r="M1282" s="1"/>
      <x:c r="N1282" s="1"/>
      <x:c r="O1282" s="1"/>
      <x:c r="P1282" s="1"/>
      <x:c r="Q1282" s="1"/>
      <x:c r="R1282" s="1"/>
      <x:c r="S1282" s="1"/>
      <x:c r="T1282" s="1"/>
      <x:c r="U1282" s="1"/>
      <x:c r="V1282" s="1"/>
    </x:row>
    <x:row r="1283">
      <x:c r="A1283" s="1"/>
      <x:c r="B1283" s="1"/>
      <x:c r="C1283" s="1"/>
      <x:c r="D1283" s="1"/>
      <x:c r="E1283" s="1"/>
      <x:c r="F1283" s="1"/>
      <x:c r="G1283" s="1"/>
      <x:c r="H1283" s="1"/>
      <x:c r="I1283" s="1"/>
      <x:c r="J1283" s="1"/>
      <x:c r="K1283" s="1"/>
      <x:c r="L1283" s="1"/>
      <x:c r="M1283" s="1"/>
      <x:c r="N1283" s="1"/>
      <x:c r="O1283" s="1"/>
      <x:c r="P1283" s="1"/>
      <x:c r="Q1283" s="1"/>
      <x:c r="R1283" s="1"/>
      <x:c r="S1283" s="1"/>
      <x:c r="T1283" s="1"/>
      <x:c r="U1283" s="1"/>
      <x:c r="V1283" s="1"/>
    </x:row>
    <x:row r="1284">
      <x:c r="A1284" s="1"/>
      <x:c r="B1284" s="1"/>
      <x:c r="C1284" s="1"/>
      <x:c r="D1284" s="1"/>
      <x:c r="E1284" s="1"/>
      <x:c r="F1284" s="1"/>
      <x:c r="G1284" s="1"/>
      <x:c r="H1284" s="1"/>
      <x:c r="I1284" s="1"/>
      <x:c r="J1284" s="1"/>
      <x:c r="K1284" s="1"/>
      <x:c r="L1284" s="1"/>
      <x:c r="M1284" s="1"/>
      <x:c r="N1284" s="1"/>
      <x:c r="O1284" s="1"/>
      <x:c r="P1284" s="1"/>
      <x:c r="Q1284" s="1"/>
      <x:c r="R1284" s="1"/>
      <x:c r="S1284" s="1"/>
      <x:c r="T1284" s="1"/>
      <x:c r="U1284" s="1"/>
      <x:c r="V1284" s="1"/>
    </x:row>
    <x:row r="1285">
      <x:c r="A1285" s="1"/>
      <x:c r="B1285" s="1"/>
      <x:c r="C1285" s="1"/>
      <x:c r="D1285" s="1"/>
      <x:c r="E1285" s="1"/>
      <x:c r="F1285" s="1"/>
      <x:c r="G1285" s="1"/>
      <x:c r="H1285" s="1"/>
      <x:c r="I1285" s="1"/>
      <x:c r="J1285" s="1"/>
      <x:c r="K1285" s="1"/>
      <x:c r="L1285" s="1"/>
      <x:c r="M1285" s="1"/>
      <x:c r="N1285" s="1"/>
      <x:c r="O1285" s="1"/>
      <x:c r="P1285" s="1"/>
      <x:c r="Q1285" s="1"/>
      <x:c r="R1285" s="1"/>
      <x:c r="S1285" s="1"/>
      <x:c r="T1285" s="1"/>
      <x:c r="U1285" s="1"/>
      <x:c r="V1285" s="1"/>
    </x:row>
    <x:row r="1286">
      <x:c r="A1286" s="1"/>
      <x:c r="B1286" s="1"/>
      <x:c r="C1286" s="1"/>
      <x:c r="D1286" s="1"/>
      <x:c r="E1286" s="1"/>
      <x:c r="F1286" s="1"/>
      <x:c r="G1286" s="1"/>
      <x:c r="H1286" s="1"/>
      <x:c r="I1286" s="1"/>
      <x:c r="J1286" s="1"/>
      <x:c r="K1286" s="1"/>
      <x:c r="L1286" s="1"/>
      <x:c r="M1286" s="1"/>
      <x:c r="N1286" s="1"/>
      <x:c r="O1286" s="1"/>
      <x:c r="P1286" s="1"/>
      <x:c r="Q1286" s="1"/>
      <x:c r="R1286" s="1"/>
      <x:c r="S1286" s="1"/>
      <x:c r="T1286" s="1"/>
      <x:c r="U1286" s="1"/>
      <x:c r="V1286" s="1"/>
    </x:row>
    <x:row r="1287">
      <x:c r="A1287" s="1"/>
      <x:c r="B1287" s="1"/>
      <x:c r="C1287" s="1"/>
      <x:c r="D1287" s="1"/>
      <x:c r="E1287" s="1"/>
      <x:c r="F1287" s="1"/>
      <x:c r="G1287" s="1"/>
      <x:c r="H1287" s="1"/>
      <x:c r="I1287" s="1"/>
      <x:c r="J1287" s="1"/>
      <x:c r="K1287" s="1"/>
      <x:c r="L1287" s="1"/>
      <x:c r="M1287" s="1"/>
      <x:c r="N1287" s="1"/>
      <x:c r="O1287" s="1"/>
      <x:c r="P1287" s="1"/>
      <x:c r="Q1287" s="1"/>
      <x:c r="R1287" s="1"/>
      <x:c r="S1287" s="1"/>
      <x:c r="T1287" s="1"/>
      <x:c r="U1287" s="1"/>
      <x:c r="V1287" s="1"/>
    </x:row>
    <x:row r="1288">
      <x:c r="A1288" s="1"/>
      <x:c r="B1288" s="1"/>
      <x:c r="C1288" s="1"/>
      <x:c r="D1288" s="1"/>
      <x:c r="E1288" s="1"/>
      <x:c r="F1288" s="1"/>
      <x:c r="G1288" s="1"/>
      <x:c r="H1288" s="1"/>
      <x:c r="I1288" s="1"/>
      <x:c r="J1288" s="1"/>
      <x:c r="K1288" s="1"/>
      <x:c r="L1288" s="1"/>
      <x:c r="M1288" s="1"/>
      <x:c r="N1288" s="1"/>
      <x:c r="O1288" s="1"/>
      <x:c r="P1288" s="1"/>
      <x:c r="Q1288" s="1"/>
      <x:c r="R1288" s="1"/>
      <x:c r="S1288" s="1"/>
      <x:c r="T1288" s="1"/>
      <x:c r="U1288" s="1"/>
      <x:c r="V1288" s="1"/>
    </x:row>
    <x:row r="1289">
      <x:c r="A1289" s="1"/>
      <x:c r="B1289" s="1"/>
      <x:c r="C1289" s="1"/>
      <x:c r="D1289" s="1"/>
      <x:c r="E1289" s="1"/>
      <x:c r="F1289" s="1"/>
      <x:c r="G1289" s="1"/>
      <x:c r="H1289" s="1"/>
      <x:c r="I1289" s="1"/>
      <x:c r="J1289" s="1"/>
      <x:c r="K1289" s="1"/>
      <x:c r="L1289" s="1"/>
      <x:c r="M1289" s="1"/>
      <x:c r="N1289" s="1"/>
      <x:c r="O1289" s="1"/>
      <x:c r="P1289" s="1"/>
      <x:c r="Q1289" s="1"/>
      <x:c r="R1289" s="1"/>
      <x:c r="S1289" s="1"/>
      <x:c r="T1289" s="1"/>
      <x:c r="U1289" s="1"/>
      <x:c r="V1289" s="1"/>
    </x:row>
    <x:row r="1290">
      <x:c r="A1290" s="1"/>
      <x:c r="B1290" s="1"/>
      <x:c r="C1290" s="1"/>
      <x:c r="D1290" s="1"/>
      <x:c r="E1290" s="1"/>
      <x:c r="F1290" s="1"/>
      <x:c r="G1290" s="1"/>
      <x:c r="H1290" s="1"/>
      <x:c r="I1290" s="1"/>
      <x:c r="J1290" s="1"/>
      <x:c r="K1290" s="1"/>
      <x:c r="L1290" s="1"/>
      <x:c r="M1290" s="1"/>
      <x:c r="N1290" s="1"/>
      <x:c r="O1290" s="1"/>
      <x:c r="P1290" s="1"/>
      <x:c r="Q1290" s="1"/>
      <x:c r="R1290" s="1"/>
      <x:c r="S1290" s="1"/>
      <x:c r="T1290" s="1"/>
      <x:c r="U1290" s="1"/>
      <x:c r="V1290" s="1"/>
    </x:row>
    <x:row r="1291">
      <x:c r="A1291" s="1"/>
      <x:c r="B1291" s="1"/>
      <x:c r="C1291" s="1"/>
      <x:c r="D1291" s="1"/>
      <x:c r="E1291" s="1"/>
      <x:c r="F1291" s="1"/>
      <x:c r="G1291" s="1"/>
      <x:c r="H1291" s="1"/>
      <x:c r="I1291" s="1"/>
      <x:c r="J1291" s="1"/>
      <x:c r="K1291" s="1"/>
      <x:c r="L1291" s="1"/>
      <x:c r="M1291" s="1"/>
      <x:c r="N1291" s="1"/>
      <x:c r="O1291" s="1"/>
      <x:c r="P1291" s="1"/>
      <x:c r="Q1291" s="1"/>
      <x:c r="R1291" s="1"/>
      <x:c r="S1291" s="1"/>
      <x:c r="T1291" s="1"/>
      <x:c r="U1291" s="1"/>
      <x:c r="V1291" s="1"/>
    </x:row>
    <x:row r="1292">
      <x:c r="A1292" s="1"/>
      <x:c r="B1292" s="1"/>
      <x:c r="C1292" s="1"/>
      <x:c r="D1292" s="1"/>
      <x:c r="E1292" s="1"/>
      <x:c r="F1292" s="1"/>
      <x:c r="G1292" s="1"/>
      <x:c r="H1292" s="1"/>
      <x:c r="I1292" s="1"/>
      <x:c r="J1292" s="1"/>
      <x:c r="K1292" s="1"/>
      <x:c r="L1292" s="1"/>
      <x:c r="M1292" s="1"/>
      <x:c r="N1292" s="1"/>
      <x:c r="O1292" s="1"/>
      <x:c r="P1292" s="1"/>
      <x:c r="Q1292" s="1"/>
      <x:c r="R1292" s="1"/>
      <x:c r="S1292" s="1"/>
      <x:c r="T1292" s="1"/>
      <x:c r="U1292" s="1"/>
      <x:c r="V1292" s="1"/>
    </x:row>
    <x:row r="1293">
      <x:c r="A1293" s="1"/>
      <x:c r="B1293" s="1"/>
      <x:c r="C1293" s="1"/>
      <x:c r="D1293" s="1"/>
      <x:c r="E1293" s="1"/>
      <x:c r="F1293" s="1"/>
      <x:c r="G1293" s="1"/>
      <x:c r="H1293" s="1"/>
      <x:c r="I1293" s="1"/>
      <x:c r="J1293" s="1"/>
      <x:c r="K1293" s="1"/>
      <x:c r="L1293" s="1"/>
      <x:c r="M1293" s="1"/>
      <x:c r="N1293" s="1"/>
      <x:c r="O1293" s="1"/>
      <x:c r="P1293" s="1"/>
      <x:c r="Q1293" s="1"/>
      <x:c r="R1293" s="1"/>
      <x:c r="S1293" s="1"/>
      <x:c r="T1293" s="1"/>
      <x:c r="U1293" s="1"/>
      <x:c r="V1293" s="1"/>
    </x:row>
    <x:row r="1294">
      <x:c r="A1294" s="1"/>
      <x:c r="B1294" s="1"/>
      <x:c r="C1294" s="1"/>
      <x:c r="D1294" s="1"/>
      <x:c r="E1294" s="1"/>
      <x:c r="F1294" s="1"/>
      <x:c r="G1294" s="1"/>
      <x:c r="H1294" s="1"/>
      <x:c r="I1294" s="1"/>
      <x:c r="J1294" s="1"/>
      <x:c r="K1294" s="1"/>
      <x:c r="L1294" s="1"/>
      <x:c r="M1294" s="1"/>
      <x:c r="N1294" s="1"/>
      <x:c r="O1294" s="1"/>
      <x:c r="P1294" s="1"/>
      <x:c r="Q1294" s="1"/>
      <x:c r="R1294" s="1"/>
      <x:c r="S1294" s="1"/>
      <x:c r="T1294" s="1"/>
      <x:c r="U1294" s="1"/>
      <x:c r="V1294" s="1"/>
    </x:row>
    <x:row r="1295">
      <x:c r="A1295" s="1"/>
      <x:c r="B1295" s="1"/>
      <x:c r="C1295" s="1"/>
      <x:c r="D1295" s="1"/>
      <x:c r="E1295" s="1"/>
      <x:c r="F1295" s="1"/>
      <x:c r="G1295" s="1"/>
      <x:c r="H1295" s="1"/>
      <x:c r="I1295" s="1"/>
      <x:c r="J1295" s="1"/>
      <x:c r="K1295" s="1"/>
      <x:c r="L1295" s="1"/>
      <x:c r="M1295" s="1"/>
      <x:c r="N1295" s="1"/>
      <x:c r="O1295" s="1"/>
      <x:c r="P1295" s="1"/>
      <x:c r="Q1295" s="1"/>
      <x:c r="R1295" s="1"/>
      <x:c r="S1295" s="1"/>
      <x:c r="T1295" s="1"/>
      <x:c r="U1295" s="1"/>
      <x:c r="V1295" s="1"/>
    </x:row>
    <x:row r="1296">
      <x:c r="A1296" s="1"/>
      <x:c r="B1296" s="1"/>
      <x:c r="C1296" s="1"/>
      <x:c r="D1296" s="1"/>
      <x:c r="E1296" s="1"/>
      <x:c r="F1296" s="1"/>
      <x:c r="G1296" s="1"/>
      <x:c r="H1296" s="1"/>
      <x:c r="I1296" s="1"/>
      <x:c r="J1296" s="1"/>
      <x:c r="K1296" s="1"/>
      <x:c r="L1296" s="1"/>
      <x:c r="M1296" s="1"/>
      <x:c r="N1296" s="1"/>
      <x:c r="O1296" s="1"/>
      <x:c r="P1296" s="1"/>
      <x:c r="Q1296" s="1"/>
      <x:c r="R1296" s="1"/>
      <x:c r="S1296" s="1"/>
      <x:c r="T1296" s="1"/>
      <x:c r="U1296" s="1"/>
      <x:c r="V1296" s="1"/>
    </x:row>
    <x:row r="1297">
      <x:c r="A1297" s="1"/>
      <x:c r="B1297" s="1"/>
      <x:c r="C1297" s="1"/>
      <x:c r="D1297" s="1"/>
      <x:c r="E1297" s="1"/>
      <x:c r="F1297" s="1"/>
      <x:c r="G1297" s="1"/>
      <x:c r="H1297" s="1"/>
      <x:c r="I1297" s="1"/>
      <x:c r="J1297" s="1"/>
      <x:c r="K1297" s="1"/>
      <x:c r="L1297" s="1"/>
      <x:c r="M1297" s="1"/>
      <x:c r="N1297" s="1"/>
      <x:c r="O1297" s="1"/>
      <x:c r="P1297" s="1"/>
      <x:c r="Q1297" s="1"/>
      <x:c r="R1297" s="1"/>
      <x:c r="S1297" s="1"/>
      <x:c r="T1297" s="1"/>
      <x:c r="U1297" s="1"/>
      <x:c r="V1297" s="1"/>
    </x:row>
    <x:row r="1298">
      <x:c r="A1298" s="1"/>
      <x:c r="B1298" s="1"/>
      <x:c r="C1298" s="1"/>
      <x:c r="D1298" s="1"/>
      <x:c r="E1298" s="1"/>
      <x:c r="F1298" s="1"/>
      <x:c r="G1298" s="1"/>
      <x:c r="H1298" s="1"/>
      <x:c r="I1298" s="1"/>
      <x:c r="J1298" s="1"/>
      <x:c r="K1298" s="1"/>
      <x:c r="L1298" s="1"/>
      <x:c r="M1298" s="1"/>
      <x:c r="N1298" s="1"/>
      <x:c r="O1298" s="1"/>
      <x:c r="P1298" s="1"/>
      <x:c r="Q1298" s="1"/>
      <x:c r="R1298" s="1"/>
      <x:c r="S1298" s="1"/>
      <x:c r="T1298" s="1"/>
      <x:c r="U1298" s="1"/>
      <x:c r="V1298" s="1"/>
    </x:row>
    <x:row r="1299">
      <x:c r="A1299" s="1"/>
      <x:c r="B1299" s="1"/>
      <x:c r="C1299" s="1"/>
      <x:c r="D1299" s="1"/>
      <x:c r="E1299" s="1"/>
      <x:c r="F1299" s="1"/>
      <x:c r="G1299" s="1"/>
      <x:c r="H1299" s="1"/>
      <x:c r="I1299" s="1"/>
      <x:c r="J1299" s="1"/>
      <x:c r="K1299" s="1"/>
      <x:c r="L1299" s="1"/>
      <x:c r="M1299" s="1"/>
      <x:c r="N1299" s="1"/>
      <x:c r="O1299" s="1"/>
      <x:c r="P1299" s="1"/>
      <x:c r="Q1299" s="1"/>
      <x:c r="R1299" s="1"/>
      <x:c r="S1299" s="1"/>
      <x:c r="T1299" s="1"/>
      <x:c r="U1299" s="1"/>
      <x:c r="V1299" s="1"/>
    </x:row>
    <x:row r="1300">
      <x:c r="A1300" s="1"/>
      <x:c r="B1300" s="1"/>
      <x:c r="C1300" s="1"/>
      <x:c r="D1300" s="1"/>
      <x:c r="E1300" s="1"/>
      <x:c r="F1300" s="1"/>
      <x:c r="G1300" s="1"/>
      <x:c r="H1300" s="1"/>
      <x:c r="I1300" s="1"/>
      <x:c r="J1300" s="1"/>
      <x:c r="K1300" s="1"/>
      <x:c r="L1300" s="1"/>
      <x:c r="M1300" s="1"/>
      <x:c r="N1300" s="1"/>
      <x:c r="O1300" s="1"/>
      <x:c r="P1300" s="1"/>
      <x:c r="Q1300" s="1"/>
      <x:c r="R1300" s="1"/>
      <x:c r="S1300" s="1"/>
      <x:c r="T1300" s="1"/>
      <x:c r="U1300" s="1"/>
      <x:c r="V1300" s="1"/>
    </x:row>
    <x:row r="1301">
      <x:c r="A1301" s="1"/>
      <x:c r="B1301" s="1"/>
      <x:c r="C1301" s="1"/>
      <x:c r="D1301" s="1"/>
      <x:c r="E1301" s="1"/>
      <x:c r="F1301" s="1"/>
      <x:c r="G1301" s="1"/>
      <x:c r="H1301" s="1"/>
      <x:c r="I1301" s="1"/>
      <x:c r="J1301" s="1"/>
      <x:c r="K1301" s="1"/>
      <x:c r="L1301" s="1"/>
      <x:c r="M1301" s="1"/>
      <x:c r="N1301" s="1"/>
      <x:c r="O1301" s="1"/>
      <x:c r="P1301" s="1"/>
      <x:c r="Q1301" s="1"/>
      <x:c r="R1301" s="1"/>
      <x:c r="S1301" s="1"/>
      <x:c r="T1301" s="1"/>
      <x:c r="U1301" s="1"/>
      <x:c r="V1301" s="1"/>
    </x:row>
    <x:row r="1302">
      <x:c r="A1302" s="1"/>
      <x:c r="B1302" s="1"/>
      <x:c r="C1302" s="1"/>
      <x:c r="D1302" s="1"/>
      <x:c r="E1302" s="1"/>
      <x:c r="F1302" s="1"/>
      <x:c r="G1302" s="1"/>
      <x:c r="H1302" s="1"/>
      <x:c r="I1302" s="1"/>
      <x:c r="J1302" s="1"/>
      <x:c r="K1302" s="1"/>
      <x:c r="L1302" s="1"/>
      <x:c r="M1302" s="1"/>
      <x:c r="N1302" s="1"/>
      <x:c r="O1302" s="1"/>
      <x:c r="P1302" s="1"/>
      <x:c r="Q1302" s="1"/>
      <x:c r="R1302" s="1"/>
      <x:c r="S1302" s="1"/>
      <x:c r="T1302" s="1"/>
      <x:c r="U1302" s="1"/>
      <x:c r="V1302" s="1"/>
    </x:row>
    <x:row r="1303">
      <x:c r="A1303" s="1"/>
      <x:c r="B1303" s="1"/>
      <x:c r="C1303" s="1"/>
      <x:c r="D1303" s="1"/>
      <x:c r="E1303" s="1"/>
      <x:c r="F1303" s="1"/>
      <x:c r="G1303" s="1"/>
      <x:c r="H1303" s="1"/>
      <x:c r="I1303" s="1"/>
      <x:c r="J1303" s="1"/>
      <x:c r="K1303" s="1"/>
      <x:c r="L1303" s="1"/>
      <x:c r="M1303" s="1"/>
      <x:c r="N1303" s="1"/>
      <x:c r="O1303" s="1"/>
      <x:c r="P1303" s="1"/>
      <x:c r="Q1303" s="1"/>
      <x:c r="R1303" s="1"/>
      <x:c r="S1303" s="1"/>
      <x:c r="T1303" s="1"/>
      <x:c r="U1303" s="1"/>
      <x:c r="V1303" s="1"/>
    </x:row>
    <x:row r="1304">
      <x:c r="A1304" s="1"/>
      <x:c r="B1304" s="1"/>
      <x:c r="C1304" s="1"/>
      <x:c r="D1304" s="1"/>
      <x:c r="E1304" s="1"/>
      <x:c r="F1304" s="1"/>
      <x:c r="G1304" s="1"/>
      <x:c r="H1304" s="1"/>
      <x:c r="I1304" s="1"/>
      <x:c r="J1304" s="1"/>
      <x:c r="K1304" s="1"/>
      <x:c r="L1304" s="1"/>
      <x:c r="M1304" s="1"/>
      <x:c r="N1304" s="1"/>
      <x:c r="O1304" s="1"/>
      <x:c r="P1304" s="1"/>
      <x:c r="Q1304" s="1"/>
      <x:c r="R1304" s="1"/>
      <x:c r="S1304" s="1"/>
      <x:c r="T1304" s="1"/>
      <x:c r="U1304" s="1"/>
      <x:c r="V1304" s="1"/>
    </x:row>
    <x:row r="1305">
      <x:c r="A1305" s="1"/>
      <x:c r="B1305" s="1"/>
      <x:c r="C1305" s="1"/>
      <x:c r="D1305" s="1"/>
      <x:c r="E1305" s="1"/>
      <x:c r="F1305" s="1"/>
      <x:c r="G1305" s="1"/>
      <x:c r="H1305" s="1"/>
      <x:c r="I1305" s="1"/>
      <x:c r="J1305" s="1"/>
      <x:c r="K1305" s="1"/>
      <x:c r="L1305" s="1"/>
      <x:c r="M1305" s="1"/>
      <x:c r="N1305" s="1"/>
      <x:c r="O1305" s="1"/>
      <x:c r="P1305" s="1"/>
      <x:c r="Q1305" s="1"/>
      <x:c r="R1305" s="1"/>
      <x:c r="S1305" s="1"/>
      <x:c r="T1305" s="1"/>
      <x:c r="U1305" s="1"/>
      <x:c r="V1305" s="1"/>
    </x:row>
    <x:row r="1306">
      <x:c r="A1306" s="1"/>
      <x:c r="B1306" s="1"/>
      <x:c r="C1306" s="1"/>
      <x:c r="D1306" s="1"/>
      <x:c r="E1306" s="1"/>
      <x:c r="F1306" s="1"/>
      <x:c r="G1306" s="1"/>
      <x:c r="H1306" s="1"/>
      <x:c r="I1306" s="1"/>
      <x:c r="J1306" s="1"/>
      <x:c r="K1306" s="1"/>
      <x:c r="L1306" s="1"/>
      <x:c r="M1306" s="1"/>
      <x:c r="N1306" s="1"/>
      <x:c r="O1306" s="1"/>
      <x:c r="P1306" s="1"/>
      <x:c r="Q1306" s="1"/>
      <x:c r="R1306" s="1"/>
      <x:c r="S1306" s="1"/>
      <x:c r="T1306" s="1"/>
      <x:c r="U1306" s="1"/>
      <x:c r="V1306" s="1"/>
    </x:row>
    <x:row r="1307">
      <x:c r="A1307" s="1"/>
      <x:c r="B1307" s="1"/>
      <x:c r="C1307" s="1"/>
      <x:c r="D1307" s="1"/>
      <x:c r="E1307" s="1"/>
      <x:c r="F1307" s="1"/>
      <x:c r="G1307" s="1"/>
      <x:c r="H1307" s="1"/>
      <x:c r="I1307" s="1"/>
      <x:c r="J1307" s="1"/>
      <x:c r="K1307" s="1"/>
      <x:c r="L1307" s="1"/>
      <x:c r="M1307" s="1"/>
      <x:c r="N1307" s="1"/>
      <x:c r="O1307" s="1"/>
      <x:c r="P1307" s="1"/>
      <x:c r="Q1307" s="1"/>
      <x:c r="R1307" s="1"/>
      <x:c r="S1307" s="1"/>
      <x:c r="T1307" s="1"/>
      <x:c r="U1307" s="1"/>
      <x:c r="V1307" s="1"/>
    </x:row>
    <x:row r="1308">
      <x:c r="A1308" s="1"/>
      <x:c r="B1308" s="1"/>
      <x:c r="C1308" s="1"/>
      <x:c r="D1308" s="1"/>
      <x:c r="E1308" s="1"/>
      <x:c r="F1308" s="1"/>
      <x:c r="G1308" s="1"/>
      <x:c r="H1308" s="1"/>
      <x:c r="I1308" s="1"/>
      <x:c r="J1308" s="1"/>
      <x:c r="K1308" s="1"/>
      <x:c r="L1308" s="1"/>
      <x:c r="M1308" s="1"/>
      <x:c r="N1308" s="1"/>
      <x:c r="O1308" s="1"/>
      <x:c r="P1308" s="1"/>
      <x:c r="Q1308" s="1"/>
      <x:c r="R1308" s="1"/>
      <x:c r="S1308" s="1"/>
      <x:c r="T1308" s="1"/>
      <x:c r="U1308" s="1"/>
      <x:c r="V1308" s="1"/>
    </x:row>
    <x:row r="1309">
      <x:c r="A1309" s="1"/>
      <x:c r="B1309" s="1"/>
      <x:c r="C1309" s="1"/>
      <x:c r="D1309" s="1"/>
      <x:c r="E1309" s="1"/>
      <x:c r="F1309" s="1"/>
      <x:c r="G1309" s="1"/>
      <x:c r="H1309" s="1"/>
      <x:c r="I1309" s="1"/>
      <x:c r="J1309" s="1"/>
      <x:c r="K1309" s="1"/>
      <x:c r="L1309" s="1"/>
      <x:c r="M1309" s="1"/>
      <x:c r="N1309" s="1"/>
      <x:c r="O1309" s="1"/>
      <x:c r="P1309" s="1"/>
      <x:c r="Q1309" s="1"/>
      <x:c r="R1309" s="1"/>
      <x:c r="S1309" s="1"/>
      <x:c r="T1309" s="1"/>
      <x:c r="U1309" s="1"/>
      <x:c r="V1309" s="1"/>
    </x:row>
    <x:row r="1310">
      <x:c r="A1310" s="1"/>
      <x:c r="B1310" s="1"/>
      <x:c r="C1310" s="1"/>
      <x:c r="D1310" s="1"/>
      <x:c r="E1310" s="1"/>
      <x:c r="F1310" s="1"/>
      <x:c r="G1310" s="1"/>
      <x:c r="H1310" s="1"/>
      <x:c r="I1310" s="1"/>
      <x:c r="J1310" s="1"/>
      <x:c r="K1310" s="1"/>
      <x:c r="L1310" s="1"/>
      <x:c r="M1310" s="1"/>
      <x:c r="N1310" s="1"/>
      <x:c r="O1310" s="1"/>
      <x:c r="P1310" s="1"/>
      <x:c r="Q1310" s="1"/>
      <x:c r="R1310" s="1"/>
      <x:c r="S1310" s="1"/>
      <x:c r="T1310" s="1"/>
      <x:c r="U1310" s="1"/>
      <x:c r="V1310" s="1"/>
    </x:row>
    <x:row r="1311">
      <x:c r="A1311" s="1"/>
      <x:c r="B1311" s="1"/>
      <x:c r="C1311" s="1"/>
      <x:c r="D1311" s="1"/>
      <x:c r="E1311" s="1"/>
      <x:c r="F1311" s="1"/>
      <x:c r="G1311" s="1"/>
      <x:c r="H1311" s="1"/>
      <x:c r="I1311" s="1"/>
      <x:c r="J1311" s="1"/>
      <x:c r="K1311" s="1"/>
      <x:c r="L1311" s="1"/>
      <x:c r="M1311" s="1"/>
      <x:c r="N1311" s="1"/>
      <x:c r="O1311" s="1"/>
      <x:c r="P1311" s="1"/>
      <x:c r="Q1311" s="1"/>
      <x:c r="R1311" s="1"/>
      <x:c r="S1311" s="1"/>
      <x:c r="T1311" s="1"/>
      <x:c r="U1311" s="1"/>
      <x:c r="V1311" s="1"/>
    </x:row>
    <x:row r="1312">
      <x:c r="A1312" s="1"/>
      <x:c r="B1312" s="1"/>
      <x:c r="C1312" s="1"/>
      <x:c r="D1312" s="1"/>
      <x:c r="E1312" s="1"/>
      <x:c r="F1312" s="1"/>
      <x:c r="G1312" s="1"/>
      <x:c r="H1312" s="1"/>
      <x:c r="I1312" s="1"/>
      <x:c r="J1312" s="1"/>
      <x:c r="K1312" s="1"/>
      <x:c r="L1312" s="1"/>
      <x:c r="M1312" s="1"/>
      <x:c r="N1312" s="1"/>
      <x:c r="O1312" s="1"/>
      <x:c r="P1312" s="1"/>
      <x:c r="Q1312" s="1"/>
      <x:c r="R1312" s="1"/>
      <x:c r="S1312" s="1"/>
      <x:c r="T1312" s="1"/>
      <x:c r="U1312" s="1"/>
      <x:c r="V1312" s="1"/>
    </x:row>
    <x:row r="1313">
      <x:c r="A1313" s="1"/>
      <x:c r="B1313" s="1"/>
      <x:c r="C1313" s="1"/>
      <x:c r="D1313" s="1"/>
      <x:c r="E1313" s="1"/>
      <x:c r="F1313" s="1"/>
      <x:c r="G1313" s="1"/>
      <x:c r="H1313" s="1"/>
      <x:c r="I1313" s="1"/>
      <x:c r="J1313" s="1"/>
      <x:c r="K1313" s="1"/>
      <x:c r="L1313" s="1"/>
      <x:c r="M1313" s="1"/>
      <x:c r="N1313" s="1"/>
      <x:c r="O1313" s="1"/>
      <x:c r="P1313" s="1"/>
      <x:c r="Q1313" s="1"/>
      <x:c r="R1313" s="1"/>
      <x:c r="S1313" s="1"/>
      <x:c r="T1313" s="1"/>
      <x:c r="U1313" s="1"/>
      <x:c r="V1313" s="1"/>
    </x:row>
    <x:row r="1314">
      <x:c r="A1314" s="1"/>
      <x:c r="B1314" s="1"/>
      <x:c r="C1314" s="1"/>
      <x:c r="D1314" s="1"/>
      <x:c r="E1314" s="1"/>
      <x:c r="F1314" s="1"/>
      <x:c r="G1314" s="1"/>
      <x:c r="H1314" s="1"/>
      <x:c r="I1314" s="1"/>
      <x:c r="J1314" s="1"/>
      <x:c r="K1314" s="1"/>
      <x:c r="L1314" s="1"/>
      <x:c r="M1314" s="1"/>
      <x:c r="N1314" s="1"/>
      <x:c r="O1314" s="1"/>
      <x:c r="P1314" s="1"/>
      <x:c r="Q1314" s="1"/>
      <x:c r="R1314" s="1"/>
      <x:c r="S1314" s="1"/>
      <x:c r="T1314" s="1"/>
      <x:c r="U1314" s="1"/>
      <x:c r="V1314" s="1"/>
    </x:row>
    <x:row r="1315">
      <x:c r="A1315" s="1"/>
      <x:c r="B1315" s="1"/>
      <x:c r="C1315" s="1"/>
      <x:c r="D1315" s="1"/>
      <x:c r="E1315" s="1"/>
      <x:c r="F1315" s="1"/>
      <x:c r="G1315" s="1"/>
      <x:c r="H1315" s="1"/>
      <x:c r="I1315" s="1"/>
      <x:c r="J1315" s="1"/>
      <x:c r="K1315" s="1"/>
      <x:c r="L1315" s="1"/>
      <x:c r="M1315" s="1"/>
      <x:c r="N1315" s="1"/>
      <x:c r="O1315" s="1"/>
      <x:c r="P1315" s="1"/>
      <x:c r="Q1315" s="1"/>
      <x:c r="R1315" s="1"/>
      <x:c r="S1315" s="1"/>
      <x:c r="T1315" s="1"/>
      <x:c r="U1315" s="1"/>
      <x:c r="V1315" s="1"/>
    </x:row>
    <x:row r="1316">
      <x:c r="A1316" s="1"/>
      <x:c r="B1316" s="1"/>
      <x:c r="C1316" s="1"/>
      <x:c r="D1316" s="1"/>
      <x:c r="E1316" s="1"/>
      <x:c r="F1316" s="1"/>
      <x:c r="G1316" s="1"/>
      <x:c r="H1316" s="1"/>
      <x:c r="I1316" s="1"/>
      <x:c r="J1316" s="1"/>
      <x:c r="K1316" s="1"/>
      <x:c r="L1316" s="1"/>
      <x:c r="M1316" s="1"/>
      <x:c r="N1316" s="1"/>
      <x:c r="O1316" s="1"/>
      <x:c r="P1316" s="1"/>
      <x:c r="Q1316" s="1"/>
      <x:c r="R1316" s="1"/>
      <x:c r="S1316" s="1"/>
      <x:c r="T1316" s="1"/>
      <x:c r="U1316" s="1"/>
      <x:c r="V1316" s="1"/>
    </x:row>
    <x:row r="1317">
      <x:c r="A1317" s="1"/>
      <x:c r="B1317" s="1"/>
      <x:c r="C1317" s="1"/>
      <x:c r="D1317" s="1"/>
      <x:c r="E1317" s="1"/>
      <x:c r="F1317" s="1"/>
      <x:c r="G1317" s="1"/>
      <x:c r="H1317" s="1"/>
      <x:c r="I1317" s="1"/>
      <x:c r="J1317" s="1"/>
      <x:c r="K1317" s="1"/>
      <x:c r="L1317" s="1"/>
      <x:c r="M1317" s="1"/>
      <x:c r="N1317" s="1"/>
      <x:c r="O1317" s="1"/>
      <x:c r="P1317" s="1"/>
      <x:c r="Q1317" s="1"/>
      <x:c r="R1317" s="1"/>
      <x:c r="S1317" s="1"/>
      <x:c r="T1317" s="1"/>
      <x:c r="U1317" s="1"/>
      <x:c r="V1317" s="1"/>
    </x:row>
    <x:row r="1318">
      <x:c r="A1318" s="1"/>
      <x:c r="B1318" s="1"/>
      <x:c r="C1318" s="1"/>
      <x:c r="D1318" s="1"/>
      <x:c r="E1318" s="1"/>
      <x:c r="F1318" s="1"/>
      <x:c r="G1318" s="1"/>
      <x:c r="H1318" s="1"/>
      <x:c r="I1318" s="1"/>
      <x:c r="J1318" s="1"/>
      <x:c r="K1318" s="1"/>
      <x:c r="L1318" s="1"/>
      <x:c r="M1318" s="1"/>
      <x:c r="N1318" s="1"/>
      <x:c r="O1318" s="1"/>
      <x:c r="P1318" s="1"/>
      <x:c r="Q1318" s="1"/>
      <x:c r="R1318" s="1"/>
      <x:c r="S1318" s="1"/>
      <x:c r="T1318" s="1"/>
      <x:c r="U1318" s="1"/>
      <x:c r="V1318" s="1"/>
    </x:row>
    <x:row r="1319">
      <x:c r="A1319" s="1"/>
      <x:c r="B1319" s="1"/>
      <x:c r="C1319" s="1"/>
      <x:c r="D1319" s="1"/>
      <x:c r="E1319" s="1"/>
      <x:c r="F1319" s="1"/>
      <x:c r="G1319" s="1"/>
      <x:c r="H1319" s="1"/>
      <x:c r="I1319" s="1"/>
      <x:c r="J1319" s="1"/>
      <x:c r="K1319" s="1"/>
      <x:c r="L1319" s="1"/>
      <x:c r="M1319" s="1"/>
      <x:c r="N1319" s="1"/>
      <x:c r="O1319" s="1"/>
      <x:c r="P1319" s="1"/>
      <x:c r="Q1319" s="1"/>
      <x:c r="R1319" s="1"/>
      <x:c r="S1319" s="1"/>
      <x:c r="T1319" s="1"/>
      <x:c r="U1319" s="1"/>
      <x:c r="V1319" s="1"/>
    </x:row>
    <x:row r="1320">
      <x:c r="A1320" s="1"/>
      <x:c r="B1320" s="1"/>
      <x:c r="C1320" s="1"/>
      <x:c r="D1320" s="1"/>
      <x:c r="E1320" s="1"/>
      <x:c r="F1320" s="1"/>
      <x:c r="G1320" s="1"/>
      <x:c r="H1320" s="1"/>
      <x:c r="I1320" s="1"/>
      <x:c r="J1320" s="1"/>
      <x:c r="K1320" s="1"/>
      <x:c r="L1320" s="1"/>
      <x:c r="M1320" s="1"/>
      <x:c r="N1320" s="1"/>
      <x:c r="O1320" s="1"/>
      <x:c r="P1320" s="1"/>
      <x:c r="Q1320" s="1"/>
      <x:c r="R1320" s="1"/>
      <x:c r="S1320" s="1"/>
      <x:c r="T1320" s="1"/>
      <x:c r="U1320" s="1"/>
      <x:c r="V1320" s="1"/>
    </x:row>
    <x:row r="1321">
      <x:c r="A1321" s="1"/>
      <x:c r="B1321" s="1"/>
      <x:c r="C1321" s="1"/>
      <x:c r="D1321" s="1"/>
      <x:c r="E1321" s="1"/>
      <x:c r="F1321" s="1"/>
      <x:c r="G1321" s="1"/>
      <x:c r="H1321" s="1"/>
      <x:c r="I1321" s="1"/>
      <x:c r="J1321" s="1"/>
      <x:c r="K1321" s="1"/>
      <x:c r="L1321" s="1"/>
      <x:c r="M1321" s="1"/>
      <x:c r="N1321" s="1"/>
      <x:c r="O1321" s="1"/>
      <x:c r="P1321" s="1"/>
      <x:c r="Q1321" s="1"/>
      <x:c r="R1321" s="1"/>
      <x:c r="S1321" s="1"/>
      <x:c r="T1321" s="1"/>
      <x:c r="U1321" s="1"/>
      <x:c r="V1321" s="1"/>
    </x:row>
    <x:row r="1322">
      <x:c r="A1322" s="1"/>
      <x:c r="B1322" s="1"/>
      <x:c r="C1322" s="1"/>
      <x:c r="D1322" s="1"/>
      <x:c r="E1322" s="1"/>
      <x:c r="F1322" s="1"/>
      <x:c r="G1322" s="1"/>
      <x:c r="H1322" s="1"/>
      <x:c r="I1322" s="1"/>
      <x:c r="J1322" s="1"/>
      <x:c r="K1322" s="1"/>
      <x:c r="L1322" s="1"/>
      <x:c r="M1322" s="1"/>
      <x:c r="N1322" s="1"/>
      <x:c r="O1322" s="1"/>
      <x:c r="P1322" s="1"/>
      <x:c r="Q1322" s="1"/>
      <x:c r="R1322" s="1"/>
      <x:c r="S1322" s="1"/>
      <x:c r="T1322" s="1"/>
      <x:c r="U1322" s="1"/>
      <x:c r="V1322" s="1"/>
    </x:row>
    <x:row r="1323">
      <x:c r="A1323" s="1"/>
      <x:c r="B1323" s="1"/>
      <x:c r="C1323" s="1"/>
      <x:c r="D1323" s="1"/>
      <x:c r="E1323" s="1"/>
      <x:c r="F1323" s="1"/>
      <x:c r="G1323" s="1"/>
      <x:c r="H1323" s="1"/>
      <x:c r="I1323" s="1"/>
      <x:c r="J1323" s="1"/>
      <x:c r="K1323" s="1"/>
      <x:c r="L1323" s="1"/>
      <x:c r="M1323" s="1"/>
      <x:c r="N1323" s="1"/>
      <x:c r="O1323" s="1"/>
      <x:c r="P1323" s="1"/>
      <x:c r="Q1323" s="1"/>
      <x:c r="R1323" s="1"/>
      <x:c r="S1323" s="1"/>
      <x:c r="T1323" s="1"/>
      <x:c r="U1323" s="1"/>
      <x:c r="V1323" s="1"/>
    </x:row>
    <x:row r="1324">
      <x:c r="A1324" s="1"/>
      <x:c r="B1324" s="1"/>
      <x:c r="C1324" s="1"/>
      <x:c r="D1324" s="1"/>
      <x:c r="E1324" s="1"/>
      <x:c r="F1324" s="1"/>
      <x:c r="G1324" s="1"/>
      <x:c r="H1324" s="1"/>
      <x:c r="I1324" s="1"/>
      <x:c r="J1324" s="1"/>
      <x:c r="K1324" s="1"/>
      <x:c r="L1324" s="1"/>
      <x:c r="M1324" s="1"/>
      <x:c r="N1324" s="1"/>
      <x:c r="O1324" s="1"/>
      <x:c r="P1324" s="1"/>
      <x:c r="Q1324" s="1"/>
      <x:c r="R1324" s="1"/>
      <x:c r="S1324" s="1"/>
      <x:c r="T1324" s="1"/>
      <x:c r="U1324" s="1"/>
      <x:c r="V1324" s="1"/>
    </x:row>
    <x:row r="1325">
      <x:c r="A1325" s="1"/>
      <x:c r="B1325" s="1"/>
      <x:c r="C1325" s="1"/>
      <x:c r="D1325" s="1"/>
      <x:c r="E1325" s="1"/>
      <x:c r="F1325" s="1"/>
      <x:c r="G1325" s="1"/>
      <x:c r="H1325" s="1"/>
      <x:c r="I1325" s="1"/>
      <x:c r="J1325" s="1"/>
      <x:c r="K1325" s="1"/>
      <x:c r="L1325" s="1"/>
      <x:c r="M1325" s="1"/>
      <x:c r="N1325" s="1"/>
      <x:c r="O1325" s="1"/>
      <x:c r="P1325" s="1"/>
      <x:c r="Q1325" s="1"/>
      <x:c r="R1325" s="1"/>
      <x:c r="S1325" s="1"/>
      <x:c r="T1325" s="1"/>
      <x:c r="U1325" s="1"/>
      <x:c r="V1325" s="1"/>
    </x:row>
    <x:row r="1326">
      <x:c r="A1326" s="1"/>
      <x:c r="B1326" s="1"/>
      <x:c r="C1326" s="1"/>
      <x:c r="D1326" s="1"/>
      <x:c r="E1326" s="1"/>
      <x:c r="F1326" s="1"/>
      <x:c r="G1326" s="1"/>
      <x:c r="H1326" s="1"/>
      <x:c r="I1326" s="1"/>
      <x:c r="J1326" s="1"/>
      <x:c r="K1326" s="1"/>
      <x:c r="L1326" s="1"/>
      <x:c r="M1326" s="1"/>
      <x:c r="N1326" s="1"/>
      <x:c r="O1326" s="1"/>
      <x:c r="P1326" s="1"/>
      <x:c r="Q1326" s="1"/>
      <x:c r="R1326" s="1"/>
      <x:c r="S1326" s="1"/>
      <x:c r="T1326" s="1"/>
      <x:c r="U1326" s="1"/>
      <x:c r="V1326" s="1"/>
    </x:row>
    <x:row r="1327">
      <x:c r="A1327" s="1"/>
      <x:c r="B1327" s="1"/>
      <x:c r="C1327" s="1"/>
      <x:c r="D1327" s="1"/>
      <x:c r="E1327" s="1"/>
      <x:c r="F1327" s="1"/>
      <x:c r="G1327" s="1"/>
      <x:c r="H1327" s="1"/>
      <x:c r="I1327" s="1"/>
      <x:c r="J1327" s="1"/>
      <x:c r="K1327" s="1"/>
      <x:c r="L1327" s="1"/>
      <x:c r="M1327" s="1"/>
      <x:c r="N1327" s="1"/>
      <x:c r="O1327" s="1"/>
      <x:c r="P1327" s="1"/>
      <x:c r="Q1327" s="1"/>
      <x:c r="R1327" s="1"/>
      <x:c r="S1327" s="1"/>
      <x:c r="T1327" s="1"/>
      <x:c r="U1327" s="1"/>
      <x:c r="V1327" s="1"/>
    </x:row>
    <x:row r="1328">
      <x:c r="A1328" s="1"/>
      <x:c r="B1328" s="1"/>
      <x:c r="C1328" s="1"/>
      <x:c r="D1328" s="1"/>
      <x:c r="E1328" s="1"/>
      <x:c r="F1328" s="1"/>
      <x:c r="G1328" s="1"/>
      <x:c r="H1328" s="1"/>
      <x:c r="I1328" s="1"/>
      <x:c r="J1328" s="1"/>
      <x:c r="K1328" s="1"/>
      <x:c r="L1328" s="1"/>
      <x:c r="M1328" s="1"/>
      <x:c r="N1328" s="1"/>
      <x:c r="O1328" s="1"/>
      <x:c r="P1328" s="1"/>
      <x:c r="Q1328" s="1"/>
      <x:c r="R1328" s="1"/>
      <x:c r="S1328" s="1"/>
      <x:c r="T1328" s="1"/>
      <x:c r="U1328" s="1"/>
      <x:c r="V1328" s="1"/>
    </x:row>
    <x:row r="1329">
      <x:c r="A1329" s="1"/>
      <x:c r="B1329" s="1"/>
      <x:c r="C1329" s="1"/>
      <x:c r="D1329" s="1"/>
      <x:c r="E1329" s="1"/>
      <x:c r="F1329" s="1"/>
      <x:c r="G1329" s="1"/>
      <x:c r="H1329" s="1"/>
      <x:c r="I1329" s="1"/>
      <x:c r="J1329" s="1"/>
      <x:c r="K1329" s="1"/>
      <x:c r="L1329" s="1"/>
      <x:c r="M1329" s="1"/>
      <x:c r="N1329" s="1"/>
      <x:c r="O1329" s="1"/>
      <x:c r="P1329" s="1"/>
      <x:c r="Q1329" s="1"/>
      <x:c r="R1329" s="1"/>
      <x:c r="S1329" s="1"/>
      <x:c r="T1329" s="1"/>
      <x:c r="U1329" s="1"/>
      <x:c r="V1329" s="1"/>
    </x:row>
    <x:row r="1330">
      <x:c r="A1330" s="1"/>
      <x:c r="B1330" s="1"/>
      <x:c r="C1330" s="1"/>
      <x:c r="D1330" s="1"/>
      <x:c r="E1330" s="1"/>
      <x:c r="F1330" s="1"/>
      <x:c r="G1330" s="1"/>
      <x:c r="H1330" s="1"/>
      <x:c r="I1330" s="1"/>
      <x:c r="J1330" s="1"/>
      <x:c r="K1330" s="1"/>
      <x:c r="L1330" s="1"/>
      <x:c r="M1330" s="1"/>
      <x:c r="N1330" s="1"/>
      <x:c r="O1330" s="1"/>
      <x:c r="P1330" s="1"/>
      <x:c r="Q1330" s="1"/>
      <x:c r="R1330" s="1"/>
      <x:c r="S1330" s="1"/>
      <x:c r="T1330" s="1"/>
      <x:c r="U1330" s="1"/>
      <x:c r="V1330" s="1"/>
    </x:row>
    <x:row r="1331">
      <x:c r="A1331" s="1"/>
      <x:c r="B1331" s="1"/>
      <x:c r="C1331" s="1"/>
      <x:c r="D1331" s="1"/>
      <x:c r="E1331" s="1"/>
      <x:c r="F1331" s="1"/>
      <x:c r="G1331" s="1"/>
      <x:c r="H1331" s="1"/>
      <x:c r="I1331" s="1"/>
      <x:c r="J1331" s="1"/>
      <x:c r="K1331" s="1"/>
      <x:c r="L1331" s="1"/>
      <x:c r="M1331" s="1"/>
      <x:c r="N1331" s="1"/>
      <x:c r="O1331" s="1"/>
      <x:c r="P1331" s="1"/>
      <x:c r="Q1331" s="1"/>
      <x:c r="R1331" s="1"/>
      <x:c r="S1331" s="1"/>
      <x:c r="T1331" s="1"/>
      <x:c r="U1331" s="1"/>
      <x:c r="V1331" s="1"/>
    </x:row>
    <x:row r="1332">
      <x:c r="A1332" s="1"/>
      <x:c r="B1332" s="1"/>
      <x:c r="C1332" s="1"/>
      <x:c r="D1332" s="1"/>
      <x:c r="E1332" s="1"/>
      <x:c r="F1332" s="1"/>
      <x:c r="G1332" s="1"/>
      <x:c r="H1332" s="1"/>
      <x:c r="I1332" s="1"/>
      <x:c r="J1332" s="1"/>
      <x:c r="K1332" s="1"/>
      <x:c r="L1332" s="1"/>
      <x:c r="M1332" s="1"/>
      <x:c r="N1332" s="1"/>
      <x:c r="O1332" s="1"/>
      <x:c r="P1332" s="1"/>
      <x:c r="Q1332" s="1"/>
      <x:c r="R1332" s="1"/>
      <x:c r="S1332" s="1"/>
      <x:c r="T1332" s="1"/>
      <x:c r="U1332" s="1"/>
      <x:c r="V1332" s="1"/>
    </x:row>
    <x:row r="1333">
      <x:c r="A1333" s="1"/>
      <x:c r="B1333" s="1"/>
      <x:c r="C1333" s="1"/>
      <x:c r="D1333" s="1"/>
      <x:c r="E1333" s="1"/>
      <x:c r="F1333" s="1"/>
      <x:c r="G1333" s="1"/>
      <x:c r="H1333" s="1"/>
      <x:c r="I1333" s="1"/>
      <x:c r="J1333" s="1"/>
      <x:c r="K1333" s="1"/>
      <x:c r="L1333" s="1"/>
      <x:c r="M1333" s="1"/>
      <x:c r="N1333" s="1"/>
      <x:c r="O1333" s="1"/>
      <x:c r="P1333" s="1"/>
      <x:c r="Q1333" s="1"/>
      <x:c r="R1333" s="1"/>
      <x:c r="S1333" s="1"/>
      <x:c r="T1333" s="1"/>
      <x:c r="U1333" s="1"/>
      <x:c r="V1333" s="1"/>
    </x:row>
    <x:row r="1334">
      <x:c r="A1334" s="1"/>
      <x:c r="B1334" s="1"/>
      <x:c r="C1334" s="1"/>
      <x:c r="D1334" s="1"/>
      <x:c r="E1334" s="1"/>
      <x:c r="F1334" s="1"/>
      <x:c r="G1334" s="1"/>
      <x:c r="H1334" s="1"/>
      <x:c r="I1334" s="1"/>
      <x:c r="J1334" s="1"/>
      <x:c r="K1334" s="1"/>
      <x:c r="L1334" s="1"/>
      <x:c r="M1334" s="1"/>
      <x:c r="N1334" s="1"/>
      <x:c r="O1334" s="1"/>
      <x:c r="P1334" s="1"/>
      <x:c r="Q1334" s="1"/>
      <x:c r="R1334" s="1"/>
      <x:c r="S1334" s="1"/>
      <x:c r="T1334" s="1"/>
      <x:c r="U1334" s="1"/>
      <x:c r="V1334" s="1"/>
    </x:row>
    <x:row r="1335">
      <x:c r="A1335" s="1"/>
      <x:c r="B1335" s="1"/>
      <x:c r="C1335" s="1"/>
      <x:c r="D1335" s="1"/>
      <x:c r="E1335" s="1"/>
      <x:c r="F1335" s="1"/>
      <x:c r="G1335" s="1"/>
      <x:c r="H1335" s="1"/>
      <x:c r="I1335" s="1"/>
      <x:c r="J1335" s="1"/>
      <x:c r="K1335" s="1"/>
      <x:c r="L1335" s="1"/>
      <x:c r="M1335" s="1"/>
      <x:c r="N1335" s="1"/>
      <x:c r="O1335" s="1"/>
      <x:c r="P1335" s="1"/>
      <x:c r="Q1335" s="1"/>
      <x:c r="R1335" s="1"/>
      <x:c r="S1335" s="1"/>
      <x:c r="T1335" s="1"/>
      <x:c r="U1335" s="1"/>
      <x:c r="V1335" s="1"/>
    </x:row>
    <x:row r="1336">
      <x:c r="A1336" s="1"/>
      <x:c r="B1336" s="1"/>
      <x:c r="C1336" s="1"/>
      <x:c r="D1336" s="1"/>
      <x:c r="E1336" s="1"/>
      <x:c r="F1336" s="1"/>
      <x:c r="G1336" s="1"/>
      <x:c r="H1336" s="1"/>
      <x:c r="I1336" s="1"/>
      <x:c r="J1336" s="1"/>
      <x:c r="K1336" s="1"/>
      <x:c r="L1336" s="1"/>
      <x:c r="M1336" s="1"/>
      <x:c r="N1336" s="1"/>
      <x:c r="O1336" s="1"/>
      <x:c r="P1336" s="1"/>
      <x:c r="Q1336" s="1"/>
      <x:c r="R1336" s="1"/>
      <x:c r="S1336" s="1"/>
      <x:c r="T1336" s="1"/>
      <x:c r="U1336" s="1"/>
      <x:c r="V1336" s="1"/>
    </x:row>
    <x:row r="1337">
      <x:c r="A1337" s="1"/>
      <x:c r="B1337" s="1"/>
      <x:c r="C1337" s="1"/>
      <x:c r="D1337" s="1"/>
      <x:c r="E1337" s="1"/>
      <x:c r="F1337" s="1"/>
      <x:c r="G1337" s="1"/>
      <x:c r="H1337" s="1"/>
      <x:c r="I1337" s="1"/>
      <x:c r="J1337" s="1"/>
      <x:c r="K1337" s="1"/>
      <x:c r="L1337" s="1"/>
      <x:c r="M1337" s="1"/>
      <x:c r="N1337" s="1"/>
      <x:c r="O1337" s="1"/>
      <x:c r="P1337" s="1"/>
      <x:c r="Q1337" s="1"/>
      <x:c r="R1337" s="1"/>
      <x:c r="S1337" s="1"/>
      <x:c r="T1337" s="1"/>
      <x:c r="U1337" s="1"/>
      <x:c r="V1337" s="1"/>
    </x:row>
    <x:row r="1338">
      <x:c r="A1338" s="1"/>
      <x:c r="B1338" s="1"/>
      <x:c r="C1338" s="1"/>
      <x:c r="D1338" s="1"/>
      <x:c r="E1338" s="1"/>
      <x:c r="F1338" s="1"/>
      <x:c r="G1338" s="1"/>
      <x:c r="H1338" s="1"/>
      <x:c r="I1338" s="1"/>
      <x:c r="J1338" s="1"/>
      <x:c r="K1338" s="1"/>
      <x:c r="L1338" s="1"/>
      <x:c r="M1338" s="1"/>
      <x:c r="N1338" s="1"/>
      <x:c r="O1338" s="1"/>
      <x:c r="P1338" s="1"/>
      <x:c r="Q1338" s="1"/>
      <x:c r="R1338" s="1"/>
      <x:c r="S1338" s="1"/>
      <x:c r="T1338" s="1"/>
      <x:c r="U1338" s="1"/>
      <x:c r="V1338" s="1"/>
    </x:row>
    <x:row r="1339">
      <x:c r="A1339" s="1"/>
      <x:c r="B1339" s="1"/>
      <x:c r="C1339" s="1"/>
      <x:c r="D1339" s="1"/>
      <x:c r="E1339" s="1"/>
      <x:c r="F1339" s="1"/>
      <x:c r="G1339" s="1"/>
      <x:c r="H1339" s="1"/>
      <x:c r="I1339" s="1"/>
      <x:c r="J1339" s="1"/>
      <x:c r="K1339" s="1"/>
      <x:c r="L1339" s="1"/>
      <x:c r="M1339" s="1"/>
      <x:c r="N1339" s="1"/>
      <x:c r="O1339" s="1"/>
      <x:c r="P1339" s="1"/>
      <x:c r="Q1339" s="1"/>
      <x:c r="R1339" s="1"/>
      <x:c r="S1339" s="1"/>
      <x:c r="T1339" s="1"/>
      <x:c r="U1339" s="1"/>
      <x:c r="V1339" s="1"/>
    </x:row>
    <x:row r="1340">
      <x:c r="A1340" s="1"/>
      <x:c r="B1340" s="1"/>
      <x:c r="C1340" s="1"/>
      <x:c r="D1340" s="1"/>
      <x:c r="E1340" s="1"/>
      <x:c r="F1340" s="1"/>
      <x:c r="G1340" s="1"/>
      <x:c r="H1340" s="1"/>
      <x:c r="I1340" s="1"/>
      <x:c r="J1340" s="1"/>
      <x:c r="K1340" s="1"/>
      <x:c r="L1340" s="1"/>
      <x:c r="M1340" s="1"/>
      <x:c r="N1340" s="1"/>
      <x:c r="O1340" s="1"/>
      <x:c r="P1340" s="1"/>
      <x:c r="Q1340" s="1"/>
      <x:c r="R1340" s="1"/>
      <x:c r="S1340" s="1"/>
      <x:c r="T1340" s="1"/>
      <x:c r="U1340" s="1"/>
      <x:c r="V1340" s="1"/>
    </x:row>
    <x:row r="1341">
      <x:c r="A1341" s="1"/>
      <x:c r="B1341" s="1"/>
      <x:c r="C1341" s="1"/>
      <x:c r="D1341" s="1"/>
      <x:c r="E1341" s="1"/>
      <x:c r="F1341" s="1"/>
      <x:c r="G1341" s="1"/>
      <x:c r="H1341" s="1"/>
      <x:c r="I1341" s="1"/>
      <x:c r="J1341" s="1"/>
      <x:c r="K1341" s="1"/>
      <x:c r="L1341" s="1"/>
      <x:c r="M1341" s="1"/>
      <x:c r="N1341" s="1"/>
      <x:c r="O1341" s="1"/>
      <x:c r="P1341" s="1"/>
      <x:c r="Q1341" s="1"/>
      <x:c r="R1341" s="1"/>
      <x:c r="S1341" s="1"/>
      <x:c r="T1341" s="1"/>
      <x:c r="U1341" s="1"/>
      <x:c r="V1341" s="1"/>
    </x:row>
    <x:row r="1342">
      <x:c r="A1342" s="1"/>
      <x:c r="B1342" s="1"/>
      <x:c r="C1342" s="1"/>
      <x:c r="D1342" s="1"/>
      <x:c r="E1342" s="1"/>
      <x:c r="F1342" s="1"/>
      <x:c r="G1342" s="1"/>
      <x:c r="H1342" s="1"/>
      <x:c r="I1342" s="1"/>
      <x:c r="J1342" s="1"/>
      <x:c r="K1342" s="1"/>
      <x:c r="L1342" s="1"/>
      <x:c r="M1342" s="1"/>
      <x:c r="N1342" s="1"/>
      <x:c r="O1342" s="1"/>
      <x:c r="P1342" s="1"/>
      <x:c r="Q1342" s="1"/>
      <x:c r="R1342" s="1"/>
      <x:c r="S1342" s="1"/>
      <x:c r="T1342" s="1"/>
      <x:c r="U1342" s="1"/>
      <x:c r="V1342" s="1"/>
    </x:row>
    <x:row r="1343">
      <x:c r="A1343" s="1"/>
      <x:c r="B1343" s="1"/>
      <x:c r="C1343" s="1"/>
      <x:c r="D1343" s="1"/>
      <x:c r="E1343" s="1"/>
      <x:c r="F1343" s="1"/>
      <x:c r="G1343" s="1"/>
      <x:c r="H1343" s="1"/>
      <x:c r="I1343" s="1"/>
      <x:c r="J1343" s="1"/>
      <x:c r="K1343" s="1"/>
      <x:c r="L1343" s="1"/>
      <x:c r="M1343" s="1"/>
      <x:c r="N1343" s="1"/>
      <x:c r="O1343" s="1"/>
      <x:c r="P1343" s="1"/>
      <x:c r="Q1343" s="1"/>
      <x:c r="R1343" s="1"/>
      <x:c r="S1343" s="1"/>
      <x:c r="T1343" s="1"/>
      <x:c r="U1343" s="1"/>
      <x:c r="V1343" s="1"/>
    </x:row>
    <x:row r="1344">
      <x:c r="A1344" s="1"/>
      <x:c r="B1344" s="1"/>
      <x:c r="C1344" s="1"/>
      <x:c r="D1344" s="1"/>
      <x:c r="E1344" s="1"/>
      <x:c r="F1344" s="1"/>
      <x:c r="G1344" s="1"/>
      <x:c r="H1344" s="1"/>
      <x:c r="I1344" s="1"/>
      <x:c r="J1344" s="1"/>
      <x:c r="K1344" s="1"/>
      <x:c r="L1344" s="1"/>
      <x:c r="M1344" s="1"/>
      <x:c r="N1344" s="1"/>
      <x:c r="O1344" s="1"/>
      <x:c r="P1344" s="1"/>
      <x:c r="Q1344" s="1"/>
      <x:c r="R1344" s="1"/>
      <x:c r="S1344" s="1"/>
      <x:c r="T1344" s="1"/>
      <x:c r="U1344" s="1"/>
      <x:c r="V1344" s="1"/>
    </x:row>
    <x:row r="1345">
      <x:c r="A1345" s="1"/>
      <x:c r="B1345" s="1"/>
      <x:c r="C1345" s="1"/>
      <x:c r="D1345" s="1"/>
      <x:c r="E1345" s="1"/>
      <x:c r="F1345" s="1"/>
      <x:c r="G1345" s="1"/>
      <x:c r="H1345" s="1"/>
      <x:c r="I1345" s="1"/>
      <x:c r="J1345" s="1"/>
      <x:c r="K1345" s="1"/>
      <x:c r="L1345" s="1"/>
      <x:c r="M1345" s="1"/>
      <x:c r="N1345" s="1"/>
      <x:c r="O1345" s="1"/>
      <x:c r="P1345" s="1"/>
      <x:c r="Q1345" s="1"/>
      <x:c r="R1345" s="1"/>
      <x:c r="S1345" s="1"/>
      <x:c r="T1345" s="1"/>
      <x:c r="U1345" s="1"/>
      <x:c r="V1345" s="1"/>
    </x:row>
    <x:row r="1346">
      <x:c r="A1346" s="1"/>
      <x:c r="B1346" s="1"/>
      <x:c r="C1346" s="1"/>
      <x:c r="D1346" s="1"/>
      <x:c r="E1346" s="1"/>
      <x:c r="F1346" s="1"/>
      <x:c r="G1346" s="1"/>
      <x:c r="H1346" s="1"/>
      <x:c r="I1346" s="1"/>
      <x:c r="J1346" s="1"/>
      <x:c r="K1346" s="1"/>
      <x:c r="L1346" s="1"/>
      <x:c r="M1346" s="1"/>
      <x:c r="N1346" s="1"/>
      <x:c r="O1346" s="1"/>
      <x:c r="P1346" s="1"/>
      <x:c r="Q1346" s="1"/>
      <x:c r="R1346" s="1"/>
      <x:c r="S1346" s="1"/>
      <x:c r="T1346" s="1"/>
      <x:c r="U1346" s="1"/>
      <x:c r="V1346" s="1"/>
    </x:row>
    <x:row r="1347">
      <x:c r="A1347" s="1"/>
      <x:c r="B1347" s="1"/>
      <x:c r="C1347" s="1"/>
      <x:c r="D1347" s="1"/>
      <x:c r="E1347" s="1"/>
      <x:c r="F1347" s="1"/>
      <x:c r="G1347" s="1"/>
      <x:c r="H1347" s="1"/>
      <x:c r="I1347" s="1"/>
      <x:c r="J1347" s="1"/>
      <x:c r="K1347" s="1"/>
      <x:c r="L1347" s="1"/>
      <x:c r="M1347" s="1"/>
      <x:c r="N1347" s="1"/>
      <x:c r="O1347" s="1"/>
      <x:c r="P1347" s="1"/>
      <x:c r="Q1347" s="1"/>
      <x:c r="R1347" s="1"/>
      <x:c r="S1347" s="1"/>
      <x:c r="T1347" s="1"/>
      <x:c r="U1347" s="1"/>
      <x:c r="V1347" s="1"/>
    </x:row>
    <x:row r="1348">
      <x:c r="A1348" s="1"/>
      <x:c r="B1348" s="1"/>
      <x:c r="C1348" s="1"/>
      <x:c r="D1348" s="1"/>
      <x:c r="E1348" s="1"/>
      <x:c r="F1348" s="1"/>
      <x:c r="G1348" s="1"/>
      <x:c r="H1348" s="1"/>
      <x:c r="I1348" s="1"/>
      <x:c r="J1348" s="1"/>
      <x:c r="K1348" s="1"/>
      <x:c r="L1348" s="1"/>
      <x:c r="M1348" s="1"/>
      <x:c r="N1348" s="1"/>
      <x:c r="O1348" s="1"/>
      <x:c r="P1348" s="1"/>
      <x:c r="Q1348" s="1"/>
      <x:c r="R1348" s="1"/>
      <x:c r="S1348" s="1"/>
      <x:c r="T1348" s="1"/>
      <x:c r="U1348" s="1"/>
      <x:c r="V1348" s="1"/>
    </x:row>
    <x:row r="1349">
      <x:c r="A1349" s="1"/>
      <x:c r="B1349" s="1"/>
      <x:c r="C1349" s="1"/>
      <x:c r="D1349" s="1"/>
      <x:c r="E1349" s="1"/>
      <x:c r="F1349" s="1"/>
      <x:c r="G1349" s="1"/>
      <x:c r="H1349" s="1"/>
      <x:c r="I1349" s="1"/>
      <x:c r="J1349" s="1"/>
      <x:c r="K1349" s="1"/>
      <x:c r="L1349" s="1"/>
      <x:c r="M1349" s="1"/>
      <x:c r="N1349" s="1"/>
      <x:c r="O1349" s="1"/>
      <x:c r="P1349" s="1"/>
      <x:c r="Q1349" s="1"/>
      <x:c r="R1349" s="1"/>
      <x:c r="S1349" s="1"/>
      <x:c r="T1349" s="1"/>
      <x:c r="U1349" s="1"/>
      <x:c r="V1349" s="1"/>
    </x:row>
    <x:row r="1350">
      <x:c r="A1350" s="1"/>
      <x:c r="B1350" s="1"/>
      <x:c r="C1350" s="1"/>
      <x:c r="D1350" s="1"/>
      <x:c r="E1350" s="1"/>
      <x:c r="F1350" s="1"/>
      <x:c r="G1350" s="1"/>
      <x:c r="H1350" s="1"/>
      <x:c r="I1350" s="1"/>
      <x:c r="J1350" s="1"/>
      <x:c r="K1350" s="1"/>
      <x:c r="L1350" s="1"/>
      <x:c r="M1350" s="1"/>
      <x:c r="N1350" s="1"/>
      <x:c r="O1350" s="1"/>
      <x:c r="P1350" s="1"/>
      <x:c r="Q1350" s="1"/>
      <x:c r="R1350" s="1"/>
      <x:c r="S1350" s="1"/>
      <x:c r="T1350" s="1"/>
      <x:c r="U1350" s="1"/>
      <x:c r="V1350" s="1"/>
    </x:row>
    <x:row r="1351">
      <x:c r="A1351" s="1"/>
      <x:c r="B1351" s="1"/>
      <x:c r="C1351" s="1"/>
      <x:c r="D1351" s="1"/>
      <x:c r="E1351" s="1"/>
      <x:c r="F1351" s="1"/>
      <x:c r="G1351" s="1"/>
      <x:c r="H1351" s="1"/>
      <x:c r="I1351" s="1"/>
      <x:c r="J1351" s="1"/>
      <x:c r="K1351" s="1"/>
      <x:c r="L1351" s="1"/>
      <x:c r="M1351" s="1"/>
      <x:c r="N1351" s="1"/>
      <x:c r="O1351" s="1"/>
      <x:c r="P1351" s="1"/>
      <x:c r="Q1351" s="1"/>
      <x:c r="R1351" s="1"/>
      <x:c r="S1351" s="1"/>
      <x:c r="T1351" s="1"/>
      <x:c r="U1351" s="1"/>
      <x:c r="V1351" s="1"/>
    </x:row>
    <x:row r="1352">
      <x:c r="A1352" s="1"/>
      <x:c r="B1352" s="1"/>
      <x:c r="C1352" s="1"/>
      <x:c r="D1352" s="1"/>
      <x:c r="E1352" s="1"/>
      <x:c r="F1352" s="1"/>
      <x:c r="G1352" s="1"/>
      <x:c r="H1352" s="1"/>
      <x:c r="I1352" s="1"/>
      <x:c r="J1352" s="1"/>
      <x:c r="K1352" s="1"/>
      <x:c r="L1352" s="1"/>
      <x:c r="M1352" s="1"/>
      <x:c r="N1352" s="1"/>
      <x:c r="O1352" s="1"/>
      <x:c r="P1352" s="1"/>
      <x:c r="Q1352" s="1"/>
      <x:c r="R1352" s="1"/>
      <x:c r="S1352" s="1"/>
      <x:c r="T1352" s="1"/>
      <x:c r="U1352" s="1"/>
      <x:c r="V1352" s="1"/>
    </x:row>
    <x:row r="1353">
      <x:c r="A1353" s="1"/>
      <x:c r="B1353" s="1"/>
      <x:c r="C1353" s="1"/>
      <x:c r="D1353" s="1"/>
      <x:c r="E1353" s="1"/>
      <x:c r="F1353" s="1"/>
      <x:c r="G1353" s="1"/>
      <x:c r="H1353" s="1"/>
      <x:c r="I1353" s="1"/>
      <x:c r="J1353" s="1"/>
      <x:c r="K1353" s="1"/>
      <x:c r="L1353" s="1"/>
      <x:c r="M1353" s="1"/>
      <x:c r="N1353" s="1"/>
      <x:c r="O1353" s="1"/>
      <x:c r="P1353" s="1"/>
      <x:c r="Q1353" s="1"/>
      <x:c r="R1353" s="1"/>
      <x:c r="S1353" s="1"/>
      <x:c r="T1353" s="1"/>
      <x:c r="U1353" s="1"/>
      <x:c r="V1353" s="1"/>
    </x:row>
    <x:row r="1354">
      <x:c r="A1354" s="1"/>
      <x:c r="B1354" s="1"/>
      <x:c r="C1354" s="1"/>
      <x:c r="D1354" s="1"/>
      <x:c r="E1354" s="1"/>
      <x:c r="F1354" s="1"/>
      <x:c r="G1354" s="1"/>
      <x:c r="H1354" s="1"/>
      <x:c r="I1354" s="1"/>
      <x:c r="J1354" s="1"/>
      <x:c r="K1354" s="1"/>
      <x:c r="L1354" s="1"/>
      <x:c r="M1354" s="1"/>
      <x:c r="N1354" s="1"/>
      <x:c r="O1354" s="1"/>
      <x:c r="P1354" s="1"/>
      <x:c r="Q1354" s="1"/>
      <x:c r="R1354" s="1"/>
      <x:c r="S1354" s="1"/>
      <x:c r="T1354" s="1"/>
      <x:c r="U1354" s="1"/>
      <x:c r="V1354" s="1"/>
    </x:row>
    <x:row r="1355">
      <x:c r="A1355" s="1"/>
      <x:c r="B1355" s="1"/>
      <x:c r="C1355" s="1"/>
      <x:c r="D1355" s="1"/>
      <x:c r="E1355" s="1"/>
      <x:c r="F1355" s="1"/>
      <x:c r="G1355" s="1"/>
      <x:c r="H1355" s="1"/>
      <x:c r="I1355" s="1"/>
      <x:c r="J1355" s="1"/>
      <x:c r="K1355" s="1"/>
      <x:c r="L1355" s="1"/>
      <x:c r="M1355" s="1"/>
      <x:c r="N1355" s="1"/>
      <x:c r="O1355" s="1"/>
      <x:c r="P1355" s="1"/>
      <x:c r="Q1355" s="1"/>
      <x:c r="R1355" s="1"/>
      <x:c r="S1355" s="1"/>
      <x:c r="T1355" s="1"/>
      <x:c r="U1355" s="1"/>
      <x:c r="V1355" s="1"/>
    </x:row>
    <x:row r="1356">
      <x:c r="A1356" s="1"/>
      <x:c r="B1356" s="1"/>
      <x:c r="C1356" s="1"/>
      <x:c r="D1356" s="1"/>
      <x:c r="E1356" s="1"/>
      <x:c r="F1356" s="1"/>
      <x:c r="G1356" s="1"/>
      <x:c r="H1356" s="1"/>
      <x:c r="I1356" s="1"/>
      <x:c r="J1356" s="1"/>
      <x:c r="K1356" s="1"/>
      <x:c r="L1356" s="1"/>
      <x:c r="M1356" s="1"/>
      <x:c r="N1356" s="1"/>
      <x:c r="O1356" s="1"/>
      <x:c r="P1356" s="1"/>
      <x:c r="Q1356" s="1"/>
      <x:c r="R1356" s="1"/>
      <x:c r="S1356" s="1"/>
      <x:c r="T1356" s="1"/>
      <x:c r="U1356" s="1"/>
      <x:c r="V1356" s="1"/>
    </x:row>
    <x:row r="1357">
      <x:c r="A1357" s="1"/>
      <x:c r="B1357" s="1"/>
      <x:c r="C1357" s="1"/>
      <x:c r="D1357" s="1"/>
      <x:c r="E1357" s="1"/>
      <x:c r="F1357" s="1"/>
      <x:c r="G1357" s="1"/>
      <x:c r="H1357" s="1"/>
      <x:c r="I1357" s="1"/>
      <x:c r="J1357" s="1"/>
      <x:c r="K1357" s="1"/>
      <x:c r="L1357" s="1"/>
      <x:c r="M1357" s="1"/>
      <x:c r="N1357" s="1"/>
      <x:c r="O1357" s="1"/>
      <x:c r="P1357" s="1"/>
      <x:c r="Q1357" s="1"/>
      <x:c r="R1357" s="1"/>
      <x:c r="S1357" s="1"/>
      <x:c r="T1357" s="1"/>
      <x:c r="U1357" s="1"/>
      <x:c r="V1357" s="1"/>
    </x:row>
    <x:row r="1358">
      <x:c r="A1358" s="1"/>
      <x:c r="B1358" s="1"/>
      <x:c r="C1358" s="1"/>
      <x:c r="D1358" s="1"/>
      <x:c r="E1358" s="1"/>
      <x:c r="F1358" s="1"/>
      <x:c r="G1358" s="1"/>
      <x:c r="H1358" s="1"/>
      <x:c r="I1358" s="1"/>
      <x:c r="J1358" s="1"/>
      <x:c r="K1358" s="1"/>
      <x:c r="L1358" s="1"/>
      <x:c r="M1358" s="1"/>
      <x:c r="N1358" s="1"/>
      <x:c r="O1358" s="1"/>
      <x:c r="P1358" s="1"/>
      <x:c r="Q1358" s="1"/>
      <x:c r="R1358" s="1"/>
      <x:c r="S1358" s="1"/>
      <x:c r="T1358" s="1"/>
      <x:c r="U1358" s="1"/>
      <x:c r="V1358" s="1"/>
    </x:row>
    <x:row r="1359">
      <x:c r="A1359" s="1"/>
      <x:c r="B1359" s="1"/>
      <x:c r="C1359" s="1"/>
      <x:c r="D1359" s="1"/>
      <x:c r="E1359" s="1"/>
      <x:c r="F1359" s="1"/>
      <x:c r="G1359" s="1"/>
      <x:c r="H1359" s="1"/>
      <x:c r="I1359" s="1"/>
      <x:c r="J1359" s="1"/>
      <x:c r="K1359" s="1"/>
      <x:c r="L1359" s="1"/>
      <x:c r="M1359" s="1"/>
      <x:c r="N1359" s="1"/>
      <x:c r="O1359" s="1"/>
      <x:c r="P1359" s="1"/>
      <x:c r="Q1359" s="1"/>
      <x:c r="R1359" s="1"/>
      <x:c r="S1359" s="1"/>
      <x:c r="T1359" s="1"/>
      <x:c r="U1359" s="1"/>
      <x:c r="V1359" s="1"/>
    </x:row>
    <x:row r="1360">
      <x:c r="A1360" s="1"/>
      <x:c r="B1360" s="1"/>
      <x:c r="C1360" s="1"/>
      <x:c r="D1360" s="1"/>
      <x:c r="E1360" s="1"/>
      <x:c r="F1360" s="1"/>
      <x:c r="G1360" s="1"/>
      <x:c r="H1360" s="1"/>
      <x:c r="I1360" s="1"/>
      <x:c r="J1360" s="1"/>
      <x:c r="K1360" s="1"/>
      <x:c r="L1360" s="1"/>
      <x:c r="M1360" s="1"/>
      <x:c r="N1360" s="1"/>
      <x:c r="O1360" s="1"/>
      <x:c r="P1360" s="1"/>
      <x:c r="Q1360" s="1"/>
      <x:c r="R1360" s="1"/>
      <x:c r="S1360" s="1"/>
      <x:c r="T1360" s="1"/>
      <x:c r="U1360" s="1"/>
      <x:c r="V1360" s="1"/>
    </x:row>
    <x:row r="1361">
      <x:c r="A1361" s="1"/>
      <x:c r="B1361" s="1"/>
      <x:c r="C1361" s="1"/>
      <x:c r="D1361" s="1"/>
      <x:c r="E1361" s="1"/>
      <x:c r="F1361" s="1"/>
      <x:c r="G1361" s="1"/>
      <x:c r="H1361" s="1"/>
      <x:c r="I1361" s="1"/>
      <x:c r="J1361" s="1"/>
      <x:c r="K1361" s="1"/>
      <x:c r="L1361" s="1"/>
      <x:c r="M1361" s="1"/>
      <x:c r="N1361" s="1"/>
      <x:c r="O1361" s="1"/>
      <x:c r="P1361" s="1"/>
      <x:c r="Q1361" s="1"/>
      <x:c r="R1361" s="1"/>
      <x:c r="S1361" s="1"/>
      <x:c r="T1361" s="1"/>
      <x:c r="U1361" s="1"/>
      <x:c r="V1361" s="1"/>
    </x:row>
    <x:row r="1362">
      <x:c r="A1362" s="1"/>
      <x:c r="B1362" s="1"/>
      <x:c r="C1362" s="1"/>
      <x:c r="D1362" s="1"/>
      <x:c r="E1362" s="1"/>
      <x:c r="F1362" s="1"/>
      <x:c r="G1362" s="1"/>
      <x:c r="H1362" s="1"/>
      <x:c r="I1362" s="1"/>
      <x:c r="J1362" s="1"/>
      <x:c r="K1362" s="1"/>
      <x:c r="L1362" s="1"/>
      <x:c r="M1362" s="1"/>
      <x:c r="N1362" s="1"/>
      <x:c r="O1362" s="1"/>
      <x:c r="P1362" s="1"/>
      <x:c r="Q1362" s="1"/>
      <x:c r="R1362" s="1"/>
      <x:c r="S1362" s="1"/>
      <x:c r="T1362" s="1"/>
      <x:c r="U1362" s="1"/>
      <x:c r="V1362" s="1"/>
    </x:row>
    <x:row r="1363">
      <x:c r="A1363" s="1"/>
      <x:c r="B1363" s="1"/>
      <x:c r="C1363" s="1"/>
      <x:c r="D1363" s="1"/>
      <x:c r="E1363" s="1"/>
      <x:c r="F1363" s="1"/>
      <x:c r="G1363" s="1"/>
      <x:c r="H1363" s="1"/>
      <x:c r="I1363" s="1"/>
      <x:c r="J1363" s="1"/>
      <x:c r="K1363" s="1"/>
      <x:c r="L1363" s="1"/>
      <x:c r="M1363" s="1"/>
      <x:c r="N1363" s="1"/>
      <x:c r="O1363" s="1"/>
      <x:c r="P1363" s="1"/>
      <x:c r="Q1363" s="1"/>
      <x:c r="R1363" s="1"/>
      <x:c r="S1363" s="1"/>
      <x:c r="T1363" s="1"/>
      <x:c r="U1363" s="1"/>
      <x:c r="V1363" s="1"/>
    </x:row>
    <x:row r="1364">
      <x:c r="A1364" s="1"/>
      <x:c r="B1364" s="1"/>
      <x:c r="C1364" s="1"/>
      <x:c r="D1364" s="1"/>
      <x:c r="E1364" s="1"/>
      <x:c r="F1364" s="1"/>
      <x:c r="G1364" s="1"/>
      <x:c r="H1364" s="1"/>
      <x:c r="I1364" s="1"/>
      <x:c r="J1364" s="1"/>
      <x:c r="K1364" s="1"/>
      <x:c r="L1364" s="1"/>
      <x:c r="M1364" s="1"/>
      <x:c r="N1364" s="1"/>
      <x:c r="O1364" s="1"/>
      <x:c r="P1364" s="1"/>
      <x:c r="Q1364" s="1"/>
      <x:c r="R1364" s="1"/>
      <x:c r="S1364" s="1"/>
      <x:c r="T1364" s="1"/>
      <x:c r="U1364" s="1"/>
      <x:c r="V1364" s="1"/>
    </x:row>
    <x:row r="1365">
      <x:c r="A1365" s="1"/>
      <x:c r="B1365" s="1"/>
      <x:c r="C1365" s="1"/>
      <x:c r="D1365" s="1"/>
      <x:c r="E1365" s="1"/>
      <x:c r="F1365" s="1"/>
      <x:c r="G1365" s="1"/>
      <x:c r="H1365" s="1"/>
      <x:c r="I1365" s="1"/>
      <x:c r="J1365" s="1"/>
      <x:c r="K1365" s="1"/>
      <x:c r="L1365" s="1"/>
      <x:c r="M1365" s="1"/>
      <x:c r="N1365" s="1"/>
      <x:c r="O1365" s="1"/>
      <x:c r="P1365" s="1"/>
      <x:c r="Q1365" s="1"/>
      <x:c r="R1365" s="1"/>
      <x:c r="S1365" s="1"/>
      <x:c r="T1365" s="1"/>
      <x:c r="U1365" s="1"/>
      <x:c r="V1365" s="1"/>
    </x:row>
    <x:row r="1366">
      <x:c r="A1366" s="1"/>
      <x:c r="B1366" s="1"/>
      <x:c r="C1366" s="1"/>
      <x:c r="D1366" s="1"/>
      <x:c r="E1366" s="1"/>
      <x:c r="F1366" s="1"/>
      <x:c r="G1366" s="1"/>
      <x:c r="H1366" s="1"/>
      <x:c r="I1366" s="1"/>
      <x:c r="J1366" s="1"/>
      <x:c r="K1366" s="1"/>
      <x:c r="L1366" s="1"/>
      <x:c r="M1366" s="1"/>
      <x:c r="N1366" s="1"/>
      <x:c r="O1366" s="1"/>
      <x:c r="P1366" s="1"/>
      <x:c r="Q1366" s="1"/>
      <x:c r="R1366" s="1"/>
      <x:c r="S1366" s="1"/>
      <x:c r="T1366" s="1"/>
      <x:c r="U1366" s="1"/>
      <x:c r="V1366" s="1"/>
    </x:row>
    <x:row r="1367">
      <x:c r="A1367" s="1"/>
      <x:c r="B1367" s="1"/>
      <x:c r="C1367" s="1"/>
      <x:c r="D1367" s="1"/>
      <x:c r="E1367" s="1"/>
      <x:c r="F1367" s="1"/>
      <x:c r="G1367" s="1"/>
      <x:c r="H1367" s="1"/>
      <x:c r="I1367" s="1"/>
      <x:c r="J1367" s="1"/>
      <x:c r="K1367" s="1"/>
      <x:c r="L1367" s="1"/>
      <x:c r="M1367" s="1"/>
      <x:c r="N1367" s="1"/>
      <x:c r="O1367" s="1"/>
      <x:c r="P1367" s="1"/>
      <x:c r="Q1367" s="1"/>
      <x:c r="R1367" s="1"/>
      <x:c r="S1367" s="1"/>
      <x:c r="T1367" s="1"/>
      <x:c r="U1367" s="1"/>
      <x:c r="V1367" s="1"/>
    </x:row>
    <x:row r="1368">
      <x:c r="A1368" s="1"/>
      <x:c r="B1368" s="1"/>
      <x:c r="C1368" s="1"/>
      <x:c r="D1368" s="1"/>
      <x:c r="E1368" s="1"/>
      <x:c r="F1368" s="1"/>
      <x:c r="G1368" s="1"/>
      <x:c r="H1368" s="1"/>
      <x:c r="I1368" s="1"/>
      <x:c r="J1368" s="1"/>
      <x:c r="K1368" s="1"/>
      <x:c r="L1368" s="1"/>
      <x:c r="M1368" s="1"/>
      <x:c r="N1368" s="1"/>
      <x:c r="O1368" s="1"/>
      <x:c r="P1368" s="1"/>
      <x:c r="Q1368" s="1"/>
      <x:c r="R1368" s="1"/>
      <x:c r="S1368" s="1"/>
      <x:c r="T1368" s="1"/>
      <x:c r="U1368" s="1"/>
      <x:c r="V1368" s="1"/>
    </x:row>
    <x:row r="1369">
      <x:c r="A1369" s="1"/>
      <x:c r="B1369" s="1"/>
      <x:c r="C1369" s="1"/>
      <x:c r="D1369" s="1"/>
      <x:c r="E1369" s="1"/>
      <x:c r="F1369" s="1"/>
      <x:c r="G1369" s="1"/>
      <x:c r="H1369" s="1"/>
      <x:c r="I1369" s="1"/>
      <x:c r="J1369" s="1"/>
      <x:c r="K1369" s="1"/>
      <x:c r="L1369" s="1"/>
      <x:c r="M1369" s="1"/>
      <x:c r="N1369" s="1"/>
      <x:c r="O1369" s="1"/>
      <x:c r="P1369" s="1"/>
      <x:c r="Q1369" s="1"/>
      <x:c r="R1369" s="1"/>
      <x:c r="S1369" s="1"/>
      <x:c r="T1369" s="1"/>
      <x:c r="U1369" s="1"/>
      <x:c r="V1369" s="1"/>
    </x:row>
    <x:row r="1370">
      <x:c r="A1370" s="1"/>
      <x:c r="B1370" s="1"/>
      <x:c r="C1370" s="1"/>
      <x:c r="D1370" s="1"/>
      <x:c r="E1370" s="1"/>
      <x:c r="F1370" s="1"/>
      <x:c r="G1370" s="1"/>
      <x:c r="H1370" s="1"/>
      <x:c r="I1370" s="1"/>
      <x:c r="J1370" s="1"/>
      <x:c r="K1370" s="1"/>
      <x:c r="L1370" s="1"/>
      <x:c r="M1370" s="1"/>
      <x:c r="N1370" s="1"/>
      <x:c r="O1370" s="1"/>
      <x:c r="P1370" s="1"/>
      <x:c r="Q1370" s="1"/>
      <x:c r="R1370" s="1"/>
      <x:c r="S1370" s="1"/>
      <x:c r="T1370" s="1"/>
      <x:c r="U1370" s="1"/>
      <x:c r="V1370" s="1"/>
    </x:row>
    <x:row r="1371">
      <x:c r="A1371" s="1"/>
      <x:c r="B1371" s="1"/>
      <x:c r="C1371" s="1"/>
      <x:c r="D1371" s="1"/>
      <x:c r="E1371" s="1"/>
      <x:c r="F1371" s="1"/>
      <x:c r="G1371" s="1"/>
      <x:c r="H1371" s="1"/>
      <x:c r="I1371" s="1"/>
      <x:c r="J1371" s="1"/>
      <x:c r="K1371" s="1"/>
      <x:c r="L1371" s="1"/>
      <x:c r="M1371" s="1"/>
      <x:c r="N1371" s="1"/>
      <x:c r="O1371" s="1"/>
      <x:c r="P1371" s="1"/>
      <x:c r="Q1371" s="1"/>
      <x:c r="R1371" s="1"/>
      <x:c r="S1371" s="1"/>
      <x:c r="T1371" s="1"/>
      <x:c r="U1371" s="1"/>
      <x:c r="V1371" s="1"/>
    </x:row>
    <x:row r="1372">
      <x:c r="A1372" s="1"/>
      <x:c r="B1372" s="1"/>
      <x:c r="C1372" s="1"/>
      <x:c r="D1372" s="1"/>
      <x:c r="E1372" s="1"/>
      <x:c r="F1372" s="1"/>
      <x:c r="G1372" s="1"/>
      <x:c r="H1372" s="1"/>
      <x:c r="I1372" s="1"/>
      <x:c r="J1372" s="1"/>
      <x:c r="K1372" s="1"/>
      <x:c r="L1372" s="1"/>
      <x:c r="M1372" s="1"/>
      <x:c r="N1372" s="1"/>
      <x:c r="O1372" s="1"/>
      <x:c r="P1372" s="1"/>
      <x:c r="Q1372" s="1"/>
      <x:c r="R1372" s="1"/>
      <x:c r="S1372" s="1"/>
      <x:c r="T1372" s="1"/>
      <x:c r="U1372" s="1"/>
      <x:c r="V1372" s="1"/>
    </x:row>
    <x:row r="1373">
      <x:c r="A1373" s="1"/>
      <x:c r="B1373" s="1"/>
      <x:c r="C1373" s="1"/>
      <x:c r="D1373" s="1"/>
      <x:c r="E1373" s="1"/>
      <x:c r="F1373" s="1"/>
      <x:c r="G1373" s="1"/>
      <x:c r="H1373" s="1"/>
      <x:c r="I1373" s="1"/>
      <x:c r="J1373" s="1"/>
      <x:c r="K1373" s="1"/>
      <x:c r="L1373" s="1"/>
      <x:c r="M1373" s="1"/>
      <x:c r="N1373" s="1"/>
      <x:c r="O1373" s="1"/>
      <x:c r="P1373" s="1"/>
      <x:c r="Q1373" s="1"/>
      <x:c r="R1373" s="1"/>
      <x:c r="S1373" s="1"/>
      <x:c r="T1373" s="1"/>
      <x:c r="U1373" s="1"/>
      <x:c r="V1373" s="1"/>
    </x:row>
    <x:row r="1374">
      <x:c r="A1374" s="1"/>
      <x:c r="B1374" s="1"/>
      <x:c r="C1374" s="1"/>
      <x:c r="D1374" s="1"/>
      <x:c r="E1374" s="1"/>
      <x:c r="F1374" s="1"/>
      <x:c r="G1374" s="1"/>
      <x:c r="H1374" s="1"/>
      <x:c r="I1374" s="1"/>
      <x:c r="J1374" s="1"/>
      <x:c r="K1374" s="1"/>
      <x:c r="L1374" s="1"/>
      <x:c r="M1374" s="1"/>
      <x:c r="N1374" s="1"/>
      <x:c r="O1374" s="1"/>
      <x:c r="P1374" s="1"/>
      <x:c r="Q1374" s="1"/>
      <x:c r="R1374" s="1"/>
      <x:c r="S1374" s="1"/>
      <x:c r="T1374" s="1"/>
      <x:c r="U1374" s="1"/>
      <x:c r="V1374" s="1"/>
    </x:row>
    <x:row r="1375">
      <x:c r="A1375" s="1"/>
      <x:c r="B1375" s="1"/>
      <x:c r="C1375" s="1"/>
      <x:c r="D1375" s="1"/>
      <x:c r="E1375" s="1"/>
      <x:c r="F1375" s="1"/>
      <x:c r="G1375" s="1"/>
      <x:c r="H1375" s="1"/>
      <x:c r="I1375" s="1"/>
      <x:c r="J1375" s="1"/>
      <x:c r="K1375" s="1"/>
      <x:c r="L1375" s="1"/>
      <x:c r="M1375" s="1"/>
      <x:c r="N1375" s="1"/>
      <x:c r="O1375" s="1"/>
      <x:c r="P1375" s="1"/>
      <x:c r="Q1375" s="1"/>
      <x:c r="R1375" s="1"/>
      <x:c r="S1375" s="1"/>
      <x:c r="T1375" s="1"/>
      <x:c r="U1375" s="1"/>
      <x:c r="V1375" s="1"/>
    </x:row>
    <x:row r="1376">
      <x:c r="A1376" s="1"/>
      <x:c r="B1376" s="1"/>
      <x:c r="C1376" s="1"/>
      <x:c r="D1376" s="1"/>
      <x:c r="E1376" s="1"/>
      <x:c r="F1376" s="1"/>
      <x:c r="G1376" s="1"/>
      <x:c r="H1376" s="1"/>
      <x:c r="I1376" s="1"/>
      <x:c r="J1376" s="1"/>
      <x:c r="K1376" s="1"/>
      <x:c r="L1376" s="1"/>
      <x:c r="M1376" s="1"/>
      <x:c r="N1376" s="1"/>
      <x:c r="O1376" s="1"/>
      <x:c r="P1376" s="1"/>
      <x:c r="Q1376" s="1"/>
      <x:c r="R1376" s="1"/>
      <x:c r="S1376" s="1"/>
      <x:c r="T1376" s="1"/>
      <x:c r="U1376" s="1"/>
      <x:c r="V1376" s="1"/>
    </x:row>
    <x:row r="1377">
      <x:c r="A1377" s="1"/>
      <x:c r="B1377" s="1"/>
      <x:c r="C1377" s="1"/>
      <x:c r="D1377" s="1"/>
      <x:c r="E1377" s="1"/>
      <x:c r="F1377" s="1"/>
      <x:c r="G1377" s="1"/>
      <x:c r="H1377" s="1"/>
      <x:c r="I1377" s="1"/>
      <x:c r="J1377" s="1"/>
      <x:c r="K1377" s="1"/>
      <x:c r="L1377" s="1"/>
      <x:c r="M1377" s="1"/>
      <x:c r="N1377" s="1"/>
      <x:c r="O1377" s="1"/>
      <x:c r="P1377" s="1"/>
      <x:c r="Q1377" s="1"/>
      <x:c r="R1377" s="1"/>
      <x:c r="S1377" s="1"/>
      <x:c r="T1377" s="1"/>
      <x:c r="U1377" s="1"/>
      <x:c r="V1377" s="1"/>
    </x:row>
    <x:row r="1378">
      <x:c r="A1378" s="1"/>
      <x:c r="B1378" s="1"/>
      <x:c r="C1378" s="1"/>
      <x:c r="D1378" s="1"/>
      <x:c r="E1378" s="1"/>
      <x:c r="F1378" s="1"/>
      <x:c r="G1378" s="1"/>
      <x:c r="H1378" s="1"/>
      <x:c r="I1378" s="1"/>
      <x:c r="J1378" s="1"/>
      <x:c r="K1378" s="1"/>
      <x:c r="L1378" s="1"/>
      <x:c r="M1378" s="1"/>
      <x:c r="N1378" s="1"/>
      <x:c r="O1378" s="1"/>
      <x:c r="P1378" s="1"/>
      <x:c r="Q1378" s="1"/>
      <x:c r="R1378" s="1"/>
      <x:c r="S1378" s="1"/>
      <x:c r="T1378" s="1"/>
      <x:c r="U1378" s="1"/>
      <x:c r="V1378" s="1"/>
    </x:row>
    <x:row r="1379">
      <x:c r="A1379" s="1"/>
      <x:c r="B1379" s="1"/>
      <x:c r="C1379" s="1"/>
      <x:c r="D1379" s="1"/>
      <x:c r="E1379" s="1"/>
      <x:c r="F1379" s="1"/>
      <x:c r="G1379" s="1"/>
      <x:c r="H1379" s="1"/>
      <x:c r="I1379" s="1"/>
      <x:c r="J1379" s="1"/>
      <x:c r="K1379" s="1"/>
      <x:c r="L1379" s="1"/>
      <x:c r="M1379" s="1"/>
      <x:c r="N1379" s="1"/>
      <x:c r="O1379" s="1"/>
      <x:c r="P1379" s="1"/>
      <x:c r="Q1379" s="1"/>
      <x:c r="R1379" s="1"/>
      <x:c r="S1379" s="1"/>
      <x:c r="T1379" s="1"/>
      <x:c r="U1379" s="1"/>
      <x:c r="V1379" s="1"/>
    </x:row>
    <x:row r="1380">
      <x:c r="A1380" s="1"/>
      <x:c r="B1380" s="1"/>
      <x:c r="C1380" s="1"/>
      <x:c r="D1380" s="1"/>
      <x:c r="E1380" s="1"/>
      <x:c r="F1380" s="1"/>
      <x:c r="G1380" s="1"/>
      <x:c r="H1380" s="1"/>
      <x:c r="I1380" s="1"/>
      <x:c r="J1380" s="1"/>
      <x:c r="K1380" s="1"/>
      <x:c r="L1380" s="1"/>
      <x:c r="M1380" s="1"/>
      <x:c r="N1380" s="1"/>
      <x:c r="O1380" s="1"/>
      <x:c r="P1380" s="1"/>
      <x:c r="Q1380" s="1"/>
      <x:c r="R1380" s="1"/>
      <x:c r="S1380" s="1"/>
      <x:c r="T1380" s="1"/>
      <x:c r="U1380" s="1"/>
      <x:c r="V1380" s="1"/>
    </x:row>
    <x:row r="1381">
      <x:c r="A1381" s="1"/>
      <x:c r="B1381" s="1"/>
      <x:c r="C1381" s="1"/>
      <x:c r="D1381" s="1"/>
      <x:c r="E1381" s="1"/>
      <x:c r="F1381" s="1"/>
      <x:c r="G1381" s="1"/>
      <x:c r="H1381" s="1"/>
      <x:c r="I1381" s="1"/>
      <x:c r="J1381" s="1"/>
      <x:c r="K1381" s="1"/>
      <x:c r="L1381" s="1"/>
      <x:c r="M1381" s="1"/>
      <x:c r="N1381" s="1"/>
      <x:c r="O1381" s="1"/>
      <x:c r="P1381" s="1"/>
      <x:c r="Q1381" s="1"/>
      <x:c r="R1381" s="1"/>
      <x:c r="S1381" s="1"/>
      <x:c r="T1381" s="1"/>
      <x:c r="U1381" s="1"/>
      <x:c r="V1381" s="1"/>
    </x:row>
    <x:row r="1382">
      <x:c r="A1382" s="1"/>
      <x:c r="B1382" s="1"/>
      <x:c r="C1382" s="1"/>
      <x:c r="D1382" s="1"/>
      <x:c r="E1382" s="1"/>
      <x:c r="F1382" s="1"/>
      <x:c r="G1382" s="1"/>
      <x:c r="H1382" s="1"/>
      <x:c r="I1382" s="1"/>
      <x:c r="J1382" s="1"/>
      <x:c r="K1382" s="1"/>
      <x:c r="L1382" s="1"/>
      <x:c r="M1382" s="1"/>
      <x:c r="N1382" s="1"/>
      <x:c r="O1382" s="1"/>
      <x:c r="P1382" s="1"/>
      <x:c r="Q1382" s="1"/>
      <x:c r="R1382" s="1"/>
      <x:c r="S1382" s="1"/>
      <x:c r="T1382" s="1"/>
      <x:c r="U1382" s="1"/>
      <x:c r="V1382" s="1"/>
    </x:row>
    <x:row r="1383">
      <x:c r="A1383" s="1"/>
      <x:c r="B1383" s="1"/>
      <x:c r="C1383" s="1"/>
      <x:c r="D1383" s="1"/>
      <x:c r="E1383" s="1"/>
      <x:c r="F1383" s="1"/>
      <x:c r="G1383" s="1"/>
      <x:c r="H1383" s="1"/>
      <x:c r="I1383" s="1"/>
      <x:c r="J1383" s="1"/>
      <x:c r="K1383" s="1"/>
      <x:c r="L1383" s="1"/>
      <x:c r="M1383" s="1"/>
      <x:c r="N1383" s="1"/>
      <x:c r="O1383" s="1"/>
      <x:c r="P1383" s="1"/>
      <x:c r="Q1383" s="1"/>
      <x:c r="R1383" s="1"/>
      <x:c r="S1383" s="1"/>
      <x:c r="T1383" s="1"/>
      <x:c r="U1383" s="1"/>
      <x:c r="V1383" s="1"/>
    </x:row>
    <x:row r="1384">
      <x:c r="A1384" s="1"/>
      <x:c r="B1384" s="1"/>
      <x:c r="C1384" s="1"/>
      <x:c r="D1384" s="1"/>
      <x:c r="E1384" s="1"/>
      <x:c r="F1384" s="1"/>
      <x:c r="G1384" s="1"/>
      <x:c r="H1384" s="1"/>
      <x:c r="I1384" s="1"/>
      <x:c r="J1384" s="1"/>
      <x:c r="K1384" s="1"/>
      <x:c r="L1384" s="1"/>
      <x:c r="M1384" s="1"/>
      <x:c r="N1384" s="1"/>
      <x:c r="O1384" s="1"/>
      <x:c r="P1384" s="1"/>
      <x:c r="Q1384" s="1"/>
      <x:c r="R1384" s="1"/>
      <x:c r="S1384" s="1"/>
      <x:c r="T1384" s="1"/>
      <x:c r="U1384" s="1"/>
      <x:c r="V1384" s="1"/>
    </x:row>
    <x:row r="1385">
      <x:c r="A1385" s="1"/>
      <x:c r="B1385" s="1"/>
      <x:c r="C1385" s="1"/>
      <x:c r="D1385" s="1"/>
      <x:c r="E1385" s="1"/>
      <x:c r="F1385" s="1"/>
      <x:c r="G1385" s="1"/>
      <x:c r="H1385" s="1"/>
      <x:c r="I1385" s="1"/>
      <x:c r="J1385" s="1"/>
      <x:c r="K1385" s="1"/>
      <x:c r="L1385" s="1"/>
      <x:c r="M1385" s="1"/>
      <x:c r="N1385" s="1"/>
      <x:c r="O1385" s="1"/>
      <x:c r="P1385" s="1"/>
      <x:c r="Q1385" s="1"/>
      <x:c r="R1385" s="1"/>
      <x:c r="S1385" s="1"/>
      <x:c r="T1385" s="1"/>
      <x:c r="U1385" s="1"/>
      <x:c r="V1385" s="1"/>
    </x:row>
    <x:row r="1386">
      <x:c r="A1386" s="1"/>
      <x:c r="B1386" s="1"/>
      <x:c r="C1386" s="1"/>
      <x:c r="D1386" s="1"/>
      <x:c r="E1386" s="1"/>
      <x:c r="F1386" s="1"/>
      <x:c r="G1386" s="1"/>
      <x:c r="H1386" s="1"/>
      <x:c r="I1386" s="1"/>
      <x:c r="J1386" s="1"/>
      <x:c r="K1386" s="1"/>
      <x:c r="L1386" s="1"/>
      <x:c r="M1386" s="1"/>
      <x:c r="N1386" s="1"/>
      <x:c r="O1386" s="1"/>
      <x:c r="P1386" s="1"/>
      <x:c r="Q1386" s="1"/>
      <x:c r="R1386" s="1"/>
      <x:c r="S1386" s="1"/>
      <x:c r="T1386" s="1"/>
      <x:c r="U1386" s="1"/>
      <x:c r="V1386" s="1"/>
    </x:row>
    <x:row r="1387">
      <x:c r="A1387" s="1"/>
      <x:c r="B1387" s="1"/>
      <x:c r="C1387" s="1"/>
      <x:c r="D1387" s="1"/>
      <x:c r="E1387" s="1"/>
      <x:c r="F1387" s="1"/>
      <x:c r="G1387" s="1"/>
      <x:c r="H1387" s="1"/>
      <x:c r="I1387" s="1"/>
      <x:c r="J1387" s="1"/>
      <x:c r="K1387" s="1"/>
      <x:c r="L1387" s="1"/>
      <x:c r="M1387" s="1"/>
      <x:c r="N1387" s="1"/>
      <x:c r="O1387" s="1"/>
      <x:c r="P1387" s="1"/>
      <x:c r="Q1387" s="1"/>
      <x:c r="R1387" s="1"/>
      <x:c r="S1387" s="1"/>
      <x:c r="T1387" s="1"/>
      <x:c r="U1387" s="1"/>
      <x:c r="V1387" s="1"/>
    </x:row>
    <x:row r="1388">
      <x:c r="A1388" s="1"/>
      <x:c r="B1388" s="1"/>
      <x:c r="C1388" s="1"/>
      <x:c r="D1388" s="1"/>
      <x:c r="E1388" s="1"/>
      <x:c r="F1388" s="1"/>
      <x:c r="G1388" s="1"/>
      <x:c r="H1388" s="1"/>
      <x:c r="I1388" s="1"/>
      <x:c r="J1388" s="1"/>
      <x:c r="K1388" s="1"/>
      <x:c r="L1388" s="1"/>
      <x:c r="M1388" s="1"/>
      <x:c r="N1388" s="1"/>
      <x:c r="O1388" s="1"/>
      <x:c r="P1388" s="1"/>
      <x:c r="Q1388" s="1"/>
      <x:c r="R1388" s="1"/>
      <x:c r="S1388" s="1"/>
      <x:c r="T1388" s="1"/>
      <x:c r="U1388" s="1"/>
      <x:c r="V1388" s="1"/>
    </x:row>
    <x:row r="1389">
      <x:c r="A1389" s="1"/>
      <x:c r="B1389" s="1"/>
      <x:c r="C1389" s="1"/>
      <x:c r="D1389" s="1"/>
      <x:c r="E1389" s="1"/>
      <x:c r="F1389" s="1"/>
      <x:c r="G1389" s="1"/>
      <x:c r="H1389" s="1"/>
      <x:c r="I1389" s="1"/>
      <x:c r="J1389" s="1"/>
      <x:c r="K1389" s="1"/>
      <x:c r="L1389" s="1"/>
      <x:c r="M1389" s="1"/>
      <x:c r="N1389" s="1"/>
      <x:c r="O1389" s="1"/>
      <x:c r="P1389" s="1"/>
      <x:c r="Q1389" s="1"/>
      <x:c r="R1389" s="1"/>
      <x:c r="S1389" s="1"/>
      <x:c r="T1389" s="1"/>
      <x:c r="U1389" s="1"/>
      <x:c r="V1389" s="1"/>
    </x:row>
    <x:row r="1390">
      <x:c r="A1390" s="1"/>
      <x:c r="B1390" s="1"/>
      <x:c r="C1390" s="1"/>
      <x:c r="D1390" s="1"/>
      <x:c r="E1390" s="1"/>
      <x:c r="F1390" s="1"/>
      <x:c r="G1390" s="1"/>
      <x:c r="H1390" s="1"/>
      <x:c r="I1390" s="1"/>
      <x:c r="J1390" s="1"/>
      <x:c r="K1390" s="1"/>
      <x:c r="L1390" s="1"/>
      <x:c r="M1390" s="1"/>
      <x:c r="N1390" s="1"/>
      <x:c r="O1390" s="1"/>
      <x:c r="P1390" s="1"/>
      <x:c r="Q1390" s="1"/>
      <x:c r="R1390" s="1"/>
      <x:c r="S1390" s="1"/>
      <x:c r="T1390" s="1"/>
      <x:c r="U1390" s="1"/>
      <x:c r="V1390" s="1"/>
    </x:row>
    <x:row r="1391">
      <x:c r="A1391" s="1"/>
      <x:c r="B1391" s="1"/>
      <x:c r="C1391" s="1"/>
      <x:c r="D1391" s="1"/>
      <x:c r="E1391" s="1"/>
      <x:c r="F1391" s="1"/>
      <x:c r="G1391" s="1"/>
      <x:c r="H1391" s="1"/>
      <x:c r="I1391" s="1"/>
      <x:c r="J1391" s="1"/>
      <x:c r="K1391" s="1"/>
      <x:c r="L1391" s="1"/>
      <x:c r="M1391" s="1"/>
      <x:c r="N1391" s="1"/>
      <x:c r="O1391" s="1"/>
      <x:c r="P1391" s="1"/>
      <x:c r="Q1391" s="1"/>
      <x:c r="R1391" s="1"/>
      <x:c r="S1391" s="1"/>
      <x:c r="T1391" s="1"/>
      <x:c r="U1391" s="1"/>
      <x:c r="V1391" s="1"/>
    </x:row>
    <x:row r="1392">
      <x:c r="A1392" s="1"/>
      <x:c r="B1392" s="1"/>
      <x:c r="C1392" s="1"/>
      <x:c r="D1392" s="1"/>
      <x:c r="E1392" s="1"/>
      <x:c r="F1392" s="1"/>
      <x:c r="G1392" s="1"/>
      <x:c r="H1392" s="1"/>
      <x:c r="I1392" s="1"/>
      <x:c r="J1392" s="1"/>
      <x:c r="K1392" s="1"/>
      <x:c r="L1392" s="1"/>
      <x:c r="M1392" s="1"/>
      <x:c r="N1392" s="1"/>
      <x:c r="O1392" s="1"/>
      <x:c r="P1392" s="1"/>
      <x:c r="Q1392" s="1"/>
      <x:c r="R1392" s="1"/>
      <x:c r="S1392" s="1"/>
      <x:c r="T1392" s="1"/>
      <x:c r="U1392" s="1"/>
      <x:c r="V1392" s="1"/>
    </x:row>
    <x:row r="1393">
      <x:c r="A1393" s="1"/>
      <x:c r="B1393" s="1"/>
      <x:c r="C1393" s="1"/>
      <x:c r="D1393" s="1"/>
      <x:c r="E1393" s="1"/>
      <x:c r="F1393" s="1"/>
      <x:c r="G1393" s="1"/>
      <x:c r="H1393" s="1"/>
      <x:c r="I1393" s="1"/>
      <x:c r="J1393" s="1"/>
      <x:c r="K1393" s="1"/>
      <x:c r="L1393" s="1"/>
      <x:c r="M1393" s="1"/>
      <x:c r="N1393" s="1"/>
      <x:c r="O1393" s="1"/>
      <x:c r="P1393" s="1"/>
      <x:c r="Q1393" s="1"/>
      <x:c r="R1393" s="1"/>
      <x:c r="S1393" s="1"/>
      <x:c r="T1393" s="1"/>
      <x:c r="U1393" s="1"/>
      <x:c r="V1393" s="1"/>
    </x:row>
    <x:row r="1394">
      <x:c r="A1394" s="1"/>
      <x:c r="B1394" s="1"/>
      <x:c r="C1394" s="1"/>
      <x:c r="D1394" s="1"/>
      <x:c r="E1394" s="1"/>
      <x:c r="F1394" s="1"/>
      <x:c r="G1394" s="1"/>
      <x:c r="H1394" s="1"/>
      <x:c r="I1394" s="1"/>
      <x:c r="J1394" s="1"/>
      <x:c r="K1394" s="1"/>
      <x:c r="L1394" s="1"/>
      <x:c r="M1394" s="1"/>
      <x:c r="N1394" s="1"/>
      <x:c r="O1394" s="1"/>
      <x:c r="P1394" s="1"/>
      <x:c r="Q1394" s="1"/>
      <x:c r="R1394" s="1"/>
      <x:c r="S1394" s="1"/>
      <x:c r="T1394" s="1"/>
      <x:c r="U1394" s="1"/>
      <x:c r="V1394" s="1"/>
    </x:row>
    <x:row r="1395">
      <x:c r="A1395" s="1"/>
      <x:c r="B1395" s="1"/>
      <x:c r="C1395" s="1"/>
      <x:c r="D1395" s="1"/>
      <x:c r="E1395" s="1"/>
      <x:c r="F1395" s="1"/>
      <x:c r="G1395" s="1"/>
      <x:c r="H1395" s="1"/>
      <x:c r="I1395" s="1"/>
      <x:c r="J1395" s="1"/>
      <x:c r="K1395" s="1"/>
      <x:c r="L1395" s="1"/>
      <x:c r="M1395" s="1"/>
      <x:c r="N1395" s="1"/>
      <x:c r="O1395" s="1"/>
      <x:c r="P1395" s="1"/>
      <x:c r="Q1395" s="1"/>
      <x:c r="R1395" s="1"/>
      <x:c r="S1395" s="1"/>
      <x:c r="T1395" s="1"/>
      <x:c r="U1395" s="1"/>
      <x:c r="V1395" s="1"/>
    </x:row>
    <x:row r="1396">
      <x:c r="A1396" s="1"/>
      <x:c r="B1396" s="1"/>
      <x:c r="C1396" s="1"/>
      <x:c r="D1396" s="1"/>
      <x:c r="E1396" s="1"/>
      <x:c r="F1396" s="1"/>
      <x:c r="G1396" s="1"/>
      <x:c r="H1396" s="1"/>
      <x:c r="I1396" s="1"/>
      <x:c r="J1396" s="1"/>
      <x:c r="K1396" s="1"/>
      <x:c r="L1396" s="1"/>
      <x:c r="M1396" s="1"/>
      <x:c r="N1396" s="1"/>
      <x:c r="O1396" s="1"/>
      <x:c r="P1396" s="1"/>
      <x:c r="Q1396" s="1"/>
      <x:c r="R1396" s="1"/>
      <x:c r="S1396" s="1"/>
      <x:c r="T1396" s="1"/>
      <x:c r="U1396" s="1"/>
      <x:c r="V1396" s="1"/>
    </x:row>
    <x:row r="1397">
      <x:c r="A1397" s="1"/>
      <x:c r="B1397" s="1"/>
      <x:c r="C1397" s="1"/>
      <x:c r="D1397" s="1"/>
      <x:c r="E1397" s="1"/>
      <x:c r="F1397" s="1"/>
      <x:c r="G1397" s="1"/>
      <x:c r="H1397" s="1"/>
      <x:c r="I1397" s="1"/>
      <x:c r="J1397" s="1"/>
      <x:c r="K1397" s="1"/>
      <x:c r="L1397" s="1"/>
      <x:c r="M1397" s="1"/>
      <x:c r="N1397" s="1"/>
      <x:c r="O1397" s="1"/>
      <x:c r="P1397" s="1"/>
      <x:c r="Q1397" s="1"/>
      <x:c r="R1397" s="1"/>
      <x:c r="S1397" s="1"/>
      <x:c r="T1397" s="1"/>
      <x:c r="U1397" s="1"/>
      <x:c r="V1397" s="1"/>
    </x:row>
    <x:row r="1398">
      <x:c r="A1398" s="1"/>
      <x:c r="B1398" s="1"/>
      <x:c r="C1398" s="1"/>
      <x:c r="D1398" s="1"/>
      <x:c r="E1398" s="1"/>
      <x:c r="F1398" s="1"/>
      <x:c r="G1398" s="1"/>
      <x:c r="H1398" s="1"/>
      <x:c r="I1398" s="1"/>
      <x:c r="J1398" s="1"/>
      <x:c r="K1398" s="1"/>
      <x:c r="L1398" s="1"/>
      <x:c r="M1398" s="1"/>
      <x:c r="N1398" s="1"/>
      <x:c r="O1398" s="1"/>
      <x:c r="P1398" s="1"/>
      <x:c r="Q1398" s="1"/>
      <x:c r="R1398" s="1"/>
      <x:c r="S1398" s="1"/>
      <x:c r="T1398" s="1"/>
      <x:c r="U1398" s="1"/>
      <x:c r="V1398" s="1"/>
    </x:row>
    <x:row r="1399">
      <x:c r="A1399" s="1"/>
      <x:c r="B1399" s="1"/>
      <x:c r="C1399" s="1"/>
      <x:c r="D1399" s="1"/>
      <x:c r="E1399" s="1"/>
      <x:c r="F1399" s="1"/>
      <x:c r="G1399" s="1"/>
      <x:c r="H1399" s="1"/>
      <x:c r="I1399" s="1"/>
      <x:c r="J1399" s="1"/>
      <x:c r="K1399" s="1"/>
      <x:c r="L1399" s="1"/>
      <x:c r="M1399" s="1"/>
      <x:c r="N1399" s="1"/>
      <x:c r="O1399" s="1"/>
      <x:c r="P1399" s="1"/>
      <x:c r="Q1399" s="1"/>
      <x:c r="R1399" s="1"/>
      <x:c r="S1399" s="1"/>
      <x:c r="T1399" s="1"/>
      <x:c r="U1399" s="1"/>
      <x:c r="V1399" s="1"/>
    </x:row>
    <x:row r="1400">
      <x:c r="A1400" s="1"/>
      <x:c r="B1400" s="1"/>
      <x:c r="C1400" s="1"/>
      <x:c r="D1400" s="1"/>
      <x:c r="E1400" s="1"/>
      <x:c r="F1400" s="1"/>
      <x:c r="G1400" s="1"/>
      <x:c r="H1400" s="1"/>
      <x:c r="I1400" s="1"/>
      <x:c r="J1400" s="1"/>
      <x:c r="K1400" s="1"/>
      <x:c r="L1400" s="1"/>
      <x:c r="M1400" s="1"/>
      <x:c r="N1400" s="1"/>
      <x:c r="O1400" s="1"/>
      <x:c r="P1400" s="1"/>
      <x:c r="Q1400" s="1"/>
      <x:c r="R1400" s="1"/>
      <x:c r="S1400" s="1"/>
      <x:c r="T1400" s="1"/>
      <x:c r="U1400" s="1"/>
      <x:c r="V1400" s="1"/>
    </x:row>
    <x:row r="1401">
      <x:c r="A1401" s="1"/>
      <x:c r="B1401" s="1"/>
      <x:c r="C1401" s="1"/>
      <x:c r="D1401" s="1"/>
      <x:c r="E1401" s="1"/>
      <x:c r="F1401" s="1"/>
      <x:c r="G1401" s="1"/>
      <x:c r="H1401" s="1"/>
      <x:c r="I1401" s="1"/>
      <x:c r="J1401" s="1"/>
      <x:c r="K1401" s="1"/>
      <x:c r="L1401" s="1"/>
      <x:c r="M1401" s="1"/>
      <x:c r="N1401" s="1"/>
      <x:c r="O1401" s="1"/>
      <x:c r="P1401" s="1"/>
      <x:c r="Q1401" s="1"/>
      <x:c r="R1401" s="1"/>
      <x:c r="S1401" s="1"/>
      <x:c r="T1401" s="1"/>
      <x:c r="U1401" s="1"/>
      <x:c r="V1401" s="1"/>
    </x:row>
    <x:row r="1402">
      <x:c r="A1402" s="1"/>
      <x:c r="B1402" s="1"/>
      <x:c r="C1402" s="1"/>
      <x:c r="D1402" s="1"/>
      <x:c r="E1402" s="1"/>
      <x:c r="F1402" s="1"/>
      <x:c r="G1402" s="1"/>
      <x:c r="H1402" s="1"/>
      <x:c r="I1402" s="1"/>
      <x:c r="J1402" s="1"/>
      <x:c r="K1402" s="1"/>
      <x:c r="L1402" s="1"/>
      <x:c r="M1402" s="1"/>
      <x:c r="N1402" s="1"/>
      <x:c r="O1402" s="1"/>
      <x:c r="P1402" s="1"/>
      <x:c r="Q1402" s="1"/>
      <x:c r="R1402" s="1"/>
      <x:c r="S1402" s="1"/>
      <x:c r="T1402" s="1"/>
      <x:c r="U1402" s="1"/>
      <x:c r="V1402" s="1"/>
    </x:row>
    <x:row r="1403">
      <x:c r="A1403" s="1"/>
      <x:c r="B1403" s="1"/>
      <x:c r="C1403" s="1"/>
      <x:c r="D1403" s="1"/>
      <x:c r="E1403" s="1"/>
      <x:c r="F1403" s="1"/>
      <x:c r="G1403" s="1"/>
      <x:c r="H1403" s="1"/>
      <x:c r="I1403" s="1"/>
      <x:c r="J1403" s="1"/>
      <x:c r="K1403" s="1"/>
      <x:c r="L1403" s="1"/>
      <x:c r="M1403" s="1"/>
      <x:c r="N1403" s="1"/>
      <x:c r="O1403" s="1"/>
      <x:c r="P1403" s="1"/>
      <x:c r="Q1403" s="1"/>
      <x:c r="R1403" s="1"/>
      <x:c r="S1403" s="1"/>
      <x:c r="T1403" s="1"/>
      <x:c r="U1403" s="1"/>
      <x:c r="V1403" s="1"/>
    </x:row>
    <x:row r="1404">
      <x:c r="A1404" s="1"/>
      <x:c r="B1404" s="1"/>
      <x:c r="C1404" s="1"/>
      <x:c r="D1404" s="1"/>
      <x:c r="E1404" s="1"/>
      <x:c r="F1404" s="1"/>
      <x:c r="G1404" s="1"/>
      <x:c r="H1404" s="1"/>
      <x:c r="I1404" s="1"/>
      <x:c r="J1404" s="1"/>
      <x:c r="K1404" s="1"/>
      <x:c r="L1404" s="1"/>
      <x:c r="M1404" s="1"/>
      <x:c r="N1404" s="1"/>
      <x:c r="O1404" s="1"/>
      <x:c r="P1404" s="1"/>
      <x:c r="Q1404" s="1"/>
      <x:c r="R1404" s="1"/>
      <x:c r="S1404" s="1"/>
      <x:c r="T1404" s="1"/>
      <x:c r="U1404" s="1"/>
      <x:c r="V1404" s="1"/>
    </x:row>
    <x:row r="1405">
      <x:c r="A1405" s="1"/>
      <x:c r="B1405" s="1"/>
      <x:c r="C1405" s="1"/>
      <x:c r="D1405" s="1"/>
      <x:c r="E1405" s="1"/>
      <x:c r="F1405" s="1"/>
      <x:c r="G1405" s="1"/>
      <x:c r="H1405" s="1"/>
      <x:c r="I1405" s="1"/>
      <x:c r="J1405" s="1"/>
      <x:c r="K1405" s="1"/>
      <x:c r="L1405" s="1"/>
      <x:c r="M1405" s="1"/>
      <x:c r="N1405" s="1"/>
      <x:c r="O1405" s="1"/>
      <x:c r="P1405" s="1"/>
      <x:c r="Q1405" s="1"/>
      <x:c r="R1405" s="1"/>
      <x:c r="S1405" s="1"/>
      <x:c r="T1405" s="1"/>
      <x:c r="U1405" s="1"/>
      <x:c r="V1405" s="1"/>
    </x:row>
    <x:row r="1406">
      <x:c r="A1406" s="1"/>
      <x:c r="B1406" s="1"/>
      <x:c r="C1406" s="1"/>
      <x:c r="D1406" s="1"/>
      <x:c r="E1406" s="1"/>
      <x:c r="F1406" s="1"/>
      <x:c r="G1406" s="1"/>
      <x:c r="H1406" s="1"/>
      <x:c r="I1406" s="1"/>
      <x:c r="J1406" s="1"/>
      <x:c r="K1406" s="1"/>
      <x:c r="L1406" s="1"/>
      <x:c r="M1406" s="1"/>
      <x:c r="N1406" s="1"/>
      <x:c r="O1406" s="1"/>
      <x:c r="P1406" s="1"/>
      <x:c r="Q1406" s="1"/>
      <x:c r="R1406" s="1"/>
      <x:c r="S1406" s="1"/>
      <x:c r="T1406" s="1"/>
      <x:c r="U1406" s="1"/>
      <x:c r="V1406" s="1"/>
    </x:row>
    <x:row r="1407">
      <x:c r="A1407" s="1"/>
      <x:c r="B1407" s="1"/>
      <x:c r="C1407" s="1"/>
      <x:c r="D1407" s="1"/>
      <x:c r="E1407" s="1"/>
      <x:c r="F1407" s="1"/>
      <x:c r="G1407" s="1"/>
      <x:c r="H1407" s="1"/>
      <x:c r="I1407" s="1"/>
      <x:c r="J1407" s="1"/>
      <x:c r="K1407" s="1"/>
      <x:c r="L1407" s="1"/>
      <x:c r="M1407" s="1"/>
      <x:c r="N1407" s="1"/>
      <x:c r="O1407" s="1"/>
      <x:c r="P1407" s="1"/>
      <x:c r="Q1407" s="1"/>
      <x:c r="R1407" s="1"/>
      <x:c r="S1407" s="1"/>
      <x:c r="T1407" s="1"/>
      <x:c r="U1407" s="1"/>
      <x:c r="V1407" s="1"/>
    </x:row>
    <x:row r="1408">
      <x:c r="A1408" s="1"/>
      <x:c r="B1408" s="1"/>
      <x:c r="C1408" s="1"/>
      <x:c r="D1408" s="1"/>
      <x:c r="E1408" s="1"/>
      <x:c r="F1408" s="1"/>
      <x:c r="G1408" s="1"/>
      <x:c r="H1408" s="1"/>
      <x:c r="I1408" s="1"/>
      <x:c r="J1408" s="1"/>
      <x:c r="K1408" s="1"/>
      <x:c r="L1408" s="1"/>
      <x:c r="M1408" s="1"/>
      <x:c r="N1408" s="1"/>
      <x:c r="O1408" s="1"/>
      <x:c r="P1408" s="1"/>
      <x:c r="Q1408" s="1"/>
      <x:c r="R1408" s="1"/>
      <x:c r="S1408" s="1"/>
      <x:c r="T1408" s="1"/>
      <x:c r="U1408" s="1"/>
      <x:c r="V1408" s="1"/>
    </x:row>
    <x:row r="1409">
      <x:c r="A1409" s="1"/>
      <x:c r="B1409" s="1"/>
      <x:c r="C1409" s="1"/>
      <x:c r="D1409" s="1"/>
      <x:c r="E1409" s="1"/>
      <x:c r="F1409" s="1"/>
      <x:c r="G1409" s="1"/>
      <x:c r="H1409" s="1"/>
      <x:c r="I1409" s="1"/>
      <x:c r="J1409" s="1"/>
      <x:c r="K1409" s="1"/>
      <x:c r="L1409" s="1"/>
      <x:c r="M1409" s="1"/>
      <x:c r="N1409" s="1"/>
      <x:c r="O1409" s="1"/>
      <x:c r="P1409" s="1"/>
      <x:c r="Q1409" s="1"/>
      <x:c r="R1409" s="1"/>
      <x:c r="S1409" s="1"/>
      <x:c r="T1409" s="1"/>
      <x:c r="U1409" s="1"/>
      <x:c r="V1409" s="1"/>
    </x:row>
    <x:row r="1410">
      <x:c r="A1410" s="1"/>
      <x:c r="B1410" s="1"/>
      <x:c r="C1410" s="1"/>
      <x:c r="D1410" s="1"/>
      <x:c r="E1410" s="1"/>
      <x:c r="F1410" s="1"/>
      <x:c r="G1410" s="1"/>
      <x:c r="H1410" s="1"/>
      <x:c r="I1410" s="1"/>
      <x:c r="J1410" s="1"/>
      <x:c r="K1410" s="1"/>
      <x:c r="L1410" s="1"/>
      <x:c r="M1410" s="1"/>
      <x:c r="N1410" s="1"/>
      <x:c r="O1410" s="1"/>
      <x:c r="P1410" s="1"/>
      <x:c r="Q1410" s="1"/>
      <x:c r="R1410" s="1"/>
      <x:c r="S1410" s="1"/>
      <x:c r="T1410" s="1"/>
      <x:c r="U1410" s="1"/>
      <x:c r="V1410" s="1"/>
    </x:row>
    <x:row r="1411">
      <x:c r="A1411" s="1"/>
      <x:c r="B1411" s="1"/>
      <x:c r="C1411" s="1"/>
      <x:c r="D1411" s="1"/>
      <x:c r="E1411" s="1"/>
      <x:c r="F1411" s="1"/>
      <x:c r="G1411" s="1"/>
      <x:c r="H1411" s="1"/>
      <x:c r="I1411" s="1"/>
      <x:c r="J1411" s="1"/>
      <x:c r="K1411" s="1"/>
      <x:c r="L1411" s="1"/>
      <x:c r="M1411" s="1"/>
      <x:c r="N1411" s="1"/>
      <x:c r="O1411" s="1"/>
      <x:c r="P1411" s="1"/>
      <x:c r="Q1411" s="1"/>
      <x:c r="R1411" s="1"/>
      <x:c r="S1411" s="1"/>
      <x:c r="T1411" s="1"/>
      <x:c r="U1411" s="1"/>
      <x:c r="V1411" s="1"/>
    </x:row>
    <x:row r="1412">
      <x:c r="A1412" s="1"/>
      <x:c r="B1412" s="1"/>
      <x:c r="C1412" s="1"/>
      <x:c r="D1412" s="1"/>
      <x:c r="E1412" s="1"/>
      <x:c r="F1412" s="1"/>
      <x:c r="G1412" s="1"/>
      <x:c r="H1412" s="1"/>
      <x:c r="I1412" s="1"/>
      <x:c r="J1412" s="1"/>
      <x:c r="K1412" s="1"/>
      <x:c r="L1412" s="1"/>
      <x:c r="M1412" s="1"/>
      <x:c r="N1412" s="1"/>
      <x:c r="O1412" s="1"/>
      <x:c r="P1412" s="1"/>
      <x:c r="Q1412" s="1"/>
      <x:c r="R1412" s="1"/>
      <x:c r="S1412" s="1"/>
      <x:c r="T1412" s="1"/>
      <x:c r="U1412" s="1"/>
      <x:c r="V1412" s="1"/>
    </x:row>
    <x:row r="1413">
      <x:c r="A1413" s="1"/>
      <x:c r="B1413" s="1"/>
      <x:c r="C1413" s="1"/>
      <x:c r="D1413" s="1"/>
      <x:c r="E1413" s="1"/>
      <x:c r="F1413" s="1"/>
      <x:c r="G1413" s="1"/>
      <x:c r="H1413" s="1"/>
      <x:c r="I1413" s="1"/>
      <x:c r="J1413" s="1"/>
      <x:c r="K1413" s="1"/>
      <x:c r="L1413" s="1"/>
      <x:c r="M1413" s="1"/>
      <x:c r="N1413" s="1"/>
      <x:c r="O1413" s="1"/>
      <x:c r="P1413" s="1"/>
      <x:c r="Q1413" s="1"/>
      <x:c r="R1413" s="1"/>
      <x:c r="S1413" s="1"/>
      <x:c r="T1413" s="1"/>
      <x:c r="U1413" s="1"/>
      <x:c r="V1413" s="1"/>
    </x:row>
    <x:row r="1414">
      <x:c r="A1414" s="1"/>
      <x:c r="B1414" s="1"/>
      <x:c r="C1414" s="1"/>
      <x:c r="D1414" s="1"/>
      <x:c r="E1414" s="1"/>
      <x:c r="F1414" s="1"/>
      <x:c r="G1414" s="1"/>
      <x:c r="H1414" s="1"/>
      <x:c r="I1414" s="1"/>
      <x:c r="J1414" s="1"/>
      <x:c r="K1414" s="1"/>
      <x:c r="L1414" s="1"/>
      <x:c r="M1414" s="1"/>
      <x:c r="N1414" s="1"/>
      <x:c r="O1414" s="1"/>
      <x:c r="P1414" s="1"/>
      <x:c r="Q1414" s="1"/>
      <x:c r="R1414" s="1"/>
      <x:c r="S1414" s="1"/>
      <x:c r="T1414" s="1"/>
      <x:c r="U1414" s="1"/>
      <x:c r="V1414" s="1"/>
    </x:row>
    <x:row r="1415">
      <x:c r="A1415" s="1"/>
      <x:c r="B1415" s="1"/>
      <x:c r="C1415" s="1"/>
      <x:c r="D1415" s="1"/>
      <x:c r="E1415" s="1"/>
      <x:c r="F1415" s="1"/>
      <x:c r="G1415" s="1"/>
      <x:c r="H1415" s="1"/>
      <x:c r="I1415" s="1"/>
      <x:c r="J1415" s="1"/>
      <x:c r="K1415" s="1"/>
      <x:c r="L1415" s="1"/>
      <x:c r="M1415" s="1"/>
      <x:c r="N1415" s="1"/>
      <x:c r="O1415" s="1"/>
      <x:c r="P1415" s="1"/>
      <x:c r="Q1415" s="1"/>
      <x:c r="R1415" s="1"/>
      <x:c r="S1415" s="1"/>
      <x:c r="T1415" s="1"/>
      <x:c r="U1415" s="1"/>
      <x:c r="V1415" s="1"/>
    </x:row>
    <x:row r="1416">
      <x:c r="A1416" s="1"/>
      <x:c r="B1416" s="1"/>
      <x:c r="C1416" s="1"/>
      <x:c r="D1416" s="1"/>
      <x:c r="E1416" s="1"/>
      <x:c r="F1416" s="1"/>
      <x:c r="G1416" s="1"/>
      <x:c r="H1416" s="1"/>
      <x:c r="I1416" s="1"/>
      <x:c r="J1416" s="1"/>
      <x:c r="K1416" s="1"/>
      <x:c r="L1416" s="1"/>
      <x:c r="M1416" s="1"/>
      <x:c r="N1416" s="1"/>
      <x:c r="O1416" s="1"/>
      <x:c r="P1416" s="1"/>
      <x:c r="Q1416" s="1"/>
      <x:c r="R1416" s="1"/>
      <x:c r="S1416" s="1"/>
      <x:c r="T1416" s="1"/>
      <x:c r="U1416" s="1"/>
      <x:c r="V1416" s="1"/>
    </x:row>
    <x:row r="1417">
      <x:c r="A1417" s="1"/>
      <x:c r="B1417" s="1"/>
      <x:c r="C1417" s="1"/>
      <x:c r="D1417" s="1"/>
      <x:c r="E1417" s="1"/>
      <x:c r="F1417" s="1"/>
      <x:c r="G1417" s="1"/>
      <x:c r="H1417" s="1"/>
      <x:c r="I1417" s="1"/>
      <x:c r="J1417" s="1"/>
      <x:c r="K1417" s="1"/>
      <x:c r="L1417" s="1"/>
      <x:c r="M1417" s="1"/>
      <x:c r="N1417" s="1"/>
      <x:c r="O1417" s="1"/>
      <x:c r="P1417" s="1"/>
      <x:c r="Q1417" s="1"/>
      <x:c r="R1417" s="1"/>
      <x:c r="S1417" s="1"/>
      <x:c r="T1417" s="1"/>
      <x:c r="U1417" s="1"/>
      <x:c r="V1417" s="1"/>
    </x:row>
    <x:row r="1418">
      <x:c r="A1418" s="1"/>
      <x:c r="B1418" s="1"/>
      <x:c r="C1418" s="1"/>
      <x:c r="D1418" s="1"/>
      <x:c r="E1418" s="1"/>
      <x:c r="F1418" s="1"/>
      <x:c r="G1418" s="1"/>
      <x:c r="H1418" s="1"/>
      <x:c r="I1418" s="1"/>
      <x:c r="J1418" s="1"/>
      <x:c r="K1418" s="1"/>
      <x:c r="L1418" s="1"/>
      <x:c r="M1418" s="1"/>
      <x:c r="N1418" s="1"/>
      <x:c r="O1418" s="1"/>
      <x:c r="P1418" s="1"/>
      <x:c r="Q1418" s="1"/>
      <x:c r="R1418" s="1"/>
      <x:c r="S1418" s="1"/>
      <x:c r="T1418" s="1"/>
      <x:c r="U1418" s="1"/>
      <x:c r="V1418" s="1"/>
    </x:row>
    <x:row r="1419">
      <x:c r="A1419" s="1"/>
      <x:c r="B1419" s="1"/>
      <x:c r="C1419" s="1"/>
      <x:c r="D1419" s="1"/>
      <x:c r="E1419" s="1"/>
      <x:c r="F1419" s="1"/>
      <x:c r="G1419" s="1"/>
      <x:c r="H1419" s="1"/>
      <x:c r="I1419" s="1"/>
      <x:c r="J1419" s="1"/>
      <x:c r="K1419" s="1"/>
      <x:c r="L1419" s="1"/>
      <x:c r="M1419" s="1"/>
      <x:c r="N1419" s="1"/>
      <x:c r="O1419" s="1"/>
      <x:c r="P1419" s="1"/>
      <x:c r="Q1419" s="1"/>
      <x:c r="R1419" s="1"/>
      <x:c r="S1419" s="1"/>
      <x:c r="T1419" s="1"/>
      <x:c r="U1419" s="1"/>
      <x:c r="V1419" s="1"/>
    </x:row>
    <x:row r="1420">
      <x:c r="A1420" s="1"/>
      <x:c r="B1420" s="1"/>
      <x:c r="C1420" s="1"/>
      <x:c r="D1420" s="1"/>
      <x:c r="E1420" s="1"/>
      <x:c r="F1420" s="1"/>
      <x:c r="G1420" s="1"/>
      <x:c r="H1420" s="1"/>
      <x:c r="I1420" s="1"/>
      <x:c r="J1420" s="1"/>
      <x:c r="K1420" s="1"/>
      <x:c r="L1420" s="1"/>
      <x:c r="M1420" s="1"/>
      <x:c r="N1420" s="1"/>
      <x:c r="O1420" s="1"/>
      <x:c r="P1420" s="1"/>
      <x:c r="Q1420" s="1"/>
      <x:c r="R1420" s="1"/>
      <x:c r="S1420" s="1"/>
      <x:c r="T1420" s="1"/>
      <x:c r="U1420" s="1"/>
      <x:c r="V1420" s="1"/>
    </x:row>
    <x:row r="1421">
      <x:c r="A1421" s="1"/>
      <x:c r="B1421" s="1"/>
      <x:c r="C1421" s="1"/>
      <x:c r="D1421" s="1"/>
      <x:c r="E1421" s="1"/>
      <x:c r="F1421" s="1"/>
      <x:c r="G1421" s="1"/>
      <x:c r="H1421" s="1"/>
      <x:c r="I1421" s="1"/>
      <x:c r="J1421" s="1"/>
      <x:c r="K1421" s="1"/>
      <x:c r="L1421" s="1"/>
      <x:c r="M1421" s="1"/>
      <x:c r="N1421" s="1"/>
      <x:c r="O1421" s="1"/>
      <x:c r="P1421" s="1"/>
      <x:c r="Q1421" s="1"/>
      <x:c r="R1421" s="1"/>
      <x:c r="S1421" s="1"/>
      <x:c r="T1421" s="1"/>
      <x:c r="U1421" s="1"/>
      <x:c r="V1421" s="1"/>
    </x:row>
    <x:row r="1422">
      <x:c r="A1422" s="1"/>
      <x:c r="B1422" s="1"/>
      <x:c r="C1422" s="1"/>
      <x:c r="D1422" s="1"/>
      <x:c r="E1422" s="1"/>
      <x:c r="F1422" s="1"/>
      <x:c r="G1422" s="1"/>
      <x:c r="H1422" s="1"/>
      <x:c r="I1422" s="1"/>
      <x:c r="J1422" s="1"/>
      <x:c r="K1422" s="1"/>
      <x:c r="L1422" s="1"/>
      <x:c r="M1422" s="1"/>
      <x:c r="N1422" s="1"/>
      <x:c r="O1422" s="1"/>
      <x:c r="P1422" s="1"/>
      <x:c r="Q1422" s="1"/>
      <x:c r="R1422" s="1"/>
      <x:c r="S1422" s="1"/>
      <x:c r="T1422" s="1"/>
      <x:c r="U1422" s="1"/>
      <x:c r="V1422" s="1"/>
    </x:row>
    <x:row r="1423">
      <x:c r="A1423" s="1"/>
      <x:c r="B1423" s="1"/>
      <x:c r="C1423" s="1"/>
      <x:c r="D1423" s="1"/>
      <x:c r="E1423" s="1"/>
      <x:c r="F1423" s="1"/>
      <x:c r="G1423" s="1"/>
      <x:c r="H1423" s="1"/>
      <x:c r="I1423" s="1"/>
      <x:c r="J1423" s="1"/>
      <x:c r="K1423" s="1"/>
      <x:c r="L1423" s="1"/>
      <x:c r="M1423" s="1"/>
      <x:c r="N1423" s="1"/>
      <x:c r="O1423" s="1"/>
      <x:c r="P1423" s="1"/>
      <x:c r="Q1423" s="1"/>
      <x:c r="R1423" s="1"/>
      <x:c r="S1423" s="1"/>
      <x:c r="T1423" s="1"/>
      <x:c r="U1423" s="1"/>
      <x:c r="V1423" s="1"/>
    </x:row>
    <x:row r="1424">
      <x:c r="A1424" s="1"/>
      <x:c r="B1424" s="1"/>
      <x:c r="C1424" s="1"/>
      <x:c r="D1424" s="1"/>
      <x:c r="E1424" s="1"/>
      <x:c r="F1424" s="1"/>
      <x:c r="G1424" s="1"/>
      <x:c r="H1424" s="1"/>
      <x:c r="I1424" s="1"/>
      <x:c r="J1424" s="1"/>
      <x:c r="K1424" s="1"/>
      <x:c r="L1424" s="1"/>
      <x:c r="M1424" s="1"/>
      <x:c r="N1424" s="1"/>
      <x:c r="O1424" s="1"/>
      <x:c r="P1424" s="1"/>
      <x:c r="Q1424" s="1"/>
      <x:c r="R1424" s="1"/>
      <x:c r="S1424" s="1"/>
      <x:c r="T1424" s="1"/>
      <x:c r="U1424" s="1"/>
      <x:c r="V1424" s="1"/>
    </x:row>
    <x:row r="1425">
      <x:c r="A1425" s="1"/>
      <x:c r="B1425" s="1"/>
      <x:c r="C1425" s="1"/>
      <x:c r="D1425" s="1"/>
      <x:c r="E1425" s="1"/>
      <x:c r="F1425" s="1"/>
      <x:c r="G1425" s="1"/>
      <x:c r="H1425" s="1"/>
      <x:c r="I1425" s="1"/>
      <x:c r="J1425" s="1"/>
      <x:c r="K1425" s="1"/>
      <x:c r="L1425" s="1"/>
      <x:c r="M1425" s="1"/>
      <x:c r="N1425" s="1"/>
      <x:c r="O1425" s="1"/>
      <x:c r="P1425" s="1"/>
      <x:c r="Q1425" s="1"/>
      <x:c r="R1425" s="1"/>
      <x:c r="S1425" s="1"/>
      <x:c r="T1425" s="1"/>
      <x:c r="U1425" s="1"/>
      <x:c r="V1425" s="1"/>
    </x:row>
    <x:row r="1426">
      <x:c r="A1426" s="1"/>
      <x:c r="B1426" s="1"/>
      <x:c r="C1426" s="1"/>
      <x:c r="D1426" s="1"/>
      <x:c r="E1426" s="1"/>
      <x:c r="F1426" s="1"/>
      <x:c r="G1426" s="1"/>
      <x:c r="H1426" s="1"/>
      <x:c r="I1426" s="1"/>
      <x:c r="J1426" s="1"/>
      <x:c r="K1426" s="1"/>
      <x:c r="L1426" s="1"/>
      <x:c r="M1426" s="1"/>
      <x:c r="N1426" s="1"/>
      <x:c r="O1426" s="1"/>
      <x:c r="P1426" s="1"/>
      <x:c r="Q1426" s="1"/>
      <x:c r="R1426" s="1"/>
      <x:c r="S1426" s="1"/>
      <x:c r="T1426" s="1"/>
      <x:c r="U1426" s="1"/>
      <x:c r="V1426" s="1"/>
    </x:row>
    <x:row r="1427">
      <x:c r="A1427" s="1"/>
      <x:c r="B1427" s="1"/>
      <x:c r="C1427" s="1"/>
      <x:c r="D1427" s="1"/>
      <x:c r="E1427" s="1"/>
      <x:c r="F1427" s="1"/>
      <x:c r="G1427" s="1"/>
      <x:c r="H1427" s="1"/>
      <x:c r="I1427" s="1"/>
      <x:c r="J1427" s="1"/>
      <x:c r="K1427" s="1"/>
      <x:c r="L1427" s="1"/>
      <x:c r="M1427" s="1"/>
      <x:c r="N1427" s="1"/>
      <x:c r="O1427" s="1"/>
      <x:c r="P1427" s="1"/>
      <x:c r="Q1427" s="1"/>
      <x:c r="R1427" s="1"/>
      <x:c r="S1427" s="1"/>
      <x:c r="T1427" s="1"/>
      <x:c r="U1427" s="1"/>
      <x:c r="V1427" s="1"/>
    </x:row>
    <x:row r="1428">
      <x:c r="A1428" s="1"/>
      <x:c r="B1428" s="1"/>
      <x:c r="C1428" s="1"/>
      <x:c r="D1428" s="1"/>
      <x:c r="E1428" s="1"/>
      <x:c r="F1428" s="1"/>
      <x:c r="G1428" s="1"/>
      <x:c r="H1428" s="1"/>
      <x:c r="I1428" s="1"/>
      <x:c r="J1428" s="1"/>
      <x:c r="K1428" s="1"/>
      <x:c r="L1428" s="1"/>
      <x:c r="M1428" s="1"/>
      <x:c r="N1428" s="1"/>
      <x:c r="O1428" s="1"/>
      <x:c r="P1428" s="1"/>
      <x:c r="Q1428" s="1"/>
      <x:c r="R1428" s="1"/>
      <x:c r="S1428" s="1"/>
      <x:c r="T1428" s="1"/>
      <x:c r="U1428" s="1"/>
      <x:c r="V1428" s="1"/>
    </x:row>
    <x:row r="1429">
      <x:c r="A1429" s="1"/>
      <x:c r="B1429" s="1"/>
      <x:c r="C1429" s="1"/>
      <x:c r="D1429" s="1"/>
      <x:c r="E1429" s="1"/>
      <x:c r="F1429" s="1"/>
      <x:c r="G1429" s="1"/>
      <x:c r="H1429" s="1"/>
      <x:c r="I1429" s="1"/>
      <x:c r="J1429" s="1"/>
      <x:c r="K1429" s="1"/>
      <x:c r="L1429" s="1"/>
      <x:c r="M1429" s="1"/>
      <x:c r="N1429" s="1"/>
      <x:c r="O1429" s="1"/>
      <x:c r="P1429" s="1"/>
      <x:c r="Q1429" s="1"/>
      <x:c r="R1429" s="1"/>
      <x:c r="S1429" s="1"/>
      <x:c r="T1429" s="1"/>
      <x:c r="U1429" s="1"/>
      <x:c r="V1429" s="1"/>
    </x:row>
    <x:row r="1430">
      <x:c r="A1430" s="1"/>
      <x:c r="B1430" s="1"/>
      <x:c r="C1430" s="1"/>
      <x:c r="D1430" s="1"/>
      <x:c r="E1430" s="1"/>
      <x:c r="F1430" s="1"/>
      <x:c r="G1430" s="1"/>
      <x:c r="H1430" s="1"/>
      <x:c r="I1430" s="1"/>
      <x:c r="J1430" s="1"/>
      <x:c r="K1430" s="1"/>
      <x:c r="L1430" s="1"/>
      <x:c r="M1430" s="1"/>
      <x:c r="N1430" s="1"/>
      <x:c r="O1430" s="1"/>
      <x:c r="P1430" s="1"/>
      <x:c r="Q1430" s="1"/>
      <x:c r="R1430" s="1"/>
      <x:c r="S1430" s="1"/>
      <x:c r="T1430" s="1"/>
      <x:c r="U1430" s="1"/>
      <x:c r="V1430" s="1"/>
    </x:row>
    <x:row r="1431">
      <x:c r="A1431" s="1"/>
      <x:c r="B1431" s="1"/>
      <x:c r="C1431" s="1"/>
      <x:c r="D1431" s="1"/>
      <x:c r="E1431" s="1"/>
      <x:c r="F1431" s="1"/>
      <x:c r="G1431" s="1"/>
      <x:c r="H1431" s="1"/>
      <x:c r="I1431" s="1"/>
      <x:c r="J1431" s="1"/>
      <x:c r="K1431" s="1"/>
      <x:c r="L1431" s="1"/>
      <x:c r="M1431" s="1"/>
      <x:c r="N1431" s="1"/>
      <x:c r="O1431" s="1"/>
      <x:c r="P1431" s="1"/>
      <x:c r="Q1431" s="1"/>
      <x:c r="R1431" s="1"/>
      <x:c r="S1431" s="1"/>
      <x:c r="T1431" s="1"/>
      <x:c r="U1431" s="1"/>
      <x:c r="V1431" s="1"/>
    </x:row>
    <x:row r="1432">
      <x:c r="A1432" s="1"/>
      <x:c r="B1432" s="1"/>
      <x:c r="C1432" s="1"/>
      <x:c r="D1432" s="1"/>
      <x:c r="E1432" s="1"/>
      <x:c r="F1432" s="1"/>
      <x:c r="G1432" s="1"/>
      <x:c r="H1432" s="1"/>
      <x:c r="I1432" s="1"/>
      <x:c r="J1432" s="1"/>
      <x:c r="K1432" s="1"/>
      <x:c r="L1432" s="1"/>
      <x:c r="M1432" s="1"/>
      <x:c r="N1432" s="1"/>
      <x:c r="O1432" s="1"/>
      <x:c r="P1432" s="1"/>
      <x:c r="Q1432" s="1"/>
      <x:c r="R1432" s="1"/>
      <x:c r="S1432" s="1"/>
      <x:c r="T1432" s="1"/>
      <x:c r="U1432" s="1"/>
      <x:c r="V1432" s="1"/>
    </x:row>
    <x:row r="1433">
      <x:c r="A1433" s="1"/>
      <x:c r="B1433" s="1"/>
      <x:c r="C1433" s="1"/>
      <x:c r="D1433" s="1"/>
      <x:c r="E1433" s="1"/>
      <x:c r="F1433" s="1"/>
      <x:c r="G1433" s="1"/>
      <x:c r="H1433" s="1"/>
      <x:c r="I1433" s="1"/>
      <x:c r="J1433" s="1"/>
      <x:c r="K1433" s="1"/>
      <x:c r="L1433" s="1"/>
      <x:c r="M1433" s="1"/>
      <x:c r="N1433" s="1"/>
      <x:c r="O1433" s="1"/>
      <x:c r="P1433" s="1"/>
      <x:c r="Q1433" s="1"/>
      <x:c r="R1433" s="1"/>
      <x:c r="S1433" s="1"/>
      <x:c r="T1433" s="1"/>
      <x:c r="U1433" s="1"/>
      <x:c r="V1433" s="1"/>
    </x:row>
    <x:row r="1434">
      <x:c r="A1434" s="1"/>
      <x:c r="B1434" s="1"/>
      <x:c r="C1434" s="1"/>
      <x:c r="D1434" s="1"/>
      <x:c r="E1434" s="1"/>
      <x:c r="F1434" s="1"/>
      <x:c r="G1434" s="1"/>
      <x:c r="H1434" s="1"/>
      <x:c r="I1434" s="1"/>
      <x:c r="J1434" s="1"/>
      <x:c r="K1434" s="1"/>
      <x:c r="L1434" s="1"/>
      <x:c r="M1434" s="1"/>
      <x:c r="N1434" s="1"/>
      <x:c r="O1434" s="1"/>
      <x:c r="P1434" s="1"/>
      <x:c r="Q1434" s="1"/>
      <x:c r="R1434" s="1"/>
      <x:c r="S1434" s="1"/>
      <x:c r="T1434" s="1"/>
      <x:c r="U1434" s="1"/>
      <x:c r="V1434" s="1"/>
    </x:row>
    <x:row r="1435">
      <x:c r="A1435" s="1"/>
      <x:c r="B1435" s="1"/>
      <x:c r="C1435" s="1"/>
      <x:c r="D1435" s="1"/>
      <x:c r="E1435" s="1"/>
      <x:c r="F1435" s="1"/>
      <x:c r="G1435" s="1"/>
      <x:c r="H1435" s="1"/>
      <x:c r="I1435" s="1"/>
      <x:c r="J1435" s="1"/>
      <x:c r="K1435" s="1"/>
      <x:c r="L1435" s="1"/>
      <x:c r="M1435" s="1"/>
      <x:c r="N1435" s="1"/>
      <x:c r="O1435" s="1"/>
      <x:c r="P1435" s="1"/>
      <x:c r="Q1435" s="1"/>
      <x:c r="R1435" s="1"/>
      <x:c r="S1435" s="1"/>
      <x:c r="T1435" s="1"/>
      <x:c r="U1435" s="1"/>
      <x:c r="V1435" s="1"/>
    </x:row>
    <x:row r="1436">
      <x:c r="A1436" s="1"/>
      <x:c r="B1436" s="1"/>
      <x:c r="C1436" s="1"/>
      <x:c r="D1436" s="1"/>
      <x:c r="E1436" s="1"/>
      <x:c r="F1436" s="1"/>
      <x:c r="G1436" s="1"/>
      <x:c r="H1436" s="1"/>
      <x:c r="I1436" s="1"/>
      <x:c r="J1436" s="1"/>
      <x:c r="K1436" s="1"/>
      <x:c r="L1436" s="1"/>
      <x:c r="M1436" s="1"/>
      <x:c r="N1436" s="1"/>
      <x:c r="O1436" s="1"/>
      <x:c r="P1436" s="1"/>
      <x:c r="Q1436" s="1"/>
      <x:c r="R1436" s="1"/>
      <x:c r="S1436" s="1"/>
      <x:c r="T1436" s="1"/>
      <x:c r="U1436" s="1"/>
      <x:c r="V1436" s="1"/>
    </x:row>
    <x:row r="1437">
      <x:c r="A1437" s="1"/>
      <x:c r="B1437" s="1"/>
      <x:c r="C1437" s="1"/>
      <x:c r="D1437" s="1"/>
      <x:c r="E1437" s="1"/>
      <x:c r="F1437" s="1"/>
      <x:c r="G1437" s="1"/>
      <x:c r="H1437" s="1"/>
      <x:c r="I1437" s="1"/>
      <x:c r="J1437" s="1"/>
      <x:c r="K1437" s="1"/>
      <x:c r="L1437" s="1"/>
      <x:c r="M1437" s="1"/>
      <x:c r="N1437" s="1"/>
      <x:c r="O1437" s="1"/>
      <x:c r="P1437" s="1"/>
      <x:c r="Q1437" s="1"/>
      <x:c r="R1437" s="1"/>
      <x:c r="S1437" s="1"/>
      <x:c r="T1437" s="1"/>
      <x:c r="U1437" s="1"/>
      <x:c r="V1437" s="1"/>
    </x:row>
    <x:row r="1438">
      <x:c r="A1438" s="1"/>
      <x:c r="B1438" s="1"/>
      <x:c r="C1438" s="1"/>
      <x:c r="D1438" s="1"/>
      <x:c r="E1438" s="1"/>
      <x:c r="F1438" s="1"/>
      <x:c r="G1438" s="1"/>
      <x:c r="H1438" s="1"/>
      <x:c r="I1438" s="1"/>
      <x:c r="J1438" s="1"/>
      <x:c r="K1438" s="1"/>
      <x:c r="L1438" s="1"/>
      <x:c r="M1438" s="1"/>
      <x:c r="N1438" s="1"/>
      <x:c r="O1438" s="1"/>
      <x:c r="P1438" s="1"/>
      <x:c r="Q1438" s="1"/>
      <x:c r="R1438" s="1"/>
      <x:c r="S1438" s="1"/>
      <x:c r="T1438" s="1"/>
      <x:c r="U1438" s="1"/>
      <x:c r="V1438" s="1"/>
    </x:row>
    <x:row r="1439">
      <x:c r="A1439" s="1"/>
      <x:c r="B1439" s="1"/>
      <x:c r="C1439" s="1"/>
      <x:c r="D1439" s="1"/>
      <x:c r="E1439" s="1"/>
      <x:c r="F1439" s="1"/>
      <x:c r="G1439" s="1"/>
      <x:c r="H1439" s="1"/>
      <x:c r="I1439" s="1"/>
      <x:c r="J1439" s="1"/>
      <x:c r="K1439" s="1"/>
      <x:c r="L1439" s="1"/>
      <x:c r="M1439" s="1"/>
      <x:c r="N1439" s="1"/>
      <x:c r="O1439" s="1"/>
      <x:c r="P1439" s="1"/>
      <x:c r="Q1439" s="1"/>
      <x:c r="R1439" s="1"/>
      <x:c r="S1439" s="1"/>
      <x:c r="T1439" s="1"/>
      <x:c r="U1439" s="1"/>
      <x:c r="V1439" s="1"/>
    </x:row>
    <x:row r="1440">
      <x:c r="A1440" s="1"/>
      <x:c r="B1440" s="1"/>
      <x:c r="C1440" s="1"/>
      <x:c r="D1440" s="1"/>
      <x:c r="E1440" s="1"/>
      <x:c r="F1440" s="1"/>
      <x:c r="G1440" s="1"/>
      <x:c r="H1440" s="1"/>
      <x:c r="I1440" s="1"/>
      <x:c r="J1440" s="1"/>
      <x:c r="K1440" s="1"/>
      <x:c r="L1440" s="1"/>
      <x:c r="M1440" s="1"/>
      <x:c r="N1440" s="1"/>
      <x:c r="O1440" s="1"/>
      <x:c r="P1440" s="1"/>
      <x:c r="Q1440" s="1"/>
      <x:c r="R1440" s="1"/>
      <x:c r="S1440" s="1"/>
      <x:c r="T1440" s="1"/>
      <x:c r="U1440" s="1"/>
      <x:c r="V1440" s="1"/>
    </x:row>
    <x:row r="1441">
      <x:c r="A1441" s="1"/>
      <x:c r="B1441" s="1"/>
      <x:c r="C1441" s="1"/>
      <x:c r="D1441" s="1"/>
      <x:c r="E1441" s="1"/>
      <x:c r="F1441" s="1"/>
      <x:c r="G1441" s="1"/>
      <x:c r="H1441" s="1"/>
      <x:c r="I1441" s="1"/>
      <x:c r="J1441" s="1"/>
      <x:c r="K1441" s="1"/>
      <x:c r="L1441" s="1"/>
      <x:c r="M1441" s="1"/>
      <x:c r="N1441" s="1"/>
      <x:c r="O1441" s="1"/>
      <x:c r="P1441" s="1"/>
      <x:c r="Q1441" s="1"/>
      <x:c r="R1441" s="1"/>
      <x:c r="S1441" s="1"/>
      <x:c r="T1441" s="1"/>
      <x:c r="U1441" s="1"/>
      <x:c r="V1441" s="1"/>
    </x:row>
    <x:row r="1442">
      <x:c r="A1442" s="1"/>
      <x:c r="B1442" s="1"/>
      <x:c r="C1442" s="1"/>
      <x:c r="D1442" s="1"/>
      <x:c r="E1442" s="1"/>
      <x:c r="F1442" s="1"/>
      <x:c r="G1442" s="1"/>
      <x:c r="H1442" s="1"/>
      <x:c r="I1442" s="1"/>
      <x:c r="J1442" s="1"/>
      <x:c r="K1442" s="1"/>
      <x:c r="L1442" s="1"/>
      <x:c r="M1442" s="1"/>
      <x:c r="N1442" s="1"/>
      <x:c r="O1442" s="1"/>
      <x:c r="P1442" s="1"/>
      <x:c r="Q1442" s="1"/>
      <x:c r="R1442" s="1"/>
      <x:c r="S1442" s="1"/>
      <x:c r="T1442" s="1"/>
      <x:c r="U1442" s="1"/>
      <x:c r="V1442" s="1"/>
    </x:row>
    <x:row r="1443">
      <x:c r="A1443" s="1"/>
      <x:c r="B1443" s="1"/>
      <x:c r="C1443" s="1"/>
      <x:c r="D1443" s="1"/>
      <x:c r="E1443" s="1"/>
      <x:c r="F1443" s="1"/>
      <x:c r="G1443" s="1"/>
      <x:c r="H1443" s="1"/>
      <x:c r="I1443" s="1"/>
      <x:c r="J1443" s="1"/>
      <x:c r="K1443" s="1"/>
      <x:c r="L1443" s="1"/>
      <x:c r="M1443" s="1"/>
      <x:c r="N1443" s="1"/>
      <x:c r="O1443" s="1"/>
      <x:c r="P1443" s="1"/>
      <x:c r="Q1443" s="1"/>
      <x:c r="R1443" s="1"/>
      <x:c r="S1443" s="1"/>
      <x:c r="T1443" s="1"/>
      <x:c r="U1443" s="1"/>
      <x:c r="V1443" s="1"/>
    </x:row>
    <x:row r="1444">
      <x:c r="A1444" s="1"/>
      <x:c r="B1444" s="1"/>
      <x:c r="C1444" s="1"/>
      <x:c r="D1444" s="1"/>
      <x:c r="E1444" s="1"/>
      <x:c r="F1444" s="1"/>
      <x:c r="G1444" s="1"/>
      <x:c r="H1444" s="1"/>
      <x:c r="I1444" s="1"/>
      <x:c r="J1444" s="1"/>
      <x:c r="K1444" s="1"/>
      <x:c r="L1444" s="1"/>
      <x:c r="M1444" s="1"/>
      <x:c r="N1444" s="1"/>
      <x:c r="O1444" s="1"/>
      <x:c r="P1444" s="1"/>
      <x:c r="Q1444" s="1"/>
      <x:c r="R1444" s="1"/>
      <x:c r="S1444" s="1"/>
      <x:c r="T1444" s="1"/>
      <x:c r="U1444" s="1"/>
      <x:c r="V1444" s="1"/>
    </x:row>
    <x:row r="1445">
      <x:c r="A1445" s="1"/>
      <x:c r="B1445" s="1"/>
      <x:c r="C1445" s="1"/>
      <x:c r="D1445" s="1"/>
      <x:c r="E1445" s="1"/>
      <x:c r="F1445" s="1"/>
      <x:c r="G1445" s="1"/>
      <x:c r="H1445" s="1"/>
      <x:c r="I1445" s="1"/>
      <x:c r="J1445" s="1"/>
      <x:c r="K1445" s="1"/>
      <x:c r="L1445" s="1"/>
      <x:c r="M1445" s="1"/>
      <x:c r="N1445" s="1"/>
      <x:c r="O1445" s="1"/>
      <x:c r="P1445" s="1"/>
      <x:c r="Q1445" s="1"/>
      <x:c r="R1445" s="1"/>
      <x:c r="S1445" s="1"/>
      <x:c r="T1445" s="1"/>
      <x:c r="U1445" s="1"/>
      <x:c r="V1445" s="1"/>
    </x:row>
    <x:row r="1446">
      <x:c r="A1446" s="1"/>
      <x:c r="B1446" s="1"/>
      <x:c r="C1446" s="1"/>
      <x:c r="D1446" s="1"/>
      <x:c r="E1446" s="1"/>
      <x:c r="F1446" s="1"/>
      <x:c r="G1446" s="1"/>
      <x:c r="H1446" s="1"/>
      <x:c r="I1446" s="1"/>
      <x:c r="J1446" s="1"/>
      <x:c r="K1446" s="1"/>
      <x:c r="L1446" s="1"/>
      <x:c r="M1446" s="1"/>
      <x:c r="N1446" s="1"/>
      <x:c r="O1446" s="1"/>
      <x:c r="P1446" s="1"/>
      <x:c r="Q1446" s="1"/>
      <x:c r="R1446" s="1"/>
      <x:c r="S1446" s="1"/>
      <x:c r="T1446" s="1"/>
      <x:c r="U1446" s="1"/>
      <x:c r="V1446" s="1"/>
    </x:row>
    <x:row r="1447">
      <x:c r="A1447" s="1"/>
      <x:c r="B1447" s="1"/>
      <x:c r="C1447" s="1"/>
      <x:c r="D1447" s="1"/>
      <x:c r="E1447" s="1"/>
      <x:c r="F1447" s="1"/>
      <x:c r="G1447" s="1"/>
      <x:c r="H1447" s="1"/>
      <x:c r="I1447" s="1"/>
      <x:c r="J1447" s="1"/>
      <x:c r="K1447" s="1"/>
      <x:c r="L1447" s="1"/>
      <x:c r="M1447" s="1"/>
      <x:c r="N1447" s="1"/>
      <x:c r="O1447" s="1"/>
      <x:c r="P1447" s="1"/>
      <x:c r="Q1447" s="1"/>
      <x:c r="R1447" s="1"/>
      <x:c r="S1447" s="1"/>
      <x:c r="T1447" s="1"/>
      <x:c r="U1447" s="1"/>
      <x:c r="V1447" s="1"/>
    </x:row>
    <x:row r="1448">
      <x:c r="A1448" s="1"/>
      <x:c r="B1448" s="1"/>
      <x:c r="C1448" s="1"/>
      <x:c r="D1448" s="1"/>
      <x:c r="E1448" s="1"/>
      <x:c r="F1448" s="1"/>
      <x:c r="G1448" s="1"/>
      <x:c r="H1448" s="1"/>
      <x:c r="I1448" s="1"/>
      <x:c r="J1448" s="1"/>
      <x:c r="K1448" s="1"/>
      <x:c r="L1448" s="1"/>
      <x:c r="M1448" s="1"/>
      <x:c r="N1448" s="1"/>
      <x:c r="O1448" s="1"/>
      <x:c r="P1448" s="1"/>
      <x:c r="Q1448" s="1"/>
      <x:c r="R1448" s="1"/>
      <x:c r="S1448" s="1"/>
      <x:c r="T1448" s="1"/>
      <x:c r="U1448" s="1"/>
      <x:c r="V1448" s="1"/>
    </x:row>
    <x:row r="1449">
      <x:c r="A1449" s="1"/>
      <x:c r="B1449" s="1"/>
      <x:c r="C1449" s="1"/>
      <x:c r="D1449" s="1"/>
      <x:c r="E1449" s="1"/>
      <x:c r="F1449" s="1"/>
      <x:c r="G1449" s="1"/>
      <x:c r="H1449" s="1"/>
      <x:c r="I1449" s="1"/>
      <x:c r="J1449" s="1"/>
      <x:c r="K1449" s="1"/>
      <x:c r="L1449" s="1"/>
      <x:c r="M1449" s="1"/>
      <x:c r="N1449" s="1"/>
      <x:c r="O1449" s="1"/>
      <x:c r="P1449" s="1"/>
      <x:c r="Q1449" s="1"/>
      <x:c r="R1449" s="1"/>
      <x:c r="S1449" s="1"/>
      <x:c r="T1449" s="1"/>
      <x:c r="U1449" s="1"/>
      <x:c r="V1449" s="1"/>
    </x:row>
    <x:row r="1450">
      <x:c r="A1450" s="1"/>
      <x:c r="B1450" s="1"/>
      <x:c r="C1450" s="1"/>
      <x:c r="D1450" s="1"/>
      <x:c r="E1450" s="1"/>
      <x:c r="F1450" s="1"/>
      <x:c r="G1450" s="1"/>
      <x:c r="H1450" s="1"/>
      <x:c r="I1450" s="1"/>
      <x:c r="J1450" s="1"/>
      <x:c r="K1450" s="1"/>
      <x:c r="L1450" s="1"/>
      <x:c r="M1450" s="1"/>
      <x:c r="N1450" s="1"/>
      <x:c r="O1450" s="1"/>
      <x:c r="P1450" s="1"/>
      <x:c r="Q1450" s="1"/>
      <x:c r="R1450" s="1"/>
      <x:c r="S1450" s="1"/>
      <x:c r="T1450" s="1"/>
      <x:c r="U1450" s="1"/>
      <x:c r="V1450" s="1"/>
    </x:row>
    <x:row r="1451">
      <x:c r="A1451" s="1"/>
      <x:c r="B1451" s="1"/>
      <x:c r="C1451" s="1"/>
      <x:c r="D1451" s="1"/>
      <x:c r="E1451" s="1"/>
      <x:c r="F1451" s="1"/>
      <x:c r="G1451" s="1"/>
      <x:c r="H1451" s="1"/>
      <x:c r="I1451" s="1"/>
      <x:c r="J1451" s="1"/>
      <x:c r="K1451" s="1"/>
      <x:c r="L1451" s="1"/>
      <x:c r="M1451" s="1"/>
      <x:c r="N1451" s="1"/>
      <x:c r="O1451" s="1"/>
      <x:c r="P1451" s="1"/>
      <x:c r="Q1451" s="1"/>
      <x:c r="R1451" s="1"/>
      <x:c r="S1451" s="1"/>
      <x:c r="T1451" s="1"/>
      <x:c r="U1451" s="1"/>
      <x:c r="V1451" s="1"/>
    </x:row>
    <x:row r="1452">
      <x:c r="A1452" s="1"/>
      <x:c r="B1452" s="1"/>
      <x:c r="C1452" s="1"/>
      <x:c r="D1452" s="1"/>
      <x:c r="E1452" s="1"/>
      <x:c r="F1452" s="1"/>
      <x:c r="G1452" s="1"/>
      <x:c r="H1452" s="1"/>
      <x:c r="I1452" s="1"/>
      <x:c r="J1452" s="1"/>
      <x:c r="K1452" s="1"/>
      <x:c r="L1452" s="1"/>
      <x:c r="M1452" s="1"/>
      <x:c r="N1452" s="1"/>
      <x:c r="O1452" s="1"/>
      <x:c r="P1452" s="1"/>
      <x:c r="Q1452" s="1"/>
      <x:c r="R1452" s="1"/>
      <x:c r="S1452" s="1"/>
      <x:c r="T1452" s="1"/>
      <x:c r="U1452" s="1"/>
      <x:c r="V1452" s="1"/>
    </x:row>
    <x:row r="1453">
      <x:c r="A1453" s="1"/>
      <x:c r="B1453" s="1"/>
      <x:c r="C1453" s="1"/>
      <x:c r="D1453" s="1"/>
      <x:c r="E1453" s="1"/>
      <x:c r="F1453" s="1"/>
      <x:c r="G1453" s="1"/>
      <x:c r="H1453" s="1"/>
      <x:c r="I1453" s="1"/>
      <x:c r="J1453" s="1"/>
      <x:c r="K1453" s="1"/>
      <x:c r="L1453" s="1"/>
      <x:c r="M1453" s="1"/>
      <x:c r="N1453" s="1"/>
      <x:c r="O1453" s="1"/>
      <x:c r="P1453" s="1"/>
      <x:c r="Q1453" s="1"/>
      <x:c r="R1453" s="1"/>
      <x:c r="S1453" s="1"/>
      <x:c r="T1453" s="1"/>
      <x:c r="U1453" s="1"/>
      <x:c r="V1453" s="1"/>
    </x:row>
    <x:row r="1454">
      <x:c r="A1454" s="1"/>
      <x:c r="B1454" s="1"/>
      <x:c r="C1454" s="1"/>
      <x:c r="D1454" s="1"/>
      <x:c r="E1454" s="1"/>
      <x:c r="F1454" s="1"/>
      <x:c r="G1454" s="1"/>
      <x:c r="H1454" s="1"/>
      <x:c r="I1454" s="1"/>
      <x:c r="J1454" s="1"/>
      <x:c r="K1454" s="1"/>
      <x:c r="L1454" s="1"/>
      <x:c r="M1454" s="1"/>
      <x:c r="N1454" s="1"/>
      <x:c r="O1454" s="1"/>
      <x:c r="P1454" s="1"/>
      <x:c r="Q1454" s="1"/>
      <x:c r="R1454" s="1"/>
      <x:c r="S1454" s="1"/>
      <x:c r="T1454" s="1"/>
      <x:c r="U1454" s="1"/>
      <x:c r="V1454" s="1"/>
    </x:row>
    <x:row r="1455">
      <x:c r="A1455" s="1"/>
      <x:c r="B1455" s="1"/>
      <x:c r="C1455" s="1"/>
      <x:c r="D1455" s="1"/>
      <x:c r="E1455" s="1"/>
      <x:c r="F1455" s="1"/>
      <x:c r="G1455" s="1"/>
      <x:c r="H1455" s="1"/>
      <x:c r="I1455" s="1"/>
      <x:c r="J1455" s="1"/>
      <x:c r="K1455" s="1"/>
      <x:c r="L1455" s="1"/>
      <x:c r="M1455" s="1"/>
      <x:c r="N1455" s="1"/>
      <x:c r="O1455" s="1"/>
      <x:c r="P1455" s="1"/>
      <x:c r="Q1455" s="1"/>
      <x:c r="R1455" s="1"/>
      <x:c r="S1455" s="1"/>
      <x:c r="T1455" s="1"/>
      <x:c r="U1455" s="1"/>
      <x:c r="V1455" s="1"/>
    </x:row>
    <x:row r="1456">
      <x:c r="A1456" s="1"/>
      <x:c r="B1456" s="1"/>
      <x:c r="C1456" s="1"/>
      <x:c r="D1456" s="1"/>
      <x:c r="E1456" s="1"/>
      <x:c r="F1456" s="1"/>
      <x:c r="G1456" s="1"/>
      <x:c r="H1456" s="1"/>
      <x:c r="I1456" s="1"/>
      <x:c r="J1456" s="1"/>
      <x:c r="K1456" s="1"/>
      <x:c r="L1456" s="1"/>
      <x:c r="M1456" s="1"/>
      <x:c r="N1456" s="1"/>
      <x:c r="O1456" s="1"/>
      <x:c r="P1456" s="1"/>
      <x:c r="Q1456" s="1"/>
      <x:c r="R1456" s="1"/>
      <x:c r="S1456" s="1"/>
      <x:c r="T1456" s="1"/>
      <x:c r="U1456" s="1"/>
      <x:c r="V1456" s="1"/>
    </x:row>
    <x:row r="1457">
      <x:c r="A1457" s="1"/>
      <x:c r="B1457" s="1"/>
      <x:c r="C1457" s="1"/>
      <x:c r="D1457" s="1"/>
      <x:c r="E1457" s="1"/>
      <x:c r="F1457" s="1"/>
      <x:c r="G1457" s="1"/>
      <x:c r="H1457" s="1"/>
      <x:c r="I1457" s="1"/>
      <x:c r="J1457" s="1"/>
      <x:c r="K1457" s="1"/>
      <x:c r="L1457" s="1"/>
      <x:c r="M1457" s="1"/>
      <x:c r="N1457" s="1"/>
      <x:c r="O1457" s="1"/>
      <x:c r="P1457" s="1"/>
      <x:c r="Q1457" s="1"/>
      <x:c r="R1457" s="1"/>
      <x:c r="S1457" s="1"/>
      <x:c r="T1457" s="1"/>
      <x:c r="U1457" s="1"/>
      <x:c r="V1457" s="1"/>
    </x:row>
    <x:row r="1458">
      <x:c r="A1458" s="1"/>
      <x:c r="B1458" s="1"/>
      <x:c r="C1458" s="1"/>
      <x:c r="D1458" s="1"/>
      <x:c r="E1458" s="1"/>
      <x:c r="F1458" s="1"/>
      <x:c r="G1458" s="1"/>
      <x:c r="H1458" s="1"/>
      <x:c r="I1458" s="1"/>
      <x:c r="J1458" s="1"/>
      <x:c r="K1458" s="1"/>
      <x:c r="L1458" s="1"/>
      <x:c r="M1458" s="1"/>
      <x:c r="N1458" s="1"/>
      <x:c r="O1458" s="1"/>
      <x:c r="P1458" s="1"/>
      <x:c r="Q1458" s="1"/>
      <x:c r="R1458" s="1"/>
      <x:c r="S1458" s="1"/>
      <x:c r="T1458" s="1"/>
      <x:c r="U1458" s="1"/>
      <x:c r="V1458" s="1"/>
    </x:row>
    <x:row r="1459">
      <x:c r="A1459" s="1"/>
      <x:c r="B1459" s="1"/>
      <x:c r="C1459" s="1"/>
      <x:c r="D1459" s="1"/>
      <x:c r="E1459" s="1"/>
      <x:c r="F1459" s="1"/>
      <x:c r="G1459" s="1"/>
      <x:c r="H1459" s="1"/>
      <x:c r="I1459" s="1"/>
      <x:c r="J1459" s="1"/>
      <x:c r="K1459" s="1"/>
      <x:c r="L1459" s="1"/>
      <x:c r="M1459" s="1"/>
      <x:c r="N1459" s="1"/>
      <x:c r="O1459" s="1"/>
      <x:c r="P1459" s="1"/>
      <x:c r="Q1459" s="1"/>
      <x:c r="R1459" s="1"/>
      <x:c r="S1459" s="1"/>
      <x:c r="T1459" s="1"/>
      <x:c r="U1459" s="1"/>
      <x:c r="V1459" s="1"/>
    </x:row>
    <x:row r="1460">
      <x:c r="A1460" s="1"/>
      <x:c r="B1460" s="1"/>
      <x:c r="C1460" s="1"/>
      <x:c r="D1460" s="1"/>
      <x:c r="E1460" s="1"/>
      <x:c r="F1460" s="1"/>
      <x:c r="G1460" s="1"/>
      <x:c r="H1460" s="1"/>
      <x:c r="I1460" s="1"/>
      <x:c r="J1460" s="1"/>
      <x:c r="K1460" s="1"/>
      <x:c r="L1460" s="1"/>
      <x:c r="M1460" s="1"/>
      <x:c r="N1460" s="1"/>
      <x:c r="O1460" s="1"/>
      <x:c r="P1460" s="1"/>
      <x:c r="Q1460" s="1"/>
      <x:c r="R1460" s="1"/>
      <x:c r="S1460" s="1"/>
      <x:c r="T1460" s="1"/>
      <x:c r="U1460" s="1"/>
      <x:c r="V1460" s="1"/>
    </x:row>
    <x:row r="1461">
      <x:c r="A1461" s="1"/>
      <x:c r="B1461" s="1"/>
      <x:c r="C1461" s="1"/>
      <x:c r="D1461" s="1"/>
      <x:c r="E1461" s="1"/>
      <x:c r="F1461" s="1"/>
      <x:c r="G1461" s="1"/>
      <x:c r="H1461" s="1"/>
      <x:c r="I1461" s="1"/>
      <x:c r="J1461" s="1"/>
      <x:c r="K1461" s="1"/>
      <x:c r="L1461" s="1"/>
      <x:c r="M1461" s="1"/>
      <x:c r="N1461" s="1"/>
      <x:c r="O1461" s="1"/>
      <x:c r="P1461" s="1"/>
      <x:c r="Q1461" s="1"/>
      <x:c r="R1461" s="1"/>
      <x:c r="S1461" s="1"/>
      <x:c r="T1461" s="1"/>
      <x:c r="U1461" s="1"/>
      <x:c r="V1461" s="1"/>
    </x:row>
    <x:row r="1462">
      <x:c r="A1462" s="1"/>
      <x:c r="B1462" s="1"/>
      <x:c r="C1462" s="1"/>
      <x:c r="D1462" s="1"/>
      <x:c r="E1462" s="1"/>
      <x:c r="F1462" s="1"/>
      <x:c r="G1462" s="1"/>
      <x:c r="H1462" s="1"/>
      <x:c r="I1462" s="1"/>
      <x:c r="J1462" s="1"/>
      <x:c r="K1462" s="1"/>
      <x:c r="L1462" s="1"/>
      <x:c r="M1462" s="1"/>
      <x:c r="N1462" s="1"/>
      <x:c r="O1462" s="1"/>
      <x:c r="P1462" s="1"/>
      <x:c r="Q1462" s="1"/>
      <x:c r="R1462" s="1"/>
      <x:c r="S1462" s="1"/>
      <x:c r="T1462" s="1"/>
      <x:c r="U1462" s="1"/>
      <x:c r="V1462" s="1"/>
    </x:row>
    <x:row r="1463">
      <x:c r="A1463" s="1"/>
      <x:c r="B1463" s="1"/>
      <x:c r="C1463" s="1"/>
      <x:c r="D1463" s="1"/>
      <x:c r="E1463" s="1"/>
      <x:c r="F1463" s="1"/>
      <x:c r="G1463" s="1"/>
      <x:c r="H1463" s="1"/>
      <x:c r="I1463" s="1"/>
      <x:c r="J1463" s="1"/>
      <x:c r="K1463" s="1"/>
      <x:c r="L1463" s="1"/>
      <x:c r="M1463" s="1"/>
      <x:c r="N1463" s="1"/>
      <x:c r="O1463" s="1"/>
      <x:c r="P1463" s="1"/>
      <x:c r="Q1463" s="1"/>
      <x:c r="R1463" s="1"/>
      <x:c r="S1463" s="1"/>
      <x:c r="T1463" s="1"/>
      <x:c r="U1463" s="1"/>
      <x:c r="V1463" s="1"/>
    </x:row>
    <x:row r="1464">
      <x:c r="A1464" s="1"/>
      <x:c r="B1464" s="1"/>
      <x:c r="C1464" s="1"/>
      <x:c r="D1464" s="1"/>
      <x:c r="E1464" s="1"/>
      <x:c r="F1464" s="1"/>
      <x:c r="G1464" s="1"/>
      <x:c r="H1464" s="1"/>
      <x:c r="I1464" s="1"/>
      <x:c r="J1464" s="1"/>
      <x:c r="K1464" s="1"/>
      <x:c r="L1464" s="1"/>
      <x:c r="M1464" s="1"/>
      <x:c r="N1464" s="1"/>
      <x:c r="O1464" s="1"/>
      <x:c r="P1464" s="1"/>
      <x:c r="Q1464" s="1"/>
      <x:c r="R1464" s="1"/>
      <x:c r="S1464" s="1"/>
      <x:c r="T1464" s="1"/>
      <x:c r="U1464" s="1"/>
      <x:c r="V1464" s="1"/>
    </x:row>
    <x:row r="1465">
      <x:c r="A1465" s="1"/>
      <x:c r="B1465" s="1"/>
      <x:c r="C1465" s="1"/>
      <x:c r="D1465" s="1"/>
      <x:c r="E1465" s="1"/>
      <x:c r="F1465" s="1"/>
      <x:c r="G1465" s="1"/>
      <x:c r="H1465" s="1"/>
      <x:c r="I1465" s="1"/>
      <x:c r="J1465" s="1"/>
      <x:c r="K1465" s="1"/>
      <x:c r="L1465" s="1"/>
      <x:c r="M1465" s="1"/>
      <x:c r="N1465" s="1"/>
      <x:c r="O1465" s="1"/>
      <x:c r="P1465" s="1"/>
      <x:c r="Q1465" s="1"/>
      <x:c r="R1465" s="1"/>
      <x:c r="S1465" s="1"/>
      <x:c r="T1465" s="1"/>
      <x:c r="U1465" s="1"/>
      <x:c r="V1465" s="1"/>
    </x:row>
    <x:row r="1466">
      <x:c r="A1466" s="1"/>
      <x:c r="B1466" s="1"/>
      <x:c r="C1466" s="1"/>
      <x:c r="D1466" s="1"/>
      <x:c r="E1466" s="1"/>
      <x:c r="F1466" s="1"/>
      <x:c r="G1466" s="1"/>
      <x:c r="H1466" s="1"/>
      <x:c r="I1466" s="1"/>
      <x:c r="J1466" s="1"/>
      <x:c r="K1466" s="1"/>
      <x:c r="L1466" s="1"/>
      <x:c r="M1466" s="1"/>
      <x:c r="N1466" s="1"/>
      <x:c r="O1466" s="1"/>
      <x:c r="P1466" s="1"/>
      <x:c r="Q1466" s="1"/>
      <x:c r="R1466" s="1"/>
      <x:c r="S1466" s="1"/>
      <x:c r="T1466" s="1"/>
      <x:c r="U1466" s="1"/>
      <x:c r="V1466" s="1"/>
    </x:row>
    <x:row r="1467">
      <x:c r="A1467" s="1"/>
      <x:c r="B1467" s="1"/>
      <x:c r="C1467" s="1"/>
      <x:c r="D1467" s="1"/>
      <x:c r="E1467" s="1"/>
      <x:c r="F1467" s="1"/>
      <x:c r="G1467" s="1"/>
      <x:c r="H1467" s="1"/>
      <x:c r="I1467" s="1"/>
      <x:c r="J1467" s="1"/>
      <x:c r="K1467" s="1"/>
      <x:c r="L1467" s="1"/>
      <x:c r="M1467" s="1"/>
      <x:c r="N1467" s="1"/>
      <x:c r="O1467" s="1"/>
      <x:c r="P1467" s="1"/>
      <x:c r="Q1467" s="1"/>
      <x:c r="R1467" s="1"/>
      <x:c r="S1467" s="1"/>
      <x:c r="T1467" s="1"/>
      <x:c r="U1467" s="1"/>
      <x:c r="V1467" s="1"/>
    </x:row>
    <x:row r="1468">
      <x:c r="A1468" s="1"/>
      <x:c r="B1468" s="1"/>
      <x:c r="C1468" s="1"/>
      <x:c r="D1468" s="1"/>
      <x:c r="E1468" s="1"/>
      <x:c r="F1468" s="1"/>
      <x:c r="G1468" s="1"/>
      <x:c r="H1468" s="1"/>
      <x:c r="I1468" s="1"/>
      <x:c r="J1468" s="1"/>
      <x:c r="K1468" s="1"/>
      <x:c r="L1468" s="1"/>
      <x:c r="M1468" s="1"/>
      <x:c r="N1468" s="1"/>
      <x:c r="O1468" s="1"/>
      <x:c r="P1468" s="1"/>
      <x:c r="Q1468" s="1"/>
      <x:c r="R1468" s="1"/>
      <x:c r="S1468" s="1"/>
      <x:c r="T1468" s="1"/>
      <x:c r="U1468" s="1"/>
      <x:c r="V1468" s="1"/>
    </x:row>
    <x:row r="1469">
      <x:c r="A1469" s="1"/>
      <x:c r="B1469" s="1"/>
      <x:c r="C1469" s="1"/>
      <x:c r="D1469" s="1"/>
      <x:c r="E1469" s="1"/>
      <x:c r="F1469" s="1"/>
      <x:c r="G1469" s="1"/>
      <x:c r="H1469" s="1"/>
      <x:c r="I1469" s="1"/>
      <x:c r="J1469" s="1"/>
      <x:c r="K1469" s="1"/>
      <x:c r="L1469" s="1"/>
      <x:c r="M1469" s="1"/>
      <x:c r="N1469" s="1"/>
      <x:c r="O1469" s="1"/>
      <x:c r="P1469" s="1"/>
      <x:c r="Q1469" s="1"/>
      <x:c r="R1469" s="1"/>
      <x:c r="S1469" s="1"/>
      <x:c r="T1469" s="1"/>
      <x:c r="U1469" s="1"/>
      <x:c r="V1469" s="1"/>
    </x:row>
    <x:row r="1470">
      <x:c r="A1470" s="1"/>
      <x:c r="B1470" s="1"/>
      <x:c r="C1470" s="1"/>
      <x:c r="D1470" s="1"/>
      <x:c r="E1470" s="1"/>
      <x:c r="F1470" s="1"/>
      <x:c r="G1470" s="1"/>
      <x:c r="H1470" s="1"/>
      <x:c r="I1470" s="1"/>
      <x:c r="J1470" s="1"/>
      <x:c r="K1470" s="1"/>
      <x:c r="L1470" s="1"/>
      <x:c r="M1470" s="1"/>
      <x:c r="N1470" s="1"/>
      <x:c r="O1470" s="1"/>
      <x:c r="P1470" s="1"/>
      <x:c r="Q1470" s="1"/>
      <x:c r="R1470" s="1"/>
      <x:c r="S1470" s="1"/>
      <x:c r="T1470" s="1"/>
      <x:c r="U1470" s="1"/>
      <x:c r="V1470" s="1"/>
    </x:row>
    <x:row r="1471">
      <x:c r="A1471" s="1"/>
      <x:c r="B1471" s="1"/>
      <x:c r="C1471" s="1"/>
      <x:c r="D1471" s="1"/>
      <x:c r="E1471" s="1"/>
      <x:c r="F1471" s="1"/>
      <x:c r="G1471" s="1"/>
      <x:c r="H1471" s="1"/>
      <x:c r="I1471" s="1"/>
      <x:c r="J1471" s="1"/>
      <x:c r="K1471" s="1"/>
      <x:c r="L1471" s="1"/>
      <x:c r="M1471" s="1"/>
      <x:c r="N1471" s="1"/>
      <x:c r="O1471" s="1"/>
      <x:c r="P1471" s="1"/>
      <x:c r="Q1471" s="1"/>
      <x:c r="R1471" s="1"/>
      <x:c r="S1471" s="1"/>
      <x:c r="T1471" s="1"/>
      <x:c r="U1471" s="1"/>
      <x:c r="V1471" s="1"/>
    </x:row>
    <x:row r="1472">
      <x:c r="A1472" s="1"/>
      <x:c r="B1472" s="1"/>
      <x:c r="C1472" s="1"/>
      <x:c r="D1472" s="1"/>
      <x:c r="E1472" s="1"/>
      <x:c r="F1472" s="1"/>
      <x:c r="G1472" s="1"/>
      <x:c r="H1472" s="1"/>
      <x:c r="I1472" s="1"/>
      <x:c r="J1472" s="1"/>
      <x:c r="K1472" s="1"/>
      <x:c r="L1472" s="1"/>
      <x:c r="M1472" s="1"/>
      <x:c r="N1472" s="1"/>
      <x:c r="O1472" s="1"/>
      <x:c r="P1472" s="1"/>
      <x:c r="Q1472" s="1"/>
      <x:c r="R1472" s="1"/>
      <x:c r="S1472" s="1"/>
      <x:c r="T1472" s="1"/>
      <x:c r="U1472" s="1"/>
      <x:c r="V1472" s="1"/>
    </x:row>
    <x:row r="1473">
      <x:c r="A1473" s="1"/>
      <x:c r="B1473" s="1"/>
      <x:c r="C1473" s="1"/>
      <x:c r="D1473" s="1"/>
      <x:c r="E1473" s="1"/>
      <x:c r="F1473" s="1"/>
      <x:c r="G1473" s="1"/>
      <x:c r="H1473" s="1"/>
      <x:c r="I1473" s="1"/>
      <x:c r="J1473" s="1"/>
      <x:c r="K1473" s="1"/>
      <x:c r="L1473" s="1"/>
      <x:c r="M1473" s="1"/>
      <x:c r="N1473" s="1"/>
      <x:c r="O1473" s="1"/>
      <x:c r="P1473" s="1"/>
      <x:c r="Q1473" s="1"/>
      <x:c r="R1473" s="1"/>
      <x:c r="S1473" s="1"/>
      <x:c r="T1473" s="1"/>
      <x:c r="U1473" s="1"/>
      <x:c r="V1473" s="1"/>
    </x:row>
    <x:row r="1474">
      <x:c r="A1474" s="1"/>
      <x:c r="B1474" s="1"/>
      <x:c r="C1474" s="1"/>
      <x:c r="D1474" s="1"/>
      <x:c r="E1474" s="1"/>
      <x:c r="F1474" s="1"/>
      <x:c r="G1474" s="1"/>
      <x:c r="H1474" s="1"/>
      <x:c r="I1474" s="1"/>
      <x:c r="J1474" s="1"/>
      <x:c r="K1474" s="1"/>
      <x:c r="L1474" s="1"/>
      <x:c r="M1474" s="1"/>
      <x:c r="N1474" s="1"/>
      <x:c r="O1474" s="1"/>
      <x:c r="P1474" s="1"/>
      <x:c r="Q1474" s="1"/>
      <x:c r="R1474" s="1"/>
      <x:c r="S1474" s="1"/>
      <x:c r="T1474" s="1"/>
      <x:c r="U1474" s="1"/>
      <x:c r="V1474" s="1"/>
    </x:row>
    <x:row r="1475">
      <x:c r="A1475" s="1"/>
      <x:c r="B1475" s="1"/>
      <x:c r="C1475" s="1"/>
      <x:c r="D1475" s="1"/>
      <x:c r="E1475" s="1"/>
      <x:c r="F1475" s="1"/>
      <x:c r="G1475" s="1"/>
      <x:c r="H1475" s="1"/>
      <x:c r="I1475" s="1"/>
      <x:c r="J1475" s="1"/>
      <x:c r="K1475" s="1"/>
      <x:c r="L1475" s="1"/>
      <x:c r="M1475" s="1"/>
      <x:c r="N1475" s="1"/>
      <x:c r="O1475" s="1"/>
      <x:c r="P1475" s="1"/>
      <x:c r="Q1475" s="1"/>
      <x:c r="R1475" s="1"/>
      <x:c r="S1475" s="1"/>
      <x:c r="T1475" s="1"/>
      <x:c r="U1475" s="1"/>
      <x:c r="V1475" s="1"/>
    </x:row>
    <x:row r="1476">
      <x:c r="A1476" s="1"/>
      <x:c r="B1476" s="1"/>
      <x:c r="C1476" s="1"/>
      <x:c r="D1476" s="1"/>
      <x:c r="E1476" s="1"/>
      <x:c r="F1476" s="1"/>
      <x:c r="G1476" s="1"/>
      <x:c r="H1476" s="1"/>
      <x:c r="I1476" s="1"/>
      <x:c r="J1476" s="1"/>
      <x:c r="K1476" s="1"/>
      <x:c r="L1476" s="1"/>
      <x:c r="M1476" s="1"/>
      <x:c r="N1476" s="1"/>
      <x:c r="O1476" s="1"/>
      <x:c r="P1476" s="1"/>
      <x:c r="Q1476" s="1"/>
      <x:c r="R1476" s="1"/>
      <x:c r="S1476" s="1"/>
      <x:c r="T1476" s="1"/>
      <x:c r="U1476" s="1"/>
      <x:c r="V1476" s="1"/>
    </x:row>
    <x:row r="1477">
      <x:c r="A1477" s="1"/>
      <x:c r="B1477" s="1"/>
      <x:c r="C1477" s="1"/>
      <x:c r="D1477" s="1"/>
      <x:c r="E1477" s="1"/>
      <x:c r="F1477" s="1"/>
      <x:c r="G1477" s="1"/>
      <x:c r="H1477" s="1"/>
      <x:c r="I1477" s="1"/>
      <x:c r="J1477" s="1"/>
      <x:c r="K1477" s="1"/>
      <x:c r="L1477" s="1"/>
      <x:c r="M1477" s="1"/>
      <x:c r="N1477" s="1"/>
      <x:c r="O1477" s="1"/>
      <x:c r="P1477" s="1"/>
      <x:c r="Q1477" s="1"/>
      <x:c r="R1477" s="1"/>
      <x:c r="S1477" s="1"/>
      <x:c r="T1477" s="1"/>
      <x:c r="U1477" s="1"/>
      <x:c r="V1477" s="1"/>
    </x:row>
    <x:row r="1478">
      <x:c r="A1478" s="1"/>
      <x:c r="B1478" s="1"/>
      <x:c r="C1478" s="1"/>
      <x:c r="D1478" s="1"/>
      <x:c r="E1478" s="1"/>
      <x:c r="F1478" s="1"/>
      <x:c r="G1478" s="1"/>
      <x:c r="H1478" s="1"/>
      <x:c r="I1478" s="1"/>
      <x:c r="J1478" s="1"/>
      <x:c r="K1478" s="1"/>
      <x:c r="L1478" s="1"/>
      <x:c r="M1478" s="1"/>
      <x:c r="N1478" s="1"/>
      <x:c r="O1478" s="1"/>
      <x:c r="P1478" s="1"/>
      <x:c r="Q1478" s="1"/>
      <x:c r="R1478" s="1"/>
      <x:c r="S1478" s="1"/>
      <x:c r="T1478" s="1"/>
      <x:c r="U1478" s="1"/>
      <x:c r="V1478" s="1"/>
    </x:row>
    <x:row r="1479">
      <x:c r="A1479" s="1"/>
      <x:c r="B1479" s="1"/>
      <x:c r="C1479" s="1"/>
      <x:c r="D1479" s="1"/>
      <x:c r="E1479" s="1"/>
      <x:c r="F1479" s="1"/>
      <x:c r="G1479" s="1"/>
      <x:c r="H1479" s="1"/>
      <x:c r="I1479" s="1"/>
      <x:c r="J1479" s="1"/>
      <x:c r="K1479" s="1"/>
      <x:c r="L1479" s="1"/>
      <x:c r="M1479" s="1"/>
      <x:c r="N1479" s="1"/>
      <x:c r="O1479" s="1"/>
      <x:c r="P1479" s="1"/>
      <x:c r="Q1479" s="1"/>
      <x:c r="R1479" s="1"/>
      <x:c r="S1479" s="1"/>
      <x:c r="T1479" s="1"/>
      <x:c r="U1479" s="1"/>
      <x:c r="V1479" s="1"/>
    </x:row>
    <x:row r="1480">
      <x:c r="A1480" s="1"/>
      <x:c r="B1480" s="1"/>
      <x:c r="C1480" s="1"/>
      <x:c r="D1480" s="1"/>
      <x:c r="E1480" s="1"/>
      <x:c r="F1480" s="1"/>
      <x:c r="G1480" s="1"/>
      <x:c r="H1480" s="1"/>
      <x:c r="I1480" s="1"/>
      <x:c r="J1480" s="1"/>
      <x:c r="K1480" s="1"/>
      <x:c r="L1480" s="1"/>
      <x:c r="M1480" s="1"/>
      <x:c r="N1480" s="1"/>
      <x:c r="O1480" s="1"/>
      <x:c r="P1480" s="1"/>
      <x:c r="Q1480" s="1"/>
      <x:c r="R1480" s="1"/>
      <x:c r="S1480" s="1"/>
      <x:c r="T1480" s="1"/>
      <x:c r="U1480" s="1"/>
      <x:c r="V1480" s="1"/>
    </x:row>
    <x:row r="1481">
      <x:c r="A1481" s="1"/>
      <x:c r="B1481" s="1"/>
      <x:c r="C1481" s="1"/>
      <x:c r="D1481" s="1"/>
      <x:c r="E1481" s="1"/>
      <x:c r="F1481" s="1"/>
      <x:c r="G1481" s="1"/>
      <x:c r="H1481" s="1"/>
      <x:c r="I1481" s="1"/>
      <x:c r="J1481" s="1"/>
      <x:c r="K1481" s="1"/>
      <x:c r="L1481" s="1"/>
      <x:c r="M1481" s="1"/>
      <x:c r="N1481" s="1"/>
      <x:c r="O1481" s="1"/>
      <x:c r="P1481" s="1"/>
      <x:c r="Q1481" s="1"/>
      <x:c r="R1481" s="1"/>
      <x:c r="S1481" s="1"/>
      <x:c r="T1481" s="1"/>
      <x:c r="U1481" s="1"/>
      <x:c r="V1481" s="1"/>
    </x:row>
    <x:row r="1482">
      <x:c r="A1482" s="1"/>
      <x:c r="B1482" s="1"/>
      <x:c r="C1482" s="1"/>
      <x:c r="D1482" s="1"/>
      <x:c r="E1482" s="1"/>
      <x:c r="F1482" s="1"/>
      <x:c r="G1482" s="1"/>
      <x:c r="H1482" s="1"/>
      <x:c r="I1482" s="1"/>
      <x:c r="J1482" s="1"/>
      <x:c r="K1482" s="1"/>
      <x:c r="L1482" s="1"/>
      <x:c r="M1482" s="1"/>
      <x:c r="N1482" s="1"/>
      <x:c r="O1482" s="1"/>
      <x:c r="P1482" s="1"/>
      <x:c r="Q1482" s="1"/>
      <x:c r="R1482" s="1"/>
      <x:c r="S1482" s="1"/>
      <x:c r="T1482" s="1"/>
      <x:c r="U1482" s="1"/>
      <x:c r="V1482" s="1"/>
    </x:row>
    <x:row r="1483">
      <x:c r="A1483" s="1"/>
      <x:c r="B1483" s="1"/>
      <x:c r="C1483" s="1"/>
      <x:c r="D1483" s="1"/>
      <x:c r="E1483" s="1"/>
      <x:c r="F1483" s="1"/>
      <x:c r="G1483" s="1"/>
      <x:c r="H1483" s="1"/>
      <x:c r="I1483" s="1"/>
      <x:c r="J1483" s="1"/>
      <x:c r="K1483" s="1"/>
      <x:c r="L1483" s="1"/>
      <x:c r="M1483" s="1"/>
      <x:c r="N1483" s="1"/>
      <x:c r="O1483" s="1"/>
      <x:c r="P1483" s="1"/>
      <x:c r="Q1483" s="1"/>
      <x:c r="R1483" s="1"/>
      <x:c r="S1483" s="1"/>
      <x:c r="T1483" s="1"/>
      <x:c r="U1483" s="1"/>
      <x:c r="V1483" s="1"/>
    </x:row>
    <x:row r="1484">
      <x:c r="A1484" s="1"/>
      <x:c r="B1484" s="1"/>
      <x:c r="C1484" s="1"/>
      <x:c r="D1484" s="1"/>
      <x:c r="E1484" s="1"/>
      <x:c r="F1484" s="1"/>
      <x:c r="G1484" s="1"/>
      <x:c r="H1484" s="1"/>
      <x:c r="I1484" s="1"/>
      <x:c r="J1484" s="1"/>
      <x:c r="K1484" s="1"/>
      <x:c r="L1484" s="1"/>
      <x:c r="M1484" s="1"/>
      <x:c r="N1484" s="1"/>
      <x:c r="O1484" s="1"/>
      <x:c r="P1484" s="1"/>
      <x:c r="Q1484" s="1"/>
      <x:c r="R1484" s="1"/>
      <x:c r="S1484" s="1"/>
      <x:c r="T1484" s="1"/>
      <x:c r="U1484" s="1"/>
      <x:c r="V1484" s="1"/>
    </x:row>
    <x:row r="1485">
      <x:c r="A1485" s="1"/>
      <x:c r="B1485" s="1"/>
      <x:c r="C1485" s="1"/>
      <x:c r="D1485" s="1"/>
      <x:c r="E1485" s="1"/>
      <x:c r="F1485" s="1"/>
      <x:c r="G1485" s="1"/>
      <x:c r="H1485" s="1"/>
      <x:c r="I1485" s="1"/>
      <x:c r="J1485" s="1"/>
      <x:c r="K1485" s="1"/>
      <x:c r="L1485" s="1"/>
      <x:c r="M1485" s="1"/>
      <x:c r="N1485" s="1"/>
      <x:c r="O1485" s="1"/>
      <x:c r="P1485" s="1"/>
      <x:c r="Q1485" s="1"/>
      <x:c r="R1485" s="1"/>
      <x:c r="S1485" s="1"/>
      <x:c r="T1485" s="1"/>
      <x:c r="U1485" s="1"/>
      <x:c r="V1485" s="1"/>
    </x:row>
    <x:row r="1486">
      <x:c r="A1486" s="1"/>
      <x:c r="B1486" s="1"/>
      <x:c r="C1486" s="1"/>
      <x:c r="D1486" s="1"/>
      <x:c r="E1486" s="1"/>
      <x:c r="F1486" s="1"/>
      <x:c r="G1486" s="1"/>
      <x:c r="H1486" s="1"/>
      <x:c r="I1486" s="1"/>
      <x:c r="J1486" s="1"/>
      <x:c r="K1486" s="1"/>
      <x:c r="L1486" s="1"/>
      <x:c r="M1486" s="1"/>
      <x:c r="N1486" s="1"/>
      <x:c r="O1486" s="1"/>
      <x:c r="P1486" s="1"/>
      <x:c r="Q1486" s="1"/>
      <x:c r="R1486" s="1"/>
      <x:c r="S1486" s="1"/>
      <x:c r="T1486" s="1"/>
      <x:c r="U1486" s="1"/>
      <x:c r="V1486" s="1"/>
    </x:row>
    <x:row r="1487">
      <x:c r="A1487" s="1"/>
      <x:c r="B1487" s="1"/>
      <x:c r="C1487" s="1"/>
      <x:c r="D1487" s="1"/>
      <x:c r="E1487" s="1"/>
      <x:c r="F1487" s="1"/>
      <x:c r="G1487" s="1"/>
      <x:c r="H1487" s="1"/>
      <x:c r="I1487" s="1"/>
      <x:c r="J1487" s="1"/>
      <x:c r="K1487" s="1"/>
      <x:c r="L1487" s="1"/>
      <x:c r="M1487" s="1"/>
      <x:c r="N1487" s="1"/>
      <x:c r="O1487" s="1"/>
      <x:c r="P1487" s="1"/>
      <x:c r="Q1487" s="1"/>
      <x:c r="R1487" s="1"/>
      <x:c r="S1487" s="1"/>
      <x:c r="T1487" s="1"/>
      <x:c r="U1487" s="1"/>
      <x:c r="V1487" s="1"/>
    </x:row>
    <x:row r="1488">
      <x:c r="A1488" s="1"/>
      <x:c r="B1488" s="1"/>
      <x:c r="C1488" s="1"/>
      <x:c r="D1488" s="1"/>
      <x:c r="E1488" s="1"/>
      <x:c r="F1488" s="1"/>
      <x:c r="G1488" s="1"/>
      <x:c r="H1488" s="1"/>
      <x:c r="I1488" s="1"/>
      <x:c r="J1488" s="1"/>
      <x:c r="K1488" s="1"/>
      <x:c r="L1488" s="1"/>
      <x:c r="M1488" s="1"/>
      <x:c r="N1488" s="1"/>
      <x:c r="O1488" s="1"/>
      <x:c r="P1488" s="1"/>
      <x:c r="Q1488" s="1"/>
      <x:c r="R1488" s="1"/>
      <x:c r="S1488" s="1"/>
      <x:c r="T1488" s="1"/>
      <x:c r="U1488" s="1"/>
      <x:c r="V1488" s="1"/>
    </x:row>
    <x:row r="1489">
      <x:c r="A1489" s="1"/>
      <x:c r="B1489" s="1"/>
      <x:c r="C1489" s="1"/>
      <x:c r="D1489" s="1"/>
      <x:c r="E1489" s="1"/>
      <x:c r="F1489" s="1"/>
      <x:c r="G1489" s="1"/>
      <x:c r="H1489" s="1"/>
      <x:c r="I1489" s="1"/>
      <x:c r="J1489" s="1"/>
      <x:c r="K1489" s="1"/>
      <x:c r="L1489" s="1"/>
      <x:c r="M1489" s="1"/>
      <x:c r="N1489" s="1"/>
      <x:c r="O1489" s="1"/>
      <x:c r="P1489" s="1"/>
      <x:c r="Q1489" s="1"/>
      <x:c r="R1489" s="1"/>
      <x:c r="S1489" s="1"/>
      <x:c r="T1489" s="1"/>
      <x:c r="U1489" s="1"/>
      <x:c r="V1489" s="1"/>
    </x:row>
    <x:row r="1490">
      <x:c r="A1490" s="1"/>
      <x:c r="B1490" s="1"/>
      <x:c r="C1490" s="1"/>
      <x:c r="D1490" s="1"/>
      <x:c r="E1490" s="1"/>
      <x:c r="F1490" s="1"/>
      <x:c r="G1490" s="1"/>
      <x:c r="H1490" s="1"/>
      <x:c r="I1490" s="1"/>
      <x:c r="J1490" s="1"/>
      <x:c r="K1490" s="1"/>
      <x:c r="L1490" s="1"/>
      <x:c r="M1490" s="1"/>
      <x:c r="N1490" s="1"/>
      <x:c r="O1490" s="1"/>
      <x:c r="P1490" s="1"/>
      <x:c r="Q1490" s="1"/>
      <x:c r="R1490" s="1"/>
      <x:c r="S1490" s="1"/>
      <x:c r="T1490" s="1"/>
      <x:c r="U1490" s="1"/>
      <x:c r="V1490" s="1"/>
    </x:row>
    <x:row r="1491">
      <x:c r="A1491" s="1"/>
      <x:c r="B1491" s="1"/>
      <x:c r="C1491" s="1"/>
      <x:c r="D1491" s="1"/>
      <x:c r="E1491" s="1"/>
      <x:c r="F1491" s="1"/>
      <x:c r="G1491" s="1"/>
      <x:c r="H1491" s="1"/>
      <x:c r="I1491" s="1"/>
      <x:c r="J1491" s="1"/>
      <x:c r="K1491" s="1"/>
      <x:c r="L1491" s="1"/>
      <x:c r="M1491" s="1"/>
      <x:c r="N1491" s="1"/>
      <x:c r="O1491" s="1"/>
      <x:c r="P1491" s="1"/>
      <x:c r="Q1491" s="1"/>
      <x:c r="R1491" s="1"/>
      <x:c r="S1491" s="1"/>
      <x:c r="T1491" s="1"/>
      <x:c r="U1491" s="1"/>
      <x:c r="V1491" s="1"/>
    </x:row>
    <x:row r="1492">
      <x:c r="A1492" s="1"/>
      <x:c r="B1492" s="1"/>
      <x:c r="C1492" s="1"/>
      <x:c r="D1492" s="1"/>
      <x:c r="E1492" s="1"/>
      <x:c r="F1492" s="1"/>
      <x:c r="G1492" s="1"/>
      <x:c r="H1492" s="1"/>
      <x:c r="I1492" s="1"/>
      <x:c r="J1492" s="1"/>
      <x:c r="K1492" s="1"/>
      <x:c r="L1492" s="1"/>
      <x:c r="M1492" s="1"/>
      <x:c r="N1492" s="1"/>
      <x:c r="O1492" s="1"/>
      <x:c r="P1492" s="1"/>
      <x:c r="Q1492" s="1"/>
      <x:c r="R1492" s="1"/>
      <x:c r="S1492" s="1"/>
      <x:c r="T1492" s="1"/>
      <x:c r="U1492" s="1"/>
      <x:c r="V1492" s="1"/>
    </x:row>
    <x:row r="1493">
      <x:c r="A1493" s="1"/>
      <x:c r="B1493" s="1"/>
      <x:c r="C1493" s="1"/>
      <x:c r="D1493" s="1"/>
      <x:c r="E1493" s="1"/>
      <x:c r="F1493" s="1"/>
      <x:c r="G1493" s="1"/>
      <x:c r="H1493" s="1"/>
      <x:c r="I1493" s="1"/>
      <x:c r="J1493" s="1"/>
      <x:c r="K1493" s="1"/>
      <x:c r="L1493" s="1"/>
      <x:c r="M1493" s="1"/>
      <x:c r="N1493" s="1"/>
      <x:c r="O1493" s="1"/>
      <x:c r="P1493" s="1"/>
      <x:c r="Q1493" s="1"/>
      <x:c r="R1493" s="1"/>
      <x:c r="S1493" s="1"/>
      <x:c r="T1493" s="1"/>
      <x:c r="U1493" s="1"/>
      <x:c r="V1493" s="1"/>
    </x:row>
    <x:row r="1494">
      <x:c r="A1494" s="1"/>
      <x:c r="B1494" s="1"/>
      <x:c r="C1494" s="1"/>
      <x:c r="D1494" s="1"/>
      <x:c r="E1494" s="1"/>
      <x:c r="F1494" s="1"/>
      <x:c r="G1494" s="1"/>
      <x:c r="H1494" s="1"/>
      <x:c r="I1494" s="1"/>
      <x:c r="J1494" s="1"/>
      <x:c r="K1494" s="1"/>
      <x:c r="L1494" s="1"/>
      <x:c r="M1494" s="1"/>
      <x:c r="N1494" s="1"/>
      <x:c r="O1494" s="1"/>
      <x:c r="P1494" s="1"/>
      <x:c r="Q1494" s="1"/>
      <x:c r="R1494" s="1"/>
      <x:c r="S1494" s="1"/>
      <x:c r="T1494" s="1"/>
      <x:c r="U1494" s="1"/>
      <x:c r="V1494" s="1"/>
    </x:row>
    <x:row r="1495">
      <x:c r="A1495" s="1"/>
      <x:c r="B1495" s="1"/>
      <x:c r="C1495" s="1"/>
      <x:c r="D1495" s="1"/>
      <x:c r="E1495" s="1"/>
      <x:c r="F1495" s="1"/>
      <x:c r="G1495" s="1"/>
      <x:c r="H1495" s="1"/>
      <x:c r="I1495" s="1"/>
      <x:c r="J1495" s="1"/>
      <x:c r="K1495" s="1"/>
      <x:c r="L1495" s="1"/>
      <x:c r="M1495" s="1"/>
      <x:c r="N1495" s="1"/>
      <x:c r="O1495" s="1"/>
      <x:c r="P1495" s="1"/>
      <x:c r="Q1495" s="1"/>
      <x:c r="R1495" s="1"/>
      <x:c r="S1495" s="1"/>
      <x:c r="T1495" s="1"/>
      <x:c r="U1495" s="1"/>
      <x:c r="V1495" s="1"/>
    </x:row>
    <x:row r="1496">
      <x:c r="A1496" s="1"/>
      <x:c r="B1496" s="1"/>
      <x:c r="C1496" s="1"/>
      <x:c r="D1496" s="1"/>
      <x:c r="E1496" s="1"/>
      <x:c r="F1496" s="1"/>
      <x:c r="G1496" s="1"/>
      <x:c r="H1496" s="1"/>
      <x:c r="I1496" s="1"/>
      <x:c r="J1496" s="1"/>
      <x:c r="K1496" s="1"/>
      <x:c r="L1496" s="1"/>
      <x:c r="M1496" s="1"/>
      <x:c r="N1496" s="1"/>
      <x:c r="O1496" s="1"/>
      <x:c r="P1496" s="1"/>
      <x:c r="Q1496" s="1"/>
      <x:c r="R1496" s="1"/>
      <x:c r="S1496" s="1"/>
      <x:c r="T1496" s="1"/>
      <x:c r="U1496" s="1"/>
      <x:c r="V1496" s="1"/>
    </x:row>
    <x:row r="1497">
      <x:c r="A1497" s="1"/>
      <x:c r="B1497" s="1"/>
      <x:c r="C1497" s="1"/>
      <x:c r="D1497" s="1"/>
      <x:c r="E1497" s="1"/>
      <x:c r="F1497" s="1"/>
      <x:c r="G1497" s="1"/>
      <x:c r="H1497" s="1"/>
      <x:c r="I1497" s="1"/>
      <x:c r="J1497" s="1"/>
      <x:c r="K1497" s="1"/>
      <x:c r="L1497" s="1"/>
      <x:c r="M1497" s="1"/>
      <x:c r="N1497" s="1"/>
      <x:c r="O1497" s="1"/>
      <x:c r="P1497" s="1"/>
      <x:c r="Q1497" s="1"/>
      <x:c r="R1497" s="1"/>
      <x:c r="S1497" s="1"/>
      <x:c r="T1497" s="1"/>
      <x:c r="U1497" s="1"/>
      <x:c r="V1497" s="1"/>
    </x:row>
    <x:row r="1498">
      <x:c r="A1498" s="1"/>
      <x:c r="B1498" s="1"/>
      <x:c r="C1498" s="1"/>
      <x:c r="D1498" s="1"/>
      <x:c r="E1498" s="1"/>
      <x:c r="F1498" s="1"/>
      <x:c r="G1498" s="1"/>
      <x:c r="H1498" s="1"/>
      <x:c r="I1498" s="1"/>
      <x:c r="J1498" s="1"/>
      <x:c r="K1498" s="1"/>
      <x:c r="L1498" s="1"/>
      <x:c r="M1498" s="1"/>
      <x:c r="N1498" s="1"/>
      <x:c r="O1498" s="1"/>
      <x:c r="P1498" s="1"/>
      <x:c r="Q1498" s="1"/>
      <x:c r="R1498" s="1"/>
      <x:c r="S1498" s="1"/>
      <x:c r="T1498" s="1"/>
      <x:c r="U1498" s="1"/>
      <x:c r="V1498" s="1"/>
    </x:row>
    <x:row r="1499">
      <x:c r="A1499" s="1"/>
      <x:c r="B1499" s="1"/>
      <x:c r="C1499" s="1"/>
      <x:c r="D1499" s="1"/>
      <x:c r="E1499" s="1"/>
      <x:c r="F1499" s="1"/>
      <x:c r="G1499" s="1"/>
      <x:c r="H1499" s="1"/>
      <x:c r="I1499" s="1"/>
      <x:c r="J1499" s="1"/>
      <x:c r="K1499" s="1"/>
      <x:c r="L1499" s="1"/>
      <x:c r="M1499" s="1"/>
      <x:c r="N1499" s="1"/>
      <x:c r="O1499" s="1"/>
      <x:c r="P1499" s="1"/>
      <x:c r="Q1499" s="1"/>
      <x:c r="R1499" s="1"/>
      <x:c r="S1499" s="1"/>
      <x:c r="T1499" s="1"/>
      <x:c r="U1499" s="1"/>
      <x:c r="V1499" s="1"/>
    </x:row>
    <x:row r="1500">
      <x:c r="A1500" s="1"/>
      <x:c r="B1500" s="1"/>
      <x:c r="C1500" s="1"/>
      <x:c r="D1500" s="1"/>
      <x:c r="E1500" s="1"/>
      <x:c r="F1500" s="1"/>
      <x:c r="G1500" s="1"/>
      <x:c r="H1500" s="1"/>
      <x:c r="I1500" s="1"/>
      <x:c r="J1500" s="1"/>
      <x:c r="K1500" s="1"/>
      <x:c r="L1500" s="1"/>
      <x:c r="M1500" s="1"/>
      <x:c r="N1500" s="1"/>
      <x:c r="O1500" s="1"/>
      <x:c r="P1500" s="1"/>
      <x:c r="Q1500" s="1"/>
      <x:c r="R1500" s="1"/>
      <x:c r="S1500" s="1"/>
      <x:c r="T1500" s="1"/>
      <x:c r="U1500" s="1"/>
      <x:c r="V1500" s="1"/>
    </x:row>
    <x:row r="1501">
      <x:c r="A1501" s="1"/>
      <x:c r="B1501" s="1"/>
      <x:c r="C1501" s="1"/>
      <x:c r="D1501" s="1"/>
      <x:c r="E1501" s="1"/>
      <x:c r="F1501" s="1"/>
      <x:c r="G1501" s="1"/>
      <x:c r="H1501" s="1"/>
      <x:c r="I1501" s="1"/>
      <x:c r="J1501" s="1"/>
      <x:c r="K1501" s="1"/>
      <x:c r="L1501" s="1"/>
      <x:c r="M1501" s="1"/>
      <x:c r="N1501" s="1"/>
      <x:c r="O1501" s="1"/>
      <x:c r="P1501" s="1"/>
      <x:c r="Q1501" s="1"/>
      <x:c r="R1501" s="1"/>
      <x:c r="S1501" s="1"/>
      <x:c r="T1501" s="1"/>
      <x:c r="U1501" s="1"/>
      <x:c r="V1501" s="1"/>
    </x:row>
    <x:row r="1502">
      <x:c r="A1502" s="1"/>
      <x:c r="B1502" s="1"/>
      <x:c r="C1502" s="1"/>
      <x:c r="D1502" s="1"/>
      <x:c r="E1502" s="1"/>
      <x:c r="F1502" s="1"/>
      <x:c r="G1502" s="1"/>
      <x:c r="H1502" s="1"/>
      <x:c r="I1502" s="1"/>
      <x:c r="J1502" s="1"/>
      <x:c r="K1502" s="1"/>
      <x:c r="L1502" s="1"/>
      <x:c r="M1502" s="1"/>
      <x:c r="N1502" s="1"/>
      <x:c r="O1502" s="1"/>
      <x:c r="P1502" s="1"/>
      <x:c r="Q1502" s="1"/>
      <x:c r="R1502" s="1"/>
      <x:c r="S1502" s="1"/>
      <x:c r="T1502" s="1"/>
      <x:c r="U1502" s="1"/>
      <x:c r="V1502" s="1"/>
    </x:row>
    <x:row r="1503">
      <x:c r="A1503" s="1"/>
      <x:c r="B1503" s="1"/>
      <x:c r="C1503" s="1"/>
      <x:c r="D1503" s="1"/>
      <x:c r="E1503" s="1"/>
      <x:c r="F1503" s="1"/>
      <x:c r="G1503" s="1"/>
      <x:c r="H1503" s="1"/>
      <x:c r="I1503" s="1"/>
      <x:c r="J1503" s="1"/>
      <x:c r="K1503" s="1"/>
      <x:c r="L1503" s="1"/>
      <x:c r="M1503" s="1"/>
      <x:c r="N1503" s="1"/>
      <x:c r="O1503" s="1"/>
      <x:c r="P1503" s="1"/>
      <x:c r="Q1503" s="1"/>
      <x:c r="R1503" s="1"/>
      <x:c r="S1503" s="1"/>
      <x:c r="T1503" s="1"/>
      <x:c r="U1503" s="1"/>
      <x:c r="V1503" s="1"/>
    </x:row>
    <x:row r="1504">
      <x:c r="A1504" s="1"/>
      <x:c r="B1504" s="1"/>
      <x:c r="C1504" s="1"/>
      <x:c r="D1504" s="1"/>
      <x:c r="E1504" s="1"/>
      <x:c r="F1504" s="1"/>
      <x:c r="G1504" s="1"/>
      <x:c r="H1504" s="1"/>
      <x:c r="I1504" s="1"/>
      <x:c r="J1504" s="1"/>
      <x:c r="K1504" s="1"/>
      <x:c r="L1504" s="1"/>
      <x:c r="M1504" s="1"/>
      <x:c r="N1504" s="1"/>
      <x:c r="O1504" s="1"/>
      <x:c r="P1504" s="1"/>
      <x:c r="Q1504" s="1"/>
      <x:c r="R1504" s="1"/>
      <x:c r="S1504" s="1"/>
      <x:c r="T1504" s="1"/>
      <x:c r="U1504" s="1"/>
      <x:c r="V1504" s="1"/>
    </x:row>
    <x:row r="1505">
      <x:c r="A1505" s="1"/>
      <x:c r="B1505" s="1"/>
      <x:c r="C1505" s="1"/>
      <x:c r="D1505" s="1"/>
      <x:c r="E1505" s="1"/>
      <x:c r="F1505" s="1"/>
      <x:c r="G1505" s="1"/>
      <x:c r="H1505" s="1"/>
      <x:c r="I1505" s="1"/>
      <x:c r="J1505" s="1"/>
      <x:c r="K1505" s="1"/>
      <x:c r="L1505" s="1"/>
      <x:c r="M1505" s="1"/>
      <x:c r="N1505" s="1"/>
      <x:c r="O1505" s="1"/>
      <x:c r="P1505" s="1"/>
      <x:c r="Q1505" s="1"/>
      <x:c r="R1505" s="1"/>
      <x:c r="S1505" s="1"/>
      <x:c r="T1505" s="1"/>
      <x:c r="U1505" s="1"/>
      <x:c r="V1505" s="1"/>
    </x:row>
    <x:row r="1506">
      <x:c r="A1506" s="1"/>
      <x:c r="B1506" s="1"/>
      <x:c r="C1506" s="1"/>
      <x:c r="D1506" s="1"/>
      <x:c r="E1506" s="1"/>
      <x:c r="F1506" s="1"/>
      <x:c r="G1506" s="1"/>
      <x:c r="H1506" s="1"/>
      <x:c r="I1506" s="1"/>
      <x:c r="J1506" s="1"/>
      <x:c r="K1506" s="1"/>
      <x:c r="L1506" s="1"/>
      <x:c r="M1506" s="1"/>
      <x:c r="N1506" s="1"/>
      <x:c r="O1506" s="1"/>
      <x:c r="P1506" s="1"/>
      <x:c r="Q1506" s="1"/>
      <x:c r="R1506" s="1"/>
      <x:c r="S1506" s="1"/>
      <x:c r="T1506" s="1"/>
      <x:c r="U1506" s="1"/>
      <x:c r="V1506" s="1"/>
    </x:row>
    <x:row r="1507">
      <x:c r="A1507" s="1"/>
      <x:c r="B1507" s="1"/>
      <x:c r="C1507" s="1"/>
      <x:c r="D1507" s="1"/>
      <x:c r="E1507" s="1"/>
      <x:c r="F1507" s="1"/>
      <x:c r="G1507" s="1"/>
      <x:c r="H1507" s="1"/>
      <x:c r="I1507" s="1"/>
      <x:c r="J1507" s="1"/>
      <x:c r="K1507" s="1"/>
      <x:c r="L1507" s="1"/>
      <x:c r="M1507" s="1"/>
      <x:c r="N1507" s="1"/>
      <x:c r="O1507" s="1"/>
      <x:c r="P1507" s="1"/>
      <x:c r="Q1507" s="1"/>
      <x:c r="R1507" s="1"/>
      <x:c r="S1507" s="1"/>
      <x:c r="T1507" s="1"/>
      <x:c r="U1507" s="1"/>
      <x:c r="V1507" s="1"/>
    </x:row>
    <x:row r="1508">
      <x:c r="A1508" s="1"/>
      <x:c r="B1508" s="1"/>
      <x:c r="C1508" s="1"/>
      <x:c r="D1508" s="1"/>
      <x:c r="E1508" s="1"/>
      <x:c r="F1508" s="1"/>
      <x:c r="G1508" s="1"/>
      <x:c r="H1508" s="1"/>
      <x:c r="I1508" s="1"/>
      <x:c r="J1508" s="1"/>
      <x:c r="K1508" s="1"/>
      <x:c r="L1508" s="1"/>
      <x:c r="M1508" s="1"/>
      <x:c r="N1508" s="1"/>
      <x:c r="O1508" s="1"/>
      <x:c r="P1508" s="1"/>
      <x:c r="Q1508" s="1"/>
      <x:c r="R1508" s="1"/>
      <x:c r="S1508" s="1"/>
      <x:c r="T1508" s="1"/>
      <x:c r="U1508" s="1"/>
      <x:c r="V1508" s="1"/>
    </x:row>
    <x:row r="1509">
      <x:c r="A1509" s="1"/>
      <x:c r="B1509" s="1"/>
      <x:c r="C1509" s="1"/>
      <x:c r="D1509" s="1"/>
      <x:c r="E1509" s="1"/>
      <x:c r="F1509" s="1"/>
      <x:c r="G1509" s="1"/>
      <x:c r="H1509" s="1"/>
      <x:c r="I1509" s="1"/>
      <x:c r="J1509" s="1"/>
      <x:c r="K1509" s="1"/>
      <x:c r="L1509" s="1"/>
      <x:c r="M1509" s="1"/>
      <x:c r="N1509" s="1"/>
      <x:c r="O1509" s="1"/>
      <x:c r="P1509" s="1"/>
      <x:c r="Q1509" s="1"/>
      <x:c r="R1509" s="1"/>
      <x:c r="S1509" s="1"/>
      <x:c r="T1509" s="1"/>
      <x:c r="U1509" s="1"/>
      <x:c r="V1509" s="1"/>
    </x:row>
    <x:row r="1510">
      <x:c r="A1510" s="1"/>
      <x:c r="B1510" s="1"/>
      <x:c r="C1510" s="1"/>
      <x:c r="D1510" s="1"/>
      <x:c r="E1510" s="1"/>
      <x:c r="F1510" s="1"/>
      <x:c r="G1510" s="1"/>
      <x:c r="H1510" s="1"/>
      <x:c r="I1510" s="1"/>
      <x:c r="J1510" s="1"/>
      <x:c r="K1510" s="1"/>
      <x:c r="L1510" s="1"/>
      <x:c r="M1510" s="1"/>
      <x:c r="N1510" s="1"/>
      <x:c r="O1510" s="1"/>
      <x:c r="P1510" s="1"/>
      <x:c r="Q1510" s="1"/>
      <x:c r="R1510" s="1"/>
      <x:c r="S1510" s="1"/>
      <x:c r="T1510" s="1"/>
      <x:c r="U1510" s="1"/>
      <x:c r="V1510" s="1"/>
    </x:row>
    <x:row r="1511">
      <x:c r="A1511" s="1"/>
      <x:c r="B1511" s="1"/>
      <x:c r="C1511" s="1"/>
      <x:c r="D1511" s="1"/>
      <x:c r="E1511" s="1"/>
      <x:c r="F1511" s="1"/>
      <x:c r="G1511" s="1"/>
      <x:c r="H1511" s="1"/>
      <x:c r="I1511" s="1"/>
      <x:c r="J1511" s="1"/>
      <x:c r="K1511" s="1"/>
      <x:c r="L1511" s="1"/>
      <x:c r="M1511" s="1"/>
      <x:c r="N1511" s="1"/>
      <x:c r="O1511" s="1"/>
      <x:c r="P1511" s="1"/>
      <x:c r="Q1511" s="1"/>
      <x:c r="R1511" s="1"/>
      <x:c r="S1511" s="1"/>
      <x:c r="T1511" s="1"/>
      <x:c r="U1511" s="1"/>
      <x:c r="V1511" s="1"/>
    </x:row>
    <x:row r="1512">
      <x:c r="A1512" s="1"/>
      <x:c r="B1512" s="1"/>
      <x:c r="C1512" s="1"/>
      <x:c r="D1512" s="1"/>
      <x:c r="E1512" s="1"/>
      <x:c r="F1512" s="1"/>
      <x:c r="G1512" s="1"/>
      <x:c r="H1512" s="1"/>
      <x:c r="I1512" s="1"/>
      <x:c r="J1512" s="1"/>
      <x:c r="K1512" s="1"/>
      <x:c r="L1512" s="1"/>
      <x:c r="M1512" s="1"/>
      <x:c r="N1512" s="1"/>
      <x:c r="O1512" s="1"/>
      <x:c r="P1512" s="1"/>
      <x:c r="Q1512" s="1"/>
      <x:c r="R1512" s="1"/>
      <x:c r="S1512" s="1"/>
      <x:c r="T1512" s="1"/>
      <x:c r="U1512" s="1"/>
      <x:c r="V1512" s="1"/>
    </x:row>
    <x:row r="1513">
      <x:c r="A1513" s="1"/>
      <x:c r="B1513" s="1"/>
      <x:c r="C1513" s="1"/>
      <x:c r="D1513" s="1"/>
      <x:c r="E1513" s="1"/>
      <x:c r="F1513" s="1"/>
      <x:c r="G1513" s="1"/>
      <x:c r="H1513" s="1"/>
      <x:c r="I1513" s="1"/>
      <x:c r="J1513" s="1"/>
      <x:c r="K1513" s="1"/>
      <x:c r="L1513" s="1"/>
      <x:c r="M1513" s="1"/>
      <x:c r="N1513" s="1"/>
      <x:c r="O1513" s="1"/>
      <x:c r="P1513" s="1"/>
      <x:c r="Q1513" s="1"/>
      <x:c r="R1513" s="1"/>
      <x:c r="S1513" s="1"/>
      <x:c r="T1513" s="1"/>
      <x:c r="U1513" s="1"/>
      <x:c r="V1513" s="1"/>
    </x:row>
    <x:row r="1514">
      <x:c r="A1514" s="1"/>
      <x:c r="B1514" s="1"/>
      <x:c r="C1514" s="1"/>
      <x:c r="D1514" s="1"/>
      <x:c r="E1514" s="1"/>
      <x:c r="F1514" s="1"/>
      <x:c r="G1514" s="1"/>
      <x:c r="H1514" s="1"/>
      <x:c r="I1514" s="1"/>
      <x:c r="J1514" s="1"/>
      <x:c r="K1514" s="1"/>
      <x:c r="L1514" s="1"/>
      <x:c r="M1514" s="1"/>
      <x:c r="N1514" s="1"/>
      <x:c r="O1514" s="1"/>
      <x:c r="P1514" s="1"/>
      <x:c r="Q1514" s="1"/>
      <x:c r="R1514" s="1"/>
      <x:c r="S1514" s="1"/>
      <x:c r="T1514" s="1"/>
      <x:c r="U1514" s="1"/>
      <x:c r="V1514" s="1"/>
    </x:row>
    <x:row r="1515">
      <x:c r="A1515" s="1"/>
      <x:c r="B1515" s="1"/>
      <x:c r="C1515" s="1"/>
      <x:c r="D1515" s="1"/>
      <x:c r="E1515" s="1"/>
      <x:c r="F1515" s="1"/>
      <x:c r="G1515" s="1"/>
      <x:c r="H1515" s="1"/>
      <x:c r="I1515" s="1"/>
      <x:c r="J1515" s="1"/>
      <x:c r="K1515" s="1"/>
      <x:c r="L1515" s="1"/>
      <x:c r="M1515" s="1"/>
      <x:c r="N1515" s="1"/>
      <x:c r="O1515" s="1"/>
      <x:c r="P1515" s="1"/>
      <x:c r="Q1515" s="1"/>
      <x:c r="R1515" s="1"/>
      <x:c r="S1515" s="1"/>
      <x:c r="T1515" s="1"/>
      <x:c r="U1515" s="1"/>
      <x:c r="V1515" s="1"/>
    </x:row>
    <x:row r="1516">
      <x:c r="A1516" s="1"/>
      <x:c r="B1516" s="1"/>
      <x:c r="C1516" s="1"/>
      <x:c r="D1516" s="1"/>
      <x:c r="E1516" s="1"/>
      <x:c r="F1516" s="1"/>
      <x:c r="G1516" s="1"/>
      <x:c r="H1516" s="1"/>
      <x:c r="I1516" s="1"/>
      <x:c r="J1516" s="1"/>
      <x:c r="K1516" s="1"/>
      <x:c r="L1516" s="1"/>
      <x:c r="M1516" s="1"/>
      <x:c r="N1516" s="1"/>
      <x:c r="O1516" s="1"/>
      <x:c r="P1516" s="1"/>
      <x:c r="Q1516" s="1"/>
      <x:c r="R1516" s="1"/>
      <x:c r="S1516" s="1"/>
      <x:c r="T1516" s="1"/>
      <x:c r="U1516" s="1"/>
      <x:c r="V1516" s="1"/>
    </x:row>
    <x:row r="1517">
      <x:c r="A1517" s="1"/>
      <x:c r="B1517" s="1"/>
      <x:c r="C1517" s="1"/>
      <x:c r="D1517" s="1"/>
      <x:c r="E1517" s="1"/>
      <x:c r="F1517" s="1"/>
      <x:c r="G1517" s="1"/>
      <x:c r="H1517" s="1"/>
      <x:c r="I1517" s="1"/>
      <x:c r="J1517" s="1"/>
      <x:c r="K1517" s="1"/>
      <x:c r="L1517" s="1"/>
      <x:c r="M1517" s="1"/>
      <x:c r="N1517" s="1"/>
      <x:c r="O1517" s="1"/>
      <x:c r="P1517" s="1"/>
      <x:c r="Q1517" s="1"/>
      <x:c r="R1517" s="1"/>
      <x:c r="S1517" s="1"/>
      <x:c r="T1517" s="1"/>
      <x:c r="U1517" s="1"/>
      <x:c r="V1517" s="1"/>
    </x:row>
    <x:row r="1518">
      <x:c r="A1518" s="1"/>
      <x:c r="B1518" s="1"/>
      <x:c r="C1518" s="1"/>
      <x:c r="D1518" s="1"/>
      <x:c r="E1518" s="1"/>
      <x:c r="F1518" s="1"/>
      <x:c r="G1518" s="1"/>
      <x:c r="H1518" s="1"/>
      <x:c r="I1518" s="1"/>
      <x:c r="J1518" s="1"/>
      <x:c r="K1518" s="1"/>
      <x:c r="L1518" s="1"/>
      <x:c r="M1518" s="1"/>
      <x:c r="N1518" s="1"/>
      <x:c r="O1518" s="1"/>
      <x:c r="P1518" s="1"/>
      <x:c r="Q1518" s="1"/>
      <x:c r="R1518" s="1"/>
      <x:c r="S1518" s="1"/>
      <x:c r="T1518" s="1"/>
      <x:c r="U1518" s="1"/>
      <x:c r="V1518" s="1"/>
    </x:row>
    <x:row r="1519">
      <x:c r="A1519" s="1"/>
      <x:c r="B1519" s="1"/>
      <x:c r="C1519" s="1"/>
      <x:c r="D1519" s="1"/>
      <x:c r="E1519" s="1"/>
      <x:c r="F1519" s="1"/>
      <x:c r="G1519" s="1"/>
      <x:c r="H1519" s="1"/>
      <x:c r="I1519" s="1"/>
      <x:c r="J1519" s="1"/>
      <x:c r="K1519" s="1"/>
      <x:c r="L1519" s="1"/>
      <x:c r="M1519" s="1"/>
      <x:c r="N1519" s="1"/>
      <x:c r="O1519" s="1"/>
      <x:c r="P1519" s="1"/>
      <x:c r="Q1519" s="1"/>
      <x:c r="R1519" s="1"/>
      <x:c r="S1519" s="1"/>
      <x:c r="T1519" s="1"/>
      <x:c r="U1519" s="1"/>
      <x:c r="V1519" s="1"/>
    </x:row>
    <x:row r="1520">
      <x:c r="A1520" s="1"/>
      <x:c r="B1520" s="1"/>
      <x:c r="C1520" s="1"/>
      <x:c r="D1520" s="1"/>
      <x:c r="E1520" s="1"/>
      <x:c r="F1520" s="1"/>
      <x:c r="G1520" s="1"/>
      <x:c r="H1520" s="1"/>
      <x:c r="I1520" s="1"/>
      <x:c r="J1520" s="1"/>
      <x:c r="K1520" s="1"/>
      <x:c r="L1520" s="1"/>
      <x:c r="M1520" s="1"/>
      <x:c r="N1520" s="1"/>
      <x:c r="O1520" s="1"/>
      <x:c r="P1520" s="1"/>
      <x:c r="Q1520" s="1"/>
      <x:c r="R1520" s="1"/>
      <x:c r="S1520" s="1"/>
      <x:c r="T1520" s="1"/>
      <x:c r="U1520" s="1"/>
      <x:c r="V1520" s="1"/>
    </x:row>
    <x:row r="1521">
      <x:c r="A1521" s="1"/>
      <x:c r="B1521" s="1"/>
      <x:c r="C1521" s="1"/>
      <x:c r="D1521" s="1"/>
      <x:c r="E1521" s="1"/>
      <x:c r="F1521" s="1"/>
      <x:c r="G1521" s="1"/>
      <x:c r="H1521" s="1"/>
      <x:c r="I1521" s="1"/>
      <x:c r="J1521" s="1"/>
      <x:c r="K1521" s="1"/>
      <x:c r="L1521" s="1"/>
      <x:c r="M1521" s="1"/>
      <x:c r="N1521" s="1"/>
      <x:c r="O1521" s="1"/>
      <x:c r="P1521" s="1"/>
      <x:c r="Q1521" s="1"/>
      <x:c r="R1521" s="1"/>
      <x:c r="S1521" s="1"/>
      <x:c r="T1521" s="1"/>
      <x:c r="U1521" s="1"/>
      <x:c r="V1521" s="1"/>
    </x:row>
    <x:row r="1522">
      <x:c r="A1522" s="1"/>
      <x:c r="B1522" s="1"/>
      <x:c r="C1522" s="1"/>
      <x:c r="D1522" s="1"/>
      <x:c r="E1522" s="1"/>
      <x:c r="F1522" s="1"/>
      <x:c r="G1522" s="1"/>
      <x:c r="H1522" s="1"/>
      <x:c r="I1522" s="1"/>
      <x:c r="J1522" s="1"/>
      <x:c r="K1522" s="1"/>
      <x:c r="L1522" s="1"/>
      <x:c r="M1522" s="1"/>
      <x:c r="N1522" s="1"/>
      <x:c r="O1522" s="1"/>
      <x:c r="P1522" s="1"/>
      <x:c r="Q1522" s="1"/>
      <x:c r="R1522" s="1"/>
      <x:c r="S1522" s="1"/>
      <x:c r="T1522" s="1"/>
      <x:c r="U1522" s="1"/>
      <x:c r="V1522" s="1"/>
    </x:row>
    <x:row r="1523">
      <x:c r="A1523" s="1"/>
      <x:c r="B1523" s="1"/>
      <x:c r="C1523" s="1"/>
      <x:c r="D1523" s="1"/>
      <x:c r="E1523" s="1"/>
      <x:c r="F1523" s="1"/>
      <x:c r="G1523" s="1"/>
      <x:c r="H1523" s="1"/>
      <x:c r="I1523" s="1"/>
      <x:c r="J1523" s="1"/>
      <x:c r="K1523" s="1"/>
      <x:c r="L1523" s="1"/>
      <x:c r="M1523" s="1"/>
      <x:c r="N1523" s="1"/>
      <x:c r="O1523" s="1"/>
      <x:c r="P1523" s="1"/>
      <x:c r="Q1523" s="1"/>
      <x:c r="R1523" s="1"/>
      <x:c r="S1523" s="1"/>
      <x:c r="T1523" s="1"/>
      <x:c r="U1523" s="1"/>
      <x:c r="V1523" s="1"/>
    </x:row>
    <x:row r="1524">
      <x:c r="A1524" s="1"/>
      <x:c r="B1524" s="1"/>
      <x:c r="C1524" s="1"/>
      <x:c r="D1524" s="1"/>
      <x:c r="E1524" s="1"/>
      <x:c r="F1524" s="1"/>
      <x:c r="G1524" s="1"/>
      <x:c r="H1524" s="1"/>
      <x:c r="I1524" s="1"/>
      <x:c r="J1524" s="1"/>
      <x:c r="K1524" s="1"/>
      <x:c r="L1524" s="1"/>
      <x:c r="M1524" s="1"/>
      <x:c r="N1524" s="1"/>
      <x:c r="O1524" s="1"/>
      <x:c r="P1524" s="1"/>
      <x:c r="Q1524" s="1"/>
      <x:c r="R1524" s="1"/>
      <x:c r="S1524" s="1"/>
      <x:c r="T1524" s="1"/>
      <x:c r="U1524" s="1"/>
      <x:c r="V1524" s="1"/>
    </x:row>
    <x:row r="1525">
      <x:c r="A1525" s="1"/>
      <x:c r="B1525" s="1"/>
      <x:c r="C1525" s="1"/>
      <x:c r="D1525" s="1"/>
      <x:c r="E1525" s="1"/>
      <x:c r="F1525" s="1"/>
      <x:c r="G1525" s="1"/>
      <x:c r="H1525" s="1"/>
      <x:c r="I1525" s="1"/>
      <x:c r="J1525" s="1"/>
      <x:c r="K1525" s="1"/>
      <x:c r="L1525" s="1"/>
      <x:c r="M1525" s="1"/>
      <x:c r="N1525" s="1"/>
      <x:c r="O1525" s="1"/>
      <x:c r="P1525" s="1"/>
      <x:c r="Q1525" s="1"/>
      <x:c r="R1525" s="1"/>
      <x:c r="S1525" s="1"/>
      <x:c r="T1525" s="1"/>
      <x:c r="U1525" s="1"/>
      <x:c r="V1525" s="1"/>
    </x:row>
    <x:row r="1526">
      <x:c r="A1526" s="1"/>
      <x:c r="B1526" s="1"/>
      <x:c r="C1526" s="1"/>
      <x:c r="D1526" s="1"/>
      <x:c r="E1526" s="1"/>
      <x:c r="F1526" s="1"/>
      <x:c r="G1526" s="1"/>
      <x:c r="H1526" s="1"/>
      <x:c r="I1526" s="1"/>
      <x:c r="J1526" s="1"/>
      <x:c r="K1526" s="1"/>
      <x:c r="L1526" s="1"/>
      <x:c r="M1526" s="1"/>
      <x:c r="N1526" s="1"/>
      <x:c r="O1526" s="1"/>
      <x:c r="P1526" s="1"/>
      <x:c r="Q1526" s="1"/>
      <x:c r="R1526" s="1"/>
      <x:c r="S1526" s="1"/>
      <x:c r="T1526" s="1"/>
      <x:c r="U1526" s="1"/>
      <x:c r="V1526" s="1"/>
    </x:row>
    <x:row r="1527">
      <x:c r="A1527" s="1"/>
      <x:c r="B1527" s="1"/>
      <x:c r="C1527" s="1"/>
      <x:c r="D1527" s="1"/>
      <x:c r="E1527" s="1"/>
      <x:c r="F1527" s="1"/>
      <x:c r="G1527" s="1"/>
      <x:c r="H1527" s="1"/>
      <x:c r="I1527" s="1"/>
      <x:c r="J1527" s="1"/>
      <x:c r="K1527" s="1"/>
      <x:c r="L1527" s="1"/>
      <x:c r="M1527" s="1"/>
      <x:c r="N1527" s="1"/>
      <x:c r="O1527" s="1"/>
      <x:c r="P1527" s="1"/>
      <x:c r="Q1527" s="1"/>
      <x:c r="R1527" s="1"/>
      <x:c r="S1527" s="1"/>
      <x:c r="T1527" s="1"/>
      <x:c r="U1527" s="1"/>
      <x:c r="V1527" s="1"/>
    </x:row>
    <x:row r="1528">
      <x:c r="A1528" s="1"/>
      <x:c r="B1528" s="1"/>
      <x:c r="C1528" s="1"/>
      <x:c r="D1528" s="1"/>
      <x:c r="E1528" s="1"/>
      <x:c r="F1528" s="1"/>
      <x:c r="G1528" s="1"/>
      <x:c r="H1528" s="1"/>
      <x:c r="I1528" s="1"/>
      <x:c r="J1528" s="1"/>
      <x:c r="K1528" s="1"/>
      <x:c r="L1528" s="1"/>
      <x:c r="M1528" s="1"/>
      <x:c r="N1528" s="1"/>
      <x:c r="O1528" s="1"/>
      <x:c r="P1528" s="1"/>
      <x:c r="Q1528" s="1"/>
      <x:c r="R1528" s="1"/>
      <x:c r="S1528" s="1"/>
      <x:c r="T1528" s="1"/>
      <x:c r="U1528" s="1"/>
      <x:c r="V1528" s="1"/>
    </x:row>
    <x:row r="1529">
      <x:c r="A1529" s="1"/>
      <x:c r="B1529" s="1"/>
      <x:c r="C1529" s="1"/>
      <x:c r="D1529" s="1"/>
      <x:c r="E1529" s="1"/>
      <x:c r="F1529" s="1"/>
      <x:c r="G1529" s="1"/>
      <x:c r="H1529" s="1"/>
      <x:c r="I1529" s="1"/>
      <x:c r="J1529" s="1"/>
      <x:c r="K1529" s="1"/>
      <x:c r="L1529" s="1"/>
      <x:c r="M1529" s="1"/>
      <x:c r="N1529" s="1"/>
      <x:c r="O1529" s="1"/>
      <x:c r="P1529" s="1"/>
      <x:c r="Q1529" s="1"/>
      <x:c r="R1529" s="1"/>
      <x:c r="S1529" s="1"/>
      <x:c r="T1529" s="1"/>
      <x:c r="U1529" s="1"/>
      <x:c r="V1529" s="1"/>
    </x:row>
    <x:row r="1530">
      <x:c r="A1530" s="1"/>
      <x:c r="B1530" s="1"/>
      <x:c r="C1530" s="1"/>
      <x:c r="D1530" s="1"/>
      <x:c r="E1530" s="1"/>
      <x:c r="F1530" s="1"/>
      <x:c r="G1530" s="1"/>
      <x:c r="H1530" s="1"/>
      <x:c r="I1530" s="1"/>
      <x:c r="J1530" s="1"/>
      <x:c r="K1530" s="1"/>
      <x:c r="L1530" s="1"/>
      <x:c r="M1530" s="1"/>
      <x:c r="N1530" s="1"/>
      <x:c r="O1530" s="1"/>
      <x:c r="P1530" s="1"/>
      <x:c r="Q1530" s="1"/>
      <x:c r="R1530" s="1"/>
      <x:c r="S1530" s="1"/>
      <x:c r="T1530" s="1"/>
      <x:c r="U1530" s="1"/>
      <x:c r="V1530" s="1"/>
    </x:row>
    <x:row r="1531">
      <x:c r="A1531" s="1"/>
      <x:c r="B1531" s="1"/>
      <x:c r="C1531" s="1"/>
      <x:c r="D1531" s="1"/>
      <x:c r="E1531" s="1"/>
      <x:c r="F1531" s="1"/>
      <x:c r="G1531" s="1"/>
      <x:c r="H1531" s="1"/>
      <x:c r="I1531" s="1"/>
      <x:c r="J1531" s="1"/>
      <x:c r="K1531" s="1"/>
      <x:c r="L1531" s="1"/>
      <x:c r="M1531" s="1"/>
      <x:c r="N1531" s="1"/>
      <x:c r="O1531" s="1"/>
      <x:c r="P1531" s="1"/>
      <x:c r="Q1531" s="1"/>
      <x:c r="R1531" s="1"/>
      <x:c r="S1531" s="1"/>
      <x:c r="T1531" s="1"/>
      <x:c r="U1531" s="1"/>
      <x:c r="V1531" s="1"/>
    </x:row>
    <x:row r="1532">
      <x:c r="A1532" s="1"/>
      <x:c r="B1532" s="1"/>
      <x:c r="C1532" s="1"/>
      <x:c r="D1532" s="1"/>
      <x:c r="E1532" s="1"/>
      <x:c r="F1532" s="1"/>
      <x:c r="G1532" s="1"/>
      <x:c r="H1532" s="1"/>
      <x:c r="I1532" s="1"/>
      <x:c r="J1532" s="1"/>
      <x:c r="K1532" s="1"/>
      <x:c r="L1532" s="1"/>
      <x:c r="M1532" s="1"/>
      <x:c r="N1532" s="1"/>
      <x:c r="O1532" s="1"/>
      <x:c r="P1532" s="1"/>
      <x:c r="Q1532" s="1"/>
      <x:c r="R1532" s="1"/>
      <x:c r="S1532" s="1"/>
      <x:c r="T1532" s="1"/>
      <x:c r="U1532" s="1"/>
      <x:c r="V1532" s="1"/>
    </x:row>
    <x:row r="1533">
      <x:c r="A1533" s="1"/>
      <x:c r="B1533" s="1"/>
      <x:c r="C1533" s="1"/>
      <x:c r="D1533" s="1"/>
      <x:c r="E1533" s="1"/>
      <x:c r="F1533" s="1"/>
      <x:c r="G1533" s="1"/>
      <x:c r="H1533" s="1"/>
      <x:c r="I1533" s="1"/>
      <x:c r="J1533" s="1"/>
      <x:c r="K1533" s="1"/>
      <x:c r="L1533" s="1"/>
      <x:c r="M1533" s="1"/>
      <x:c r="N1533" s="1"/>
      <x:c r="O1533" s="1"/>
      <x:c r="P1533" s="1"/>
      <x:c r="Q1533" s="1"/>
      <x:c r="R1533" s="1"/>
      <x:c r="S1533" s="1"/>
      <x:c r="T1533" s="1"/>
      <x:c r="U1533" s="1"/>
      <x:c r="V1533" s="1"/>
    </x:row>
    <x:row r="1534">
      <x:c r="A1534" s="1"/>
      <x:c r="B1534" s="1"/>
      <x:c r="C1534" s="1"/>
      <x:c r="D1534" s="1"/>
      <x:c r="E1534" s="1"/>
      <x:c r="F1534" s="1"/>
      <x:c r="G1534" s="1"/>
      <x:c r="H1534" s="1"/>
      <x:c r="I1534" s="1"/>
      <x:c r="J1534" s="1"/>
      <x:c r="K1534" s="1"/>
      <x:c r="L1534" s="1"/>
      <x:c r="M1534" s="1"/>
      <x:c r="N1534" s="1"/>
      <x:c r="O1534" s="1"/>
      <x:c r="P1534" s="1"/>
      <x:c r="Q1534" s="1"/>
      <x:c r="R1534" s="1"/>
      <x:c r="S1534" s="1"/>
      <x:c r="T1534" s="1"/>
      <x:c r="U1534" s="1"/>
      <x:c r="V1534" s="1"/>
    </x:row>
    <x:row r="1535">
      <x:c r="A1535" s="1"/>
      <x:c r="B1535" s="1"/>
      <x:c r="C1535" s="1"/>
      <x:c r="D1535" s="1"/>
      <x:c r="E1535" s="1"/>
      <x:c r="F1535" s="1"/>
      <x:c r="G1535" s="1"/>
      <x:c r="H1535" s="1"/>
      <x:c r="I1535" s="1"/>
      <x:c r="J1535" s="1"/>
      <x:c r="K1535" s="1"/>
      <x:c r="L1535" s="1"/>
      <x:c r="M1535" s="1"/>
      <x:c r="N1535" s="1"/>
      <x:c r="O1535" s="1"/>
      <x:c r="P1535" s="1"/>
      <x:c r="Q1535" s="1"/>
      <x:c r="R1535" s="1"/>
      <x:c r="S1535" s="1"/>
      <x:c r="T1535" s="1"/>
      <x:c r="U1535" s="1"/>
      <x:c r="V1535" s="1"/>
    </x:row>
    <x:row r="1536">
      <x:c r="A1536" s="1"/>
      <x:c r="B1536" s="1"/>
      <x:c r="C1536" s="1"/>
      <x:c r="D1536" s="1"/>
      <x:c r="E1536" s="1"/>
      <x:c r="F1536" s="1"/>
      <x:c r="G1536" s="1"/>
      <x:c r="H1536" s="1"/>
      <x:c r="I1536" s="1"/>
      <x:c r="J1536" s="1"/>
      <x:c r="K1536" s="1"/>
      <x:c r="L1536" s="1"/>
      <x:c r="M1536" s="1"/>
      <x:c r="N1536" s="1"/>
      <x:c r="O1536" s="1"/>
      <x:c r="P1536" s="1"/>
      <x:c r="Q1536" s="1"/>
      <x:c r="R1536" s="1"/>
      <x:c r="S1536" s="1"/>
      <x:c r="T1536" s="1"/>
      <x:c r="U1536" s="1"/>
      <x:c r="V1536" s="1"/>
    </x:row>
    <x:row r="1537">
      <x:c r="A1537" s="1"/>
      <x:c r="B1537" s="1"/>
      <x:c r="C1537" s="1"/>
      <x:c r="D1537" s="1"/>
      <x:c r="E1537" s="1"/>
      <x:c r="F1537" s="1"/>
      <x:c r="G1537" s="1"/>
      <x:c r="H1537" s="1"/>
      <x:c r="I1537" s="1"/>
      <x:c r="J1537" s="1"/>
      <x:c r="K1537" s="1"/>
      <x:c r="L1537" s="1"/>
      <x:c r="M1537" s="1"/>
      <x:c r="N1537" s="1"/>
      <x:c r="O1537" s="1"/>
      <x:c r="P1537" s="1"/>
      <x:c r="Q1537" s="1"/>
      <x:c r="R1537" s="1"/>
      <x:c r="S1537" s="1"/>
      <x:c r="T1537" s="1"/>
      <x:c r="U1537" s="1"/>
      <x:c r="V1537" s="1"/>
    </x:row>
    <x:row r="1538">
      <x:c r="A1538" s="1"/>
      <x:c r="B1538" s="1"/>
      <x:c r="C1538" s="1"/>
      <x:c r="D1538" s="1"/>
      <x:c r="E1538" s="1"/>
      <x:c r="F1538" s="1"/>
      <x:c r="G1538" s="1"/>
      <x:c r="H1538" s="1"/>
      <x:c r="I1538" s="1"/>
      <x:c r="J1538" s="1"/>
      <x:c r="K1538" s="1"/>
      <x:c r="L1538" s="1"/>
      <x:c r="M1538" s="1"/>
      <x:c r="N1538" s="1"/>
      <x:c r="O1538" s="1"/>
      <x:c r="P1538" s="1"/>
      <x:c r="Q1538" s="1"/>
      <x:c r="R1538" s="1"/>
      <x:c r="S1538" s="1"/>
      <x:c r="T1538" s="1"/>
      <x:c r="U1538" s="1"/>
      <x:c r="V1538" s="1"/>
    </x:row>
    <x:row r="1539">
      <x:c r="A1539" s="1"/>
      <x:c r="B1539" s="1"/>
      <x:c r="C1539" s="1"/>
      <x:c r="D1539" s="1"/>
      <x:c r="E1539" s="1"/>
      <x:c r="F1539" s="1"/>
      <x:c r="G1539" s="1"/>
      <x:c r="H1539" s="1"/>
      <x:c r="I1539" s="1"/>
      <x:c r="J1539" s="1"/>
      <x:c r="K1539" s="1"/>
      <x:c r="L1539" s="1"/>
      <x:c r="M1539" s="1"/>
      <x:c r="N1539" s="1"/>
      <x:c r="O1539" s="1"/>
      <x:c r="P1539" s="1"/>
      <x:c r="Q1539" s="1"/>
      <x:c r="R1539" s="1"/>
      <x:c r="S1539" s="1"/>
      <x:c r="T1539" s="1"/>
      <x:c r="U1539" s="1"/>
      <x:c r="V1539" s="1"/>
    </x:row>
    <x:row r="1540">
      <x:c r="A1540" s="1"/>
      <x:c r="B1540" s="1"/>
      <x:c r="C1540" s="1"/>
      <x:c r="D1540" s="1"/>
      <x:c r="E1540" s="1"/>
      <x:c r="F1540" s="1"/>
      <x:c r="G1540" s="1"/>
      <x:c r="H1540" s="1"/>
      <x:c r="I1540" s="1"/>
      <x:c r="J1540" s="1"/>
      <x:c r="K1540" s="1"/>
      <x:c r="L1540" s="1"/>
      <x:c r="M1540" s="1"/>
      <x:c r="N1540" s="1"/>
      <x:c r="O1540" s="1"/>
      <x:c r="P1540" s="1"/>
      <x:c r="Q1540" s="1"/>
      <x:c r="R1540" s="1"/>
      <x:c r="S1540" s="1"/>
      <x:c r="T1540" s="1"/>
      <x:c r="U1540" s="1"/>
      <x:c r="V1540" s="1"/>
    </x:row>
    <x:row r="1541">
      <x:c r="A1541" s="1"/>
      <x:c r="B1541" s="1"/>
      <x:c r="C1541" s="1"/>
      <x:c r="D1541" s="1"/>
      <x:c r="E1541" s="1"/>
      <x:c r="F1541" s="1"/>
      <x:c r="G1541" s="1"/>
      <x:c r="H1541" s="1"/>
      <x:c r="I1541" s="1"/>
      <x:c r="J1541" s="1"/>
      <x:c r="K1541" s="1"/>
      <x:c r="L1541" s="1"/>
      <x:c r="M1541" s="1"/>
      <x:c r="N1541" s="1"/>
      <x:c r="O1541" s="1"/>
      <x:c r="P1541" s="1"/>
      <x:c r="Q1541" s="1"/>
      <x:c r="R1541" s="1"/>
      <x:c r="S1541" s="1"/>
      <x:c r="T1541" s="1"/>
      <x:c r="U1541" s="1"/>
      <x:c r="V1541" s="1"/>
    </x:row>
    <x:row r="1542">
      <x:c r="A1542" s="1"/>
      <x:c r="B1542" s="1"/>
      <x:c r="C1542" s="1"/>
      <x:c r="D1542" s="1"/>
      <x:c r="E1542" s="1"/>
      <x:c r="F1542" s="1"/>
      <x:c r="G1542" s="1"/>
      <x:c r="H1542" s="1"/>
      <x:c r="I1542" s="1"/>
      <x:c r="J1542" s="1"/>
      <x:c r="K1542" s="1"/>
      <x:c r="L1542" s="1"/>
      <x:c r="M1542" s="1"/>
      <x:c r="N1542" s="1"/>
      <x:c r="O1542" s="1"/>
      <x:c r="P1542" s="1"/>
      <x:c r="Q1542" s="1"/>
      <x:c r="R1542" s="1"/>
      <x:c r="S1542" s="1"/>
      <x:c r="T1542" s="1"/>
      <x:c r="U1542" s="1"/>
      <x:c r="V1542" s="1"/>
    </x:row>
    <x:row r="1543">
      <x:c r="A1543" s="1"/>
      <x:c r="B1543" s="1"/>
      <x:c r="C1543" s="1"/>
      <x:c r="D1543" s="1"/>
      <x:c r="E1543" s="1"/>
      <x:c r="F1543" s="1"/>
      <x:c r="G1543" s="1"/>
      <x:c r="H1543" s="1"/>
      <x:c r="I1543" s="1"/>
      <x:c r="J1543" s="1"/>
      <x:c r="K1543" s="1"/>
      <x:c r="L1543" s="1"/>
      <x:c r="M1543" s="1"/>
      <x:c r="N1543" s="1"/>
      <x:c r="O1543" s="1"/>
      <x:c r="P1543" s="1"/>
      <x:c r="Q1543" s="1"/>
      <x:c r="R1543" s="1"/>
      <x:c r="S1543" s="1"/>
      <x:c r="T1543" s="1"/>
      <x:c r="U1543" s="1"/>
      <x:c r="V1543" s="1"/>
    </x:row>
    <x:row r="1544">
      <x:c r="A1544" s="1"/>
      <x:c r="B1544" s="1"/>
      <x:c r="C1544" s="1"/>
      <x:c r="D1544" s="1"/>
      <x:c r="E1544" s="1"/>
      <x:c r="F1544" s="1"/>
      <x:c r="G1544" s="1"/>
      <x:c r="H1544" s="1"/>
      <x:c r="I1544" s="1"/>
      <x:c r="J1544" s="1"/>
      <x:c r="K1544" s="1"/>
      <x:c r="L1544" s="1"/>
      <x:c r="M1544" s="1"/>
      <x:c r="N1544" s="1"/>
      <x:c r="O1544" s="1"/>
      <x:c r="P1544" s="1"/>
      <x:c r="Q1544" s="1"/>
      <x:c r="R1544" s="1"/>
      <x:c r="S1544" s="1"/>
      <x:c r="T1544" s="1"/>
      <x:c r="U1544" s="1"/>
      <x:c r="V1544" s="1"/>
    </x:row>
    <x:row r="1545">
      <x:c r="A1545" s="1"/>
      <x:c r="B1545" s="1"/>
      <x:c r="C1545" s="1"/>
      <x:c r="D1545" s="1"/>
      <x:c r="E1545" s="1"/>
      <x:c r="F1545" s="1"/>
      <x:c r="G1545" s="1"/>
      <x:c r="H1545" s="1"/>
      <x:c r="I1545" s="1"/>
      <x:c r="J1545" s="1"/>
      <x:c r="K1545" s="1"/>
      <x:c r="L1545" s="1"/>
      <x:c r="M1545" s="1"/>
      <x:c r="N1545" s="1"/>
      <x:c r="O1545" s="1"/>
      <x:c r="P1545" s="1"/>
      <x:c r="Q1545" s="1"/>
      <x:c r="R1545" s="1"/>
      <x:c r="S1545" s="1"/>
      <x:c r="T1545" s="1"/>
      <x:c r="U1545" s="1"/>
      <x:c r="V1545" s="1"/>
    </x:row>
    <x:row r="1546">
      <x:c r="A1546" s="1"/>
      <x:c r="B1546" s="1"/>
      <x:c r="C1546" s="1"/>
      <x:c r="D1546" s="1"/>
      <x:c r="E1546" s="1"/>
      <x:c r="F1546" s="1"/>
      <x:c r="G1546" s="1"/>
      <x:c r="H1546" s="1"/>
      <x:c r="I1546" s="1"/>
      <x:c r="J1546" s="1"/>
      <x:c r="K1546" s="1"/>
      <x:c r="L1546" s="1"/>
      <x:c r="M1546" s="1"/>
      <x:c r="N1546" s="1"/>
      <x:c r="O1546" s="1"/>
      <x:c r="P1546" s="1"/>
      <x:c r="Q1546" s="1"/>
      <x:c r="R1546" s="1"/>
      <x:c r="S1546" s="1"/>
      <x:c r="T1546" s="1"/>
      <x:c r="U1546" s="1"/>
      <x:c r="V1546" s="1"/>
    </x:row>
    <x:row r="1547">
      <x:c r="A1547" s="1"/>
      <x:c r="B1547" s="1"/>
      <x:c r="C1547" s="1"/>
      <x:c r="D1547" s="1"/>
      <x:c r="E1547" s="1"/>
      <x:c r="F1547" s="1"/>
      <x:c r="G1547" s="1"/>
      <x:c r="H1547" s="1"/>
      <x:c r="I1547" s="1"/>
      <x:c r="J1547" s="1"/>
      <x:c r="K1547" s="1"/>
      <x:c r="L1547" s="1"/>
      <x:c r="M1547" s="1"/>
      <x:c r="N1547" s="1"/>
      <x:c r="O1547" s="1"/>
      <x:c r="P1547" s="1"/>
      <x:c r="Q1547" s="1"/>
      <x:c r="R1547" s="1"/>
      <x:c r="S1547" s="1"/>
      <x:c r="T1547" s="1"/>
      <x:c r="U1547" s="1"/>
      <x:c r="V1547" s="1"/>
    </x:row>
    <x:row r="1548">
      <x:c r="A1548" s="1"/>
      <x:c r="B1548" s="1"/>
      <x:c r="C1548" s="1"/>
      <x:c r="D1548" s="1"/>
      <x:c r="E1548" s="1"/>
      <x:c r="F1548" s="1"/>
      <x:c r="G1548" s="1"/>
      <x:c r="H1548" s="1"/>
      <x:c r="I1548" s="1"/>
      <x:c r="J1548" s="1"/>
      <x:c r="K1548" s="1"/>
      <x:c r="L1548" s="1"/>
      <x:c r="M1548" s="1"/>
      <x:c r="N1548" s="1"/>
      <x:c r="O1548" s="1"/>
      <x:c r="P1548" s="1"/>
      <x:c r="Q1548" s="1"/>
      <x:c r="R1548" s="1"/>
      <x:c r="S1548" s="1"/>
      <x:c r="T1548" s="1"/>
      <x:c r="U1548" s="1"/>
      <x:c r="V1548" s="1"/>
    </x:row>
    <x:row r="1549">
      <x:c r="A1549" s="1"/>
      <x:c r="B1549" s="1"/>
      <x:c r="C1549" s="1"/>
      <x:c r="D1549" s="1"/>
      <x:c r="E1549" s="1"/>
      <x:c r="F1549" s="1"/>
      <x:c r="G1549" s="1"/>
      <x:c r="H1549" s="1"/>
      <x:c r="I1549" s="1"/>
      <x:c r="J1549" s="1"/>
      <x:c r="K1549" s="1"/>
      <x:c r="L1549" s="1"/>
      <x:c r="M1549" s="1"/>
      <x:c r="N1549" s="1"/>
      <x:c r="O1549" s="1"/>
      <x:c r="P1549" s="1"/>
      <x:c r="Q1549" s="1"/>
      <x:c r="R1549" s="1"/>
      <x:c r="S1549" s="1"/>
      <x:c r="T1549" s="1"/>
      <x:c r="U1549" s="1"/>
      <x:c r="V1549" s="1"/>
    </x:row>
    <x:row r="1550">
      <x:c r="A1550" s="1"/>
      <x:c r="B1550" s="1"/>
      <x:c r="C1550" s="1"/>
      <x:c r="D1550" s="1"/>
      <x:c r="E1550" s="1"/>
      <x:c r="F1550" s="1"/>
      <x:c r="G1550" s="1"/>
      <x:c r="H1550" s="1"/>
      <x:c r="I1550" s="1"/>
      <x:c r="J1550" s="1"/>
      <x:c r="K1550" s="1"/>
      <x:c r="L1550" s="1"/>
      <x:c r="M1550" s="1"/>
      <x:c r="N1550" s="1"/>
      <x:c r="O1550" s="1"/>
      <x:c r="P1550" s="1"/>
      <x:c r="Q1550" s="1"/>
      <x:c r="R1550" s="1"/>
      <x:c r="S1550" s="1"/>
      <x:c r="T1550" s="1"/>
      <x:c r="U1550" s="1"/>
      <x:c r="V1550" s="1"/>
    </x:row>
    <x:row r="1551">
      <x:c r="A1551" s="1"/>
      <x:c r="B1551" s="1"/>
      <x:c r="C1551" s="1"/>
      <x:c r="D1551" s="1"/>
      <x:c r="E1551" s="1"/>
      <x:c r="F1551" s="1"/>
      <x:c r="G1551" s="1"/>
      <x:c r="H1551" s="1"/>
      <x:c r="I1551" s="1"/>
      <x:c r="J1551" s="1"/>
      <x:c r="K1551" s="1"/>
      <x:c r="L1551" s="1"/>
      <x:c r="M1551" s="1"/>
      <x:c r="N1551" s="1"/>
      <x:c r="O1551" s="1"/>
      <x:c r="P1551" s="1"/>
      <x:c r="Q1551" s="1"/>
      <x:c r="R1551" s="1"/>
      <x:c r="S1551" s="1"/>
      <x:c r="T1551" s="1"/>
      <x:c r="U1551" s="1"/>
      <x:c r="V1551" s="1"/>
    </x:row>
    <x:row r="1552">
      <x:c r="A1552" s="1"/>
      <x:c r="B1552" s="1"/>
      <x:c r="C1552" s="1"/>
      <x:c r="D1552" s="1"/>
      <x:c r="E1552" s="1"/>
      <x:c r="F1552" s="1"/>
      <x:c r="G1552" s="1"/>
      <x:c r="H1552" s="1"/>
      <x:c r="I1552" s="1"/>
      <x:c r="J1552" s="1"/>
      <x:c r="K1552" s="1"/>
      <x:c r="L1552" s="1"/>
      <x:c r="M1552" s="1"/>
      <x:c r="N1552" s="1"/>
      <x:c r="O1552" s="1"/>
      <x:c r="P1552" s="1"/>
      <x:c r="Q1552" s="1"/>
      <x:c r="R1552" s="1"/>
      <x:c r="S1552" s="1"/>
      <x:c r="T1552" s="1"/>
      <x:c r="U1552" s="1"/>
      <x:c r="V1552" s="1"/>
    </x:row>
    <x:row r="1553">
      <x:c r="A1553" s="1"/>
      <x:c r="B1553" s="1"/>
      <x:c r="C1553" s="1"/>
      <x:c r="D1553" s="1"/>
      <x:c r="E1553" s="1"/>
      <x:c r="F1553" s="1"/>
      <x:c r="G1553" s="1"/>
      <x:c r="H1553" s="1"/>
      <x:c r="I1553" s="1"/>
      <x:c r="J1553" s="1"/>
      <x:c r="K1553" s="1"/>
      <x:c r="L1553" s="1"/>
      <x:c r="M1553" s="1"/>
      <x:c r="N1553" s="1"/>
      <x:c r="O1553" s="1"/>
      <x:c r="P1553" s="1"/>
      <x:c r="Q1553" s="1"/>
      <x:c r="R1553" s="1"/>
      <x:c r="S1553" s="1"/>
      <x:c r="T1553" s="1"/>
      <x:c r="U1553" s="1"/>
      <x:c r="V1553" s="1"/>
    </x:row>
    <x:row r="1554">
      <x:c r="A1554" s="1"/>
      <x:c r="B1554" s="1"/>
      <x:c r="C1554" s="1"/>
      <x:c r="D1554" s="1"/>
      <x:c r="E1554" s="1"/>
      <x:c r="F1554" s="1"/>
      <x:c r="G1554" s="1"/>
      <x:c r="H1554" s="1"/>
      <x:c r="I1554" s="1"/>
      <x:c r="J1554" s="1"/>
      <x:c r="K1554" s="1"/>
      <x:c r="L1554" s="1"/>
      <x:c r="M1554" s="1"/>
      <x:c r="N1554" s="1"/>
      <x:c r="O1554" s="1"/>
      <x:c r="P1554" s="1"/>
      <x:c r="Q1554" s="1"/>
      <x:c r="R1554" s="1"/>
      <x:c r="S1554" s="1"/>
      <x:c r="T1554" s="1"/>
      <x:c r="U1554" s="1"/>
      <x:c r="V1554" s="1"/>
    </x:row>
    <x:row r="1555">
      <x:c r="A1555" s="1"/>
      <x:c r="B1555" s="1"/>
      <x:c r="C1555" s="1"/>
      <x:c r="D1555" s="1"/>
      <x:c r="E1555" s="1"/>
      <x:c r="F1555" s="1"/>
      <x:c r="G1555" s="1"/>
      <x:c r="H1555" s="1"/>
      <x:c r="I1555" s="1"/>
      <x:c r="J1555" s="1"/>
      <x:c r="K1555" s="1"/>
      <x:c r="L1555" s="1"/>
      <x:c r="M1555" s="1"/>
      <x:c r="N1555" s="1"/>
      <x:c r="O1555" s="1"/>
      <x:c r="P1555" s="1"/>
      <x:c r="Q1555" s="1"/>
      <x:c r="R1555" s="1"/>
      <x:c r="S1555" s="1"/>
      <x:c r="T1555" s="1"/>
      <x:c r="U1555" s="1"/>
      <x:c r="V1555" s="1"/>
    </x:row>
    <x:row r="1556">
      <x:c r="A1556" s="1"/>
      <x:c r="B1556" s="1"/>
      <x:c r="C1556" s="1"/>
      <x:c r="D1556" s="1"/>
      <x:c r="E1556" s="1"/>
      <x:c r="F1556" s="1"/>
      <x:c r="G1556" s="1"/>
      <x:c r="H1556" s="1"/>
      <x:c r="I1556" s="1"/>
      <x:c r="J1556" s="1"/>
      <x:c r="K1556" s="1"/>
      <x:c r="L1556" s="1"/>
      <x:c r="M1556" s="1"/>
      <x:c r="N1556" s="1"/>
      <x:c r="O1556" s="1"/>
      <x:c r="P1556" s="1"/>
      <x:c r="Q1556" s="1"/>
      <x:c r="R1556" s="1"/>
      <x:c r="S1556" s="1"/>
      <x:c r="T1556" s="1"/>
      <x:c r="U1556" s="1"/>
      <x:c r="V1556" s="1"/>
    </x:row>
    <x:row r="1557">
      <x:c r="A1557" s="1"/>
      <x:c r="B1557" s="1"/>
      <x:c r="C1557" s="1"/>
      <x:c r="D1557" s="1"/>
      <x:c r="E1557" s="1"/>
      <x:c r="F1557" s="1"/>
      <x:c r="G1557" s="1"/>
      <x:c r="H1557" s="1"/>
      <x:c r="I1557" s="1"/>
      <x:c r="J1557" s="1"/>
      <x:c r="K1557" s="1"/>
      <x:c r="L1557" s="1"/>
      <x:c r="M1557" s="1"/>
      <x:c r="N1557" s="1"/>
      <x:c r="O1557" s="1"/>
      <x:c r="P1557" s="1"/>
      <x:c r="Q1557" s="1"/>
      <x:c r="R1557" s="1"/>
      <x:c r="S1557" s="1"/>
      <x:c r="T1557" s="1"/>
      <x:c r="U1557" s="1"/>
      <x:c r="V1557" s="1"/>
    </x:row>
    <x:row r="1558">
      <x:c r="A1558" s="1"/>
      <x:c r="B1558" s="1"/>
      <x:c r="C1558" s="1"/>
      <x:c r="D1558" s="1"/>
      <x:c r="E1558" s="1"/>
      <x:c r="F1558" s="1"/>
      <x:c r="G1558" s="1"/>
      <x:c r="H1558" s="1"/>
      <x:c r="I1558" s="1"/>
      <x:c r="J1558" s="1"/>
      <x:c r="K1558" s="1"/>
      <x:c r="L1558" s="1"/>
      <x:c r="M1558" s="1"/>
      <x:c r="N1558" s="1"/>
      <x:c r="O1558" s="1"/>
      <x:c r="P1558" s="1"/>
      <x:c r="Q1558" s="1"/>
      <x:c r="R1558" s="1"/>
      <x:c r="S1558" s="1"/>
      <x:c r="T1558" s="1"/>
      <x:c r="U1558" s="1"/>
      <x:c r="V1558" s="1"/>
    </x:row>
    <x:row r="1559">
      <x:c r="A1559" s="1"/>
      <x:c r="B1559" s="1"/>
      <x:c r="C1559" s="1"/>
      <x:c r="D1559" s="1"/>
      <x:c r="E1559" s="1"/>
      <x:c r="F1559" s="1"/>
      <x:c r="G1559" s="1"/>
      <x:c r="H1559" s="1"/>
      <x:c r="I1559" s="1"/>
      <x:c r="J1559" s="1"/>
      <x:c r="K1559" s="1"/>
      <x:c r="L1559" s="1"/>
      <x:c r="M1559" s="1"/>
      <x:c r="N1559" s="1"/>
      <x:c r="O1559" s="1"/>
      <x:c r="P1559" s="1"/>
      <x:c r="Q1559" s="1"/>
      <x:c r="R1559" s="1"/>
      <x:c r="S1559" s="1"/>
      <x:c r="T1559" s="1"/>
      <x:c r="U1559" s="1"/>
      <x:c r="V1559" s="1"/>
    </x:row>
    <x:row r="1560">
      <x:c r="A1560" s="1"/>
      <x:c r="B1560" s="1"/>
      <x:c r="C1560" s="1"/>
      <x:c r="D1560" s="1"/>
      <x:c r="E1560" s="1"/>
      <x:c r="F1560" s="1"/>
      <x:c r="G1560" s="1"/>
      <x:c r="H1560" s="1"/>
      <x:c r="I1560" s="1"/>
      <x:c r="J1560" s="1"/>
      <x:c r="K1560" s="1"/>
      <x:c r="L1560" s="1"/>
      <x:c r="M1560" s="1"/>
      <x:c r="N1560" s="1"/>
      <x:c r="O1560" s="1"/>
      <x:c r="P1560" s="1"/>
      <x:c r="Q1560" s="1"/>
      <x:c r="R1560" s="1"/>
      <x:c r="S1560" s="1"/>
      <x:c r="T1560" s="1"/>
      <x:c r="U1560" s="1"/>
      <x:c r="V1560" s="1"/>
    </x:row>
    <x:row r="1561">
      <x:c r="A1561" s="1"/>
      <x:c r="B1561" s="1"/>
      <x:c r="C1561" s="1"/>
      <x:c r="D1561" s="1"/>
      <x:c r="E1561" s="1"/>
      <x:c r="F1561" s="1"/>
      <x:c r="G1561" s="1"/>
      <x:c r="H1561" s="1"/>
      <x:c r="I1561" s="1"/>
      <x:c r="J1561" s="1"/>
      <x:c r="K1561" s="1"/>
      <x:c r="L1561" s="1"/>
      <x:c r="M1561" s="1"/>
      <x:c r="N1561" s="1"/>
      <x:c r="O1561" s="1"/>
      <x:c r="P1561" s="1"/>
      <x:c r="Q1561" s="1"/>
      <x:c r="R1561" s="1"/>
      <x:c r="S1561" s="1"/>
      <x:c r="T1561" s="1"/>
      <x:c r="U1561" s="1"/>
      <x:c r="V1561" s="1"/>
    </x:row>
    <x:row r="1562">
      <x:c r="A1562" s="1"/>
      <x:c r="B1562" s="1"/>
      <x:c r="C1562" s="1"/>
      <x:c r="D1562" s="1"/>
      <x:c r="E1562" s="1"/>
      <x:c r="F1562" s="1"/>
      <x:c r="G1562" s="1"/>
      <x:c r="H1562" s="1"/>
      <x:c r="I1562" s="1"/>
      <x:c r="J1562" s="1"/>
      <x:c r="K1562" s="1"/>
      <x:c r="L1562" s="1"/>
      <x:c r="M1562" s="1"/>
      <x:c r="N1562" s="1"/>
      <x:c r="O1562" s="1"/>
      <x:c r="P1562" s="1"/>
      <x:c r="Q1562" s="1"/>
      <x:c r="R1562" s="1"/>
      <x:c r="S1562" s="1"/>
      <x:c r="T1562" s="1"/>
      <x:c r="U1562" s="1"/>
      <x:c r="V1562" s="1"/>
    </x:row>
    <x:row r="1563">
      <x:c r="A1563" s="1"/>
      <x:c r="B1563" s="1"/>
      <x:c r="C1563" s="1"/>
      <x:c r="D1563" s="1"/>
      <x:c r="E1563" s="1"/>
      <x:c r="F1563" s="1"/>
      <x:c r="G1563" s="1"/>
      <x:c r="H1563" s="1"/>
      <x:c r="I1563" s="1"/>
      <x:c r="J1563" s="1"/>
      <x:c r="K1563" s="1"/>
      <x:c r="L1563" s="1"/>
      <x:c r="M1563" s="1"/>
      <x:c r="N1563" s="1"/>
      <x:c r="O1563" s="1"/>
      <x:c r="P1563" s="1"/>
      <x:c r="Q1563" s="1"/>
      <x:c r="R1563" s="1"/>
      <x:c r="S1563" s="1"/>
      <x:c r="T1563" s="1"/>
      <x:c r="U1563" s="1"/>
      <x:c r="V1563" s="1"/>
    </x:row>
    <x:row r="1564">
      <x:c r="A1564" s="1"/>
      <x:c r="B1564" s="1"/>
      <x:c r="C1564" s="1"/>
      <x:c r="D1564" s="1"/>
      <x:c r="E1564" s="1"/>
      <x:c r="F1564" s="1"/>
      <x:c r="G1564" s="1"/>
      <x:c r="H1564" s="1"/>
      <x:c r="I1564" s="1"/>
      <x:c r="J1564" s="1"/>
      <x:c r="K1564" s="1"/>
      <x:c r="L1564" s="1"/>
      <x:c r="M1564" s="1"/>
      <x:c r="N1564" s="1"/>
      <x:c r="O1564" s="1"/>
      <x:c r="P1564" s="1"/>
      <x:c r="Q1564" s="1"/>
      <x:c r="R1564" s="1"/>
      <x:c r="S1564" s="1"/>
      <x:c r="T1564" s="1"/>
      <x:c r="U1564" s="1"/>
      <x:c r="V1564" s="1"/>
    </x:row>
    <x:row r="1565">
      <x:c r="A1565" s="1"/>
      <x:c r="B1565" s="1"/>
      <x:c r="C1565" s="1"/>
      <x:c r="D1565" s="1"/>
      <x:c r="E1565" s="1"/>
      <x:c r="F1565" s="1"/>
      <x:c r="G1565" s="1"/>
      <x:c r="H1565" s="1"/>
      <x:c r="I1565" s="1"/>
      <x:c r="J1565" s="1"/>
      <x:c r="K1565" s="1"/>
      <x:c r="L1565" s="1"/>
      <x:c r="M1565" s="1"/>
      <x:c r="N1565" s="1"/>
      <x:c r="O1565" s="1"/>
      <x:c r="P1565" s="1"/>
      <x:c r="Q1565" s="1"/>
      <x:c r="R1565" s="1"/>
      <x:c r="S1565" s="1"/>
      <x:c r="T1565" s="1"/>
      <x:c r="U1565" s="1"/>
      <x:c r="V1565" s="1"/>
    </x:row>
    <x:row r="1566">
      <x:c r="A1566" s="1"/>
      <x:c r="B1566" s="1"/>
      <x:c r="C1566" s="1"/>
      <x:c r="D1566" s="1"/>
      <x:c r="E1566" s="1"/>
      <x:c r="F1566" s="1"/>
      <x:c r="G1566" s="1"/>
      <x:c r="H1566" s="1"/>
      <x:c r="I1566" s="1"/>
      <x:c r="J1566" s="1"/>
      <x:c r="K1566" s="1"/>
      <x:c r="L1566" s="1"/>
      <x:c r="M1566" s="1"/>
      <x:c r="N1566" s="1"/>
      <x:c r="O1566" s="1"/>
      <x:c r="P1566" s="1"/>
      <x:c r="Q1566" s="1"/>
      <x:c r="R1566" s="1"/>
      <x:c r="S1566" s="1"/>
      <x:c r="T1566" s="1"/>
      <x:c r="U1566" s="1"/>
      <x:c r="V1566" s="1"/>
    </x:row>
    <x:row r="1567">
      <x:c r="A1567" s="1"/>
      <x:c r="B1567" s="1"/>
      <x:c r="C1567" s="1"/>
      <x:c r="D1567" s="1"/>
      <x:c r="E1567" s="1"/>
      <x:c r="F1567" s="1"/>
      <x:c r="G1567" s="1"/>
      <x:c r="H1567" s="1"/>
      <x:c r="I1567" s="1"/>
      <x:c r="J1567" s="1"/>
      <x:c r="K1567" s="1"/>
      <x:c r="L1567" s="1"/>
      <x:c r="M1567" s="1"/>
      <x:c r="N1567" s="1"/>
      <x:c r="O1567" s="1"/>
      <x:c r="P1567" s="1"/>
      <x:c r="Q1567" s="1"/>
      <x:c r="R1567" s="1"/>
      <x:c r="S1567" s="1"/>
      <x:c r="T1567" s="1"/>
      <x:c r="U1567" s="1"/>
      <x:c r="V1567" s="1"/>
    </x:row>
    <x:row r="1568">
      <x:c r="A1568" s="1"/>
      <x:c r="B1568" s="1"/>
      <x:c r="C1568" s="1"/>
      <x:c r="D1568" s="1"/>
      <x:c r="E1568" s="1"/>
      <x:c r="F1568" s="1"/>
      <x:c r="G1568" s="1"/>
      <x:c r="H1568" s="1"/>
      <x:c r="I1568" s="1"/>
      <x:c r="J1568" s="1"/>
      <x:c r="K1568" s="1"/>
      <x:c r="L1568" s="1"/>
      <x:c r="M1568" s="1"/>
      <x:c r="N1568" s="1"/>
      <x:c r="O1568" s="1"/>
      <x:c r="P1568" s="1"/>
      <x:c r="Q1568" s="1"/>
      <x:c r="R1568" s="1"/>
      <x:c r="S1568" s="1"/>
      <x:c r="T1568" s="1"/>
      <x:c r="U1568" s="1"/>
      <x:c r="V1568" s="1"/>
    </x:row>
    <x:row r="1569">
      <x:c r="A1569" s="1"/>
      <x:c r="B1569" s="1"/>
      <x:c r="C1569" s="1"/>
      <x:c r="D1569" s="1"/>
      <x:c r="E1569" s="1"/>
      <x:c r="F1569" s="1"/>
      <x:c r="G1569" s="1"/>
      <x:c r="H1569" s="1"/>
      <x:c r="I1569" s="1"/>
      <x:c r="J1569" s="1"/>
      <x:c r="K1569" s="1"/>
      <x:c r="L1569" s="1"/>
      <x:c r="M1569" s="1"/>
      <x:c r="N1569" s="1"/>
      <x:c r="O1569" s="1"/>
      <x:c r="P1569" s="1"/>
      <x:c r="Q1569" s="1"/>
      <x:c r="R1569" s="1"/>
      <x:c r="S1569" s="1"/>
      <x:c r="T1569" s="1"/>
      <x:c r="U1569" s="1"/>
      <x:c r="V1569" s="1"/>
    </x:row>
    <x:row r="1570">
      <x:c r="A1570" s="1"/>
      <x:c r="B1570" s="1"/>
      <x:c r="C1570" s="1"/>
      <x:c r="D1570" s="1"/>
      <x:c r="E1570" s="1"/>
      <x:c r="F1570" s="1"/>
      <x:c r="G1570" s="1"/>
      <x:c r="H1570" s="1"/>
      <x:c r="I1570" s="1"/>
      <x:c r="J1570" s="1"/>
      <x:c r="K1570" s="1"/>
      <x:c r="L1570" s="1"/>
      <x:c r="M1570" s="1"/>
      <x:c r="N1570" s="1"/>
      <x:c r="O1570" s="1"/>
      <x:c r="P1570" s="1"/>
      <x:c r="Q1570" s="1"/>
      <x:c r="R1570" s="1"/>
      <x:c r="S1570" s="1"/>
      <x:c r="T1570" s="1"/>
      <x:c r="U1570" s="1"/>
      <x:c r="V1570" s="1"/>
    </x:row>
    <x:row r="1571">
      <x:c r="A1571" s="1"/>
      <x:c r="B1571" s="1"/>
      <x:c r="C1571" s="1"/>
      <x:c r="D1571" s="1"/>
      <x:c r="E1571" s="1"/>
      <x:c r="F1571" s="1"/>
      <x:c r="G1571" s="1"/>
      <x:c r="H1571" s="1"/>
      <x:c r="I1571" s="1"/>
      <x:c r="J1571" s="1"/>
      <x:c r="K1571" s="1"/>
      <x:c r="L1571" s="1"/>
      <x:c r="M1571" s="1"/>
      <x:c r="N1571" s="1"/>
      <x:c r="O1571" s="1"/>
      <x:c r="P1571" s="1"/>
      <x:c r="Q1571" s="1"/>
      <x:c r="R1571" s="1"/>
      <x:c r="S1571" s="1"/>
      <x:c r="T1571" s="1"/>
      <x:c r="U1571" s="1"/>
      <x:c r="V1571" s="1"/>
    </x:row>
    <x:row r="1572">
      <x:c r="A1572" s="1"/>
      <x:c r="B1572" s="1"/>
      <x:c r="C1572" s="1"/>
      <x:c r="D1572" s="1"/>
      <x:c r="E1572" s="1"/>
      <x:c r="F1572" s="1"/>
      <x:c r="G1572" s="1"/>
      <x:c r="H1572" s="1"/>
      <x:c r="I1572" s="1"/>
      <x:c r="J1572" s="1"/>
      <x:c r="K1572" s="1"/>
      <x:c r="L1572" s="1"/>
      <x:c r="M1572" s="1"/>
      <x:c r="N1572" s="1"/>
      <x:c r="O1572" s="1"/>
      <x:c r="P1572" s="1"/>
      <x:c r="Q1572" s="1"/>
      <x:c r="R1572" s="1"/>
      <x:c r="S1572" s="1"/>
      <x:c r="T1572" s="1"/>
      <x:c r="U1572" s="1"/>
      <x:c r="V1572" s="1"/>
    </x:row>
    <x:row r="1573">
      <x:c r="A1573" s="1"/>
      <x:c r="B1573" s="1"/>
      <x:c r="C1573" s="1"/>
      <x:c r="D1573" s="1"/>
      <x:c r="E1573" s="1"/>
      <x:c r="F1573" s="1"/>
      <x:c r="G1573" s="1"/>
      <x:c r="H1573" s="1"/>
      <x:c r="I1573" s="1"/>
      <x:c r="J1573" s="1"/>
      <x:c r="K1573" s="1"/>
      <x:c r="L1573" s="1"/>
      <x:c r="M1573" s="1"/>
      <x:c r="N1573" s="1"/>
      <x:c r="O1573" s="1"/>
      <x:c r="P1573" s="1"/>
      <x:c r="Q1573" s="1"/>
      <x:c r="R1573" s="1"/>
      <x:c r="S1573" s="1"/>
      <x:c r="T1573" s="1"/>
      <x:c r="U1573" s="1"/>
      <x:c r="V1573" s="1"/>
    </x:row>
    <x:row r="1574">
      <x:c r="A1574" s="1"/>
      <x:c r="B1574" s="1"/>
      <x:c r="C1574" s="1"/>
      <x:c r="D1574" s="1"/>
      <x:c r="E1574" s="1"/>
      <x:c r="F1574" s="1"/>
      <x:c r="G1574" s="1"/>
      <x:c r="H1574" s="1"/>
      <x:c r="I1574" s="1"/>
      <x:c r="J1574" s="1"/>
      <x:c r="K1574" s="1"/>
      <x:c r="L1574" s="1"/>
      <x:c r="M1574" s="1"/>
      <x:c r="N1574" s="1"/>
      <x:c r="O1574" s="1"/>
      <x:c r="P1574" s="1"/>
      <x:c r="Q1574" s="1"/>
      <x:c r="R1574" s="1"/>
      <x:c r="S1574" s="1"/>
      <x:c r="T1574" s="1"/>
      <x:c r="U1574" s="1"/>
      <x:c r="V1574" s="1"/>
    </x:row>
    <x:row r="1575">
      <x:c r="A1575" s="1"/>
      <x:c r="B1575" s="1"/>
      <x:c r="C1575" s="1"/>
      <x:c r="D1575" s="1"/>
      <x:c r="E1575" s="1"/>
      <x:c r="F1575" s="1"/>
      <x:c r="G1575" s="1"/>
      <x:c r="H1575" s="1"/>
      <x:c r="I1575" s="1"/>
      <x:c r="J1575" s="1"/>
      <x:c r="K1575" s="1"/>
      <x:c r="L1575" s="1"/>
      <x:c r="M1575" s="1"/>
      <x:c r="N1575" s="1"/>
      <x:c r="O1575" s="1"/>
      <x:c r="P1575" s="1"/>
      <x:c r="Q1575" s="1"/>
      <x:c r="R1575" s="1"/>
      <x:c r="S1575" s="1"/>
      <x:c r="T1575" s="1"/>
      <x:c r="U1575" s="1"/>
      <x:c r="V1575" s="1"/>
    </x:row>
    <x:row r="1576">
      <x:c r="A1576" s="1"/>
      <x:c r="B1576" s="1"/>
      <x:c r="C1576" s="1"/>
      <x:c r="D1576" s="1"/>
      <x:c r="E1576" s="1"/>
      <x:c r="F1576" s="1"/>
      <x:c r="G1576" s="1"/>
      <x:c r="H1576" s="1"/>
      <x:c r="I1576" s="1"/>
      <x:c r="J1576" s="1"/>
      <x:c r="K1576" s="1"/>
      <x:c r="L1576" s="1"/>
      <x:c r="M1576" s="1"/>
      <x:c r="N1576" s="1"/>
      <x:c r="O1576" s="1"/>
      <x:c r="P1576" s="1"/>
      <x:c r="Q1576" s="1"/>
      <x:c r="R1576" s="1"/>
      <x:c r="S1576" s="1"/>
      <x:c r="T1576" s="1"/>
      <x:c r="U1576" s="1"/>
      <x:c r="V1576" s="1"/>
    </x:row>
    <x:row r="1577">
      <x:c r="A1577" s="1"/>
      <x:c r="B1577" s="1"/>
      <x:c r="C1577" s="1"/>
      <x:c r="D1577" s="1"/>
      <x:c r="E1577" s="1"/>
      <x:c r="F1577" s="1"/>
      <x:c r="G1577" s="1"/>
      <x:c r="H1577" s="1"/>
      <x:c r="I1577" s="1"/>
      <x:c r="J1577" s="1"/>
      <x:c r="K1577" s="1"/>
      <x:c r="L1577" s="1"/>
      <x:c r="M1577" s="1"/>
      <x:c r="N1577" s="1"/>
      <x:c r="O1577" s="1"/>
      <x:c r="P1577" s="1"/>
      <x:c r="Q1577" s="1"/>
      <x:c r="R1577" s="1"/>
      <x:c r="S1577" s="1"/>
      <x:c r="T1577" s="1"/>
      <x:c r="U1577" s="1"/>
      <x:c r="V1577" s="1"/>
    </x:row>
    <x:row r="1578">
      <x:c r="A1578" s="1"/>
      <x:c r="B1578" s="1"/>
      <x:c r="C1578" s="1"/>
      <x:c r="D1578" s="1"/>
      <x:c r="E1578" s="1"/>
      <x:c r="F1578" s="1"/>
      <x:c r="G1578" s="1"/>
      <x:c r="H1578" s="1"/>
      <x:c r="I1578" s="1"/>
      <x:c r="J1578" s="1"/>
      <x:c r="K1578" s="1"/>
      <x:c r="L1578" s="1"/>
      <x:c r="M1578" s="1"/>
      <x:c r="N1578" s="1"/>
      <x:c r="O1578" s="1"/>
      <x:c r="P1578" s="1"/>
      <x:c r="Q1578" s="1"/>
      <x:c r="R1578" s="1"/>
      <x:c r="S1578" s="1"/>
      <x:c r="T1578" s="1"/>
      <x:c r="U1578" s="1"/>
      <x:c r="V1578" s="1"/>
    </x:row>
    <x:row r="1579">
      <x:c r="A1579" s="1"/>
      <x:c r="B1579" s="1"/>
      <x:c r="C1579" s="1"/>
      <x:c r="D1579" s="1"/>
      <x:c r="E1579" s="1"/>
      <x:c r="F1579" s="1"/>
      <x:c r="G1579" s="1"/>
      <x:c r="H1579" s="1"/>
      <x:c r="I1579" s="1"/>
      <x:c r="J1579" s="1"/>
      <x:c r="K1579" s="1"/>
      <x:c r="L1579" s="1"/>
      <x:c r="M1579" s="1"/>
      <x:c r="N1579" s="1"/>
      <x:c r="O1579" s="1"/>
      <x:c r="P1579" s="1"/>
      <x:c r="Q1579" s="1"/>
      <x:c r="R1579" s="1"/>
      <x:c r="S1579" s="1"/>
      <x:c r="T1579" s="1"/>
      <x:c r="U1579" s="1"/>
      <x:c r="V1579" s="1"/>
    </x:row>
    <x:row r="1580">
      <x:c r="A1580" s="1"/>
      <x:c r="B1580" s="1"/>
      <x:c r="C1580" s="1"/>
      <x:c r="D1580" s="1"/>
      <x:c r="E1580" s="1"/>
      <x:c r="F1580" s="1"/>
      <x:c r="G1580" s="1"/>
      <x:c r="H1580" s="1"/>
      <x:c r="I1580" s="1"/>
      <x:c r="J1580" s="1"/>
      <x:c r="K1580" s="1"/>
      <x:c r="L1580" s="1"/>
      <x:c r="M1580" s="1"/>
      <x:c r="N1580" s="1"/>
      <x:c r="O1580" s="1"/>
      <x:c r="P1580" s="1"/>
      <x:c r="Q1580" s="1"/>
      <x:c r="R1580" s="1"/>
      <x:c r="S1580" s="1"/>
      <x:c r="T1580" s="1"/>
      <x:c r="U1580" s="1"/>
      <x:c r="V1580" s="1"/>
    </x:row>
    <x:row r="1581">
      <x:c r="A1581" s="1"/>
      <x:c r="B1581" s="1"/>
      <x:c r="C1581" s="1"/>
      <x:c r="D1581" s="1"/>
      <x:c r="E1581" s="1"/>
      <x:c r="F1581" s="1"/>
      <x:c r="G1581" s="1"/>
      <x:c r="H1581" s="1"/>
      <x:c r="I1581" s="1"/>
      <x:c r="J1581" s="1"/>
      <x:c r="K1581" s="1"/>
      <x:c r="L1581" s="1"/>
      <x:c r="M1581" s="1"/>
      <x:c r="N1581" s="1"/>
      <x:c r="O1581" s="1"/>
      <x:c r="P1581" s="1"/>
      <x:c r="Q1581" s="1"/>
      <x:c r="R1581" s="1"/>
      <x:c r="S1581" s="1"/>
      <x:c r="T1581" s="1"/>
      <x:c r="U1581" s="1"/>
      <x:c r="V1581" s="1"/>
    </x:row>
    <x:row r="1582">
      <x:c r="A1582" s="1"/>
      <x:c r="B1582" s="1"/>
      <x:c r="C1582" s="1"/>
      <x:c r="D1582" s="1"/>
      <x:c r="E1582" s="1"/>
      <x:c r="F1582" s="1"/>
      <x:c r="G1582" s="1"/>
      <x:c r="H1582" s="1"/>
      <x:c r="I1582" s="1"/>
      <x:c r="J1582" s="1"/>
      <x:c r="K1582" s="1"/>
      <x:c r="L1582" s="1"/>
      <x:c r="M1582" s="1"/>
      <x:c r="N1582" s="1"/>
      <x:c r="O1582" s="1"/>
      <x:c r="P1582" s="1"/>
      <x:c r="Q1582" s="1"/>
      <x:c r="R1582" s="1"/>
      <x:c r="S1582" s="1"/>
      <x:c r="T1582" s="1"/>
      <x:c r="U1582" s="1"/>
      <x:c r="V1582" s="1"/>
    </x:row>
    <x:row r="1583">
      <x:c r="A1583" s="1"/>
      <x:c r="B1583" s="1"/>
      <x:c r="C1583" s="1"/>
      <x:c r="D1583" s="1"/>
      <x:c r="E1583" s="1"/>
      <x:c r="F1583" s="1"/>
      <x:c r="G1583" s="1"/>
      <x:c r="H1583" s="1"/>
      <x:c r="I1583" s="1"/>
      <x:c r="J1583" s="1"/>
      <x:c r="K1583" s="1"/>
      <x:c r="L1583" s="1"/>
      <x:c r="M1583" s="1"/>
      <x:c r="N1583" s="1"/>
      <x:c r="O1583" s="1"/>
      <x:c r="P1583" s="1"/>
      <x:c r="Q1583" s="1"/>
      <x:c r="R1583" s="1"/>
      <x:c r="S1583" s="1"/>
      <x:c r="T1583" s="1"/>
      <x:c r="U1583" s="1"/>
      <x:c r="V1583" s="1"/>
    </x:row>
    <x:row r="1584">
      <x:c r="A1584" s="1"/>
      <x:c r="B1584" s="1"/>
      <x:c r="C1584" s="1"/>
      <x:c r="D1584" s="1"/>
      <x:c r="E1584" s="1"/>
      <x:c r="F1584" s="1"/>
      <x:c r="G1584" s="1"/>
      <x:c r="H1584" s="1"/>
      <x:c r="I1584" s="1"/>
      <x:c r="J1584" s="1"/>
      <x:c r="K1584" s="1"/>
      <x:c r="L1584" s="1"/>
      <x:c r="M1584" s="1"/>
      <x:c r="N1584" s="1"/>
      <x:c r="O1584" s="1"/>
      <x:c r="P1584" s="1"/>
      <x:c r="Q1584" s="1"/>
      <x:c r="R1584" s="1"/>
      <x:c r="S1584" s="1"/>
      <x:c r="T1584" s="1"/>
      <x:c r="U1584" s="1"/>
      <x:c r="V1584" s="1"/>
    </x:row>
    <x:row r="1585">
      <x:c r="A1585" s="1"/>
      <x:c r="B1585" s="1"/>
      <x:c r="C1585" s="1"/>
      <x:c r="D1585" s="1"/>
      <x:c r="E1585" s="1"/>
      <x:c r="F1585" s="1"/>
      <x:c r="G1585" s="1"/>
      <x:c r="H1585" s="1"/>
      <x:c r="I1585" s="1"/>
      <x:c r="J1585" s="1"/>
      <x:c r="K1585" s="1"/>
      <x:c r="L1585" s="1"/>
      <x:c r="M1585" s="1"/>
      <x:c r="N1585" s="1"/>
      <x:c r="O1585" s="1"/>
      <x:c r="P1585" s="1"/>
      <x:c r="Q1585" s="1"/>
      <x:c r="R1585" s="1"/>
      <x:c r="S1585" s="1"/>
      <x:c r="T1585" s="1"/>
      <x:c r="U1585" s="1"/>
      <x:c r="V1585" s="1"/>
    </x:row>
    <x:row r="1586">
      <x:c r="A1586" s="1"/>
      <x:c r="B1586" s="1"/>
      <x:c r="C1586" s="1"/>
      <x:c r="D1586" s="1"/>
      <x:c r="E1586" s="1"/>
      <x:c r="F1586" s="1"/>
      <x:c r="G1586" s="1"/>
      <x:c r="H1586" s="1"/>
      <x:c r="I1586" s="1"/>
      <x:c r="J1586" s="1"/>
      <x:c r="K1586" s="1"/>
      <x:c r="L1586" s="1"/>
      <x:c r="M1586" s="1"/>
      <x:c r="N1586" s="1"/>
      <x:c r="O1586" s="1"/>
      <x:c r="P1586" s="1"/>
      <x:c r="Q1586" s="1"/>
      <x:c r="R1586" s="1"/>
      <x:c r="S1586" s="1"/>
      <x:c r="T1586" s="1"/>
      <x:c r="U1586" s="1"/>
      <x:c r="V1586" s="1"/>
    </x:row>
    <x:row r="1587">
      <x:c r="A1587" s="1"/>
      <x:c r="B1587" s="1"/>
      <x:c r="C1587" s="1"/>
      <x:c r="D1587" s="1"/>
      <x:c r="E1587" s="1"/>
      <x:c r="F1587" s="1"/>
      <x:c r="G1587" s="1"/>
      <x:c r="H1587" s="1"/>
      <x:c r="I1587" s="1"/>
      <x:c r="J1587" s="1"/>
      <x:c r="K1587" s="1"/>
      <x:c r="L1587" s="1"/>
      <x:c r="M1587" s="1"/>
      <x:c r="N1587" s="1"/>
      <x:c r="O1587" s="1"/>
      <x:c r="P1587" s="1"/>
      <x:c r="Q1587" s="1"/>
      <x:c r="R1587" s="1"/>
      <x:c r="S1587" s="1"/>
      <x:c r="T1587" s="1"/>
      <x:c r="U1587" s="1"/>
      <x:c r="V1587" s="1"/>
    </x:row>
    <x:row r="1588">
      <x:c r="A1588" s="1"/>
      <x:c r="B1588" s="1"/>
      <x:c r="C1588" s="1"/>
      <x:c r="D1588" s="1"/>
      <x:c r="E1588" s="1"/>
      <x:c r="F1588" s="1"/>
      <x:c r="G1588" s="1"/>
      <x:c r="H1588" s="1"/>
      <x:c r="I1588" s="1"/>
      <x:c r="J1588" s="1"/>
      <x:c r="K1588" s="1"/>
      <x:c r="L1588" s="1"/>
      <x:c r="M1588" s="1"/>
      <x:c r="N1588" s="1"/>
      <x:c r="O1588" s="1"/>
      <x:c r="P1588" s="1"/>
      <x:c r="Q1588" s="1"/>
      <x:c r="R1588" s="1"/>
      <x:c r="S1588" s="1"/>
      <x:c r="T1588" s="1"/>
      <x:c r="U1588" s="1"/>
      <x:c r="V1588" s="1"/>
    </x:row>
    <x:row r="1589">
      <x:c r="A1589" s="1"/>
      <x:c r="B1589" s="1"/>
      <x:c r="C1589" s="1"/>
      <x:c r="D1589" s="1"/>
      <x:c r="E1589" s="1"/>
      <x:c r="F1589" s="1"/>
      <x:c r="G1589" s="1"/>
      <x:c r="H1589" s="1"/>
      <x:c r="I1589" s="1"/>
      <x:c r="J1589" s="1"/>
      <x:c r="K1589" s="1"/>
      <x:c r="L1589" s="1"/>
      <x:c r="M1589" s="1"/>
      <x:c r="N1589" s="1"/>
      <x:c r="O1589" s="1"/>
      <x:c r="P1589" s="1"/>
      <x:c r="Q1589" s="1"/>
      <x:c r="R1589" s="1"/>
      <x:c r="S1589" s="1"/>
      <x:c r="T1589" s="1"/>
      <x:c r="U1589" s="1"/>
      <x:c r="V1589" s="1"/>
    </x:row>
    <x:row r="1590">
      <x:c r="A1590" s="1"/>
      <x:c r="B1590" s="1"/>
      <x:c r="C1590" s="1"/>
      <x:c r="D1590" s="1"/>
      <x:c r="E1590" s="1"/>
      <x:c r="F1590" s="1"/>
      <x:c r="G1590" s="1"/>
      <x:c r="H1590" s="1"/>
      <x:c r="I1590" s="1"/>
      <x:c r="J1590" s="1"/>
      <x:c r="K1590" s="1"/>
      <x:c r="L1590" s="1"/>
      <x:c r="M1590" s="1"/>
      <x:c r="N1590" s="1"/>
      <x:c r="O1590" s="1"/>
      <x:c r="P1590" s="1"/>
      <x:c r="Q1590" s="1"/>
      <x:c r="R1590" s="1"/>
      <x:c r="S1590" s="1"/>
      <x:c r="T1590" s="1"/>
      <x:c r="U1590" s="1"/>
      <x:c r="V1590" s="1"/>
    </x:row>
    <x:row r="1591">
      <x:c r="A1591" s="1"/>
      <x:c r="B1591" s="1"/>
      <x:c r="C1591" s="1"/>
      <x:c r="D1591" s="1"/>
      <x:c r="E1591" s="1"/>
      <x:c r="F1591" s="1"/>
      <x:c r="G1591" s="1"/>
      <x:c r="H1591" s="1"/>
      <x:c r="I1591" s="1"/>
      <x:c r="J1591" s="1"/>
      <x:c r="K1591" s="1"/>
      <x:c r="L1591" s="1"/>
      <x:c r="M1591" s="1"/>
      <x:c r="N1591" s="1"/>
      <x:c r="O1591" s="1"/>
      <x:c r="P1591" s="1"/>
      <x:c r="Q1591" s="1"/>
      <x:c r="R1591" s="1"/>
      <x:c r="S1591" s="1"/>
      <x:c r="T1591" s="1"/>
      <x:c r="U1591" s="1"/>
      <x:c r="V1591" s="1"/>
    </x:row>
    <x:row r="1592">
      <x:c r="A1592" s="1"/>
      <x:c r="B1592" s="1"/>
      <x:c r="C1592" s="1"/>
      <x:c r="D1592" s="1"/>
      <x:c r="E1592" s="1"/>
      <x:c r="F1592" s="1"/>
      <x:c r="G1592" s="1"/>
      <x:c r="H1592" s="1"/>
      <x:c r="I1592" s="1"/>
      <x:c r="J1592" s="1"/>
      <x:c r="K1592" s="1"/>
      <x:c r="L1592" s="1"/>
      <x:c r="M1592" s="1"/>
      <x:c r="N1592" s="1"/>
      <x:c r="O1592" s="1"/>
      <x:c r="P1592" s="1"/>
      <x:c r="Q1592" s="1"/>
      <x:c r="R1592" s="1"/>
      <x:c r="S1592" s="1"/>
      <x:c r="T1592" s="1"/>
      <x:c r="U1592" s="1"/>
      <x:c r="V1592" s="1"/>
    </x:row>
    <x:row r="1593">
      <x:c r="A1593" s="1"/>
      <x:c r="B1593" s="1"/>
      <x:c r="C1593" s="1"/>
      <x:c r="D1593" s="1"/>
      <x:c r="E1593" s="1"/>
      <x:c r="F1593" s="1"/>
      <x:c r="G1593" s="1"/>
      <x:c r="H1593" s="1"/>
      <x:c r="I1593" s="1"/>
      <x:c r="J1593" s="1"/>
      <x:c r="K1593" s="1"/>
      <x:c r="L1593" s="1"/>
      <x:c r="M1593" s="1"/>
      <x:c r="N1593" s="1"/>
      <x:c r="O1593" s="1"/>
      <x:c r="P1593" s="1"/>
      <x:c r="Q1593" s="1"/>
      <x:c r="R1593" s="1"/>
      <x:c r="S1593" s="1"/>
      <x:c r="T1593" s="1"/>
      <x:c r="U1593" s="1"/>
      <x:c r="V1593" s="1"/>
    </x:row>
    <x:row r="1594">
      <x:c r="A1594" s="1"/>
      <x:c r="B1594" s="1"/>
      <x:c r="C1594" s="1"/>
      <x:c r="D1594" s="1"/>
      <x:c r="E1594" s="1"/>
      <x:c r="F1594" s="1"/>
      <x:c r="G1594" s="1"/>
      <x:c r="H1594" s="1"/>
      <x:c r="I1594" s="1"/>
      <x:c r="J1594" s="1"/>
      <x:c r="K1594" s="1"/>
      <x:c r="L1594" s="1"/>
      <x:c r="M1594" s="1"/>
      <x:c r="N1594" s="1"/>
      <x:c r="O1594" s="1"/>
      <x:c r="P1594" s="1"/>
      <x:c r="Q1594" s="1"/>
      <x:c r="R1594" s="1"/>
      <x:c r="S1594" s="1"/>
      <x:c r="T1594" s="1"/>
      <x:c r="U1594" s="1"/>
      <x:c r="V1594" s="1"/>
    </x:row>
    <x:row r="1595">
      <x:c r="A1595" s="1"/>
      <x:c r="B1595" s="1"/>
      <x:c r="C1595" s="1"/>
      <x:c r="D1595" s="1"/>
      <x:c r="E1595" s="1"/>
      <x:c r="F1595" s="1"/>
      <x:c r="G1595" s="1"/>
      <x:c r="H1595" s="1"/>
      <x:c r="I1595" s="1"/>
      <x:c r="J1595" s="1"/>
      <x:c r="K1595" s="1"/>
      <x:c r="L1595" s="1"/>
      <x:c r="M1595" s="1"/>
      <x:c r="N1595" s="1"/>
      <x:c r="O1595" s="1"/>
      <x:c r="P1595" s="1"/>
      <x:c r="Q1595" s="1"/>
      <x:c r="R1595" s="1"/>
      <x:c r="S1595" s="1"/>
      <x:c r="T1595" s="1"/>
      <x:c r="U1595" s="1"/>
      <x:c r="V1595" s="1"/>
    </x:row>
    <x:row r="1596">
      <x:c r="A1596" s="1"/>
      <x:c r="B1596" s="1"/>
      <x:c r="C1596" s="1"/>
      <x:c r="D1596" s="1"/>
      <x:c r="E1596" s="1"/>
      <x:c r="F1596" s="1"/>
      <x:c r="G1596" s="1"/>
      <x:c r="H1596" s="1"/>
      <x:c r="I1596" s="1"/>
      <x:c r="J1596" s="1"/>
      <x:c r="K1596" s="1"/>
      <x:c r="L1596" s="1"/>
      <x:c r="M1596" s="1"/>
      <x:c r="N1596" s="1"/>
      <x:c r="O1596" s="1"/>
      <x:c r="P1596" s="1"/>
      <x:c r="Q1596" s="1"/>
      <x:c r="R1596" s="1"/>
      <x:c r="S1596" s="1"/>
      <x:c r="T1596" s="1"/>
      <x:c r="U1596" s="1"/>
      <x:c r="V1596" s="1"/>
    </x:row>
    <x:row r="1597">
      <x:c r="A1597" s="1"/>
      <x:c r="B1597" s="1"/>
      <x:c r="C1597" s="1"/>
      <x:c r="D1597" s="1"/>
      <x:c r="E1597" s="1"/>
      <x:c r="F1597" s="1"/>
      <x:c r="G1597" s="1"/>
      <x:c r="H1597" s="1"/>
      <x:c r="I1597" s="1"/>
      <x:c r="J1597" s="1"/>
      <x:c r="K1597" s="1"/>
      <x:c r="L1597" s="1"/>
      <x:c r="M1597" s="1"/>
      <x:c r="N1597" s="1"/>
      <x:c r="O1597" s="1"/>
      <x:c r="P1597" s="1"/>
      <x:c r="Q1597" s="1"/>
      <x:c r="R1597" s="1"/>
      <x:c r="S1597" s="1"/>
      <x:c r="T1597" s="1"/>
      <x:c r="U1597" s="1"/>
      <x:c r="V1597" s="1"/>
    </x:row>
    <x:row r="1598">
      <x:c r="A1598" s="1"/>
      <x:c r="B1598" s="1"/>
      <x:c r="C1598" s="1"/>
      <x:c r="D1598" s="1"/>
      <x:c r="E1598" s="1"/>
      <x:c r="F1598" s="1"/>
      <x:c r="G1598" s="1"/>
      <x:c r="H1598" s="1"/>
      <x:c r="I1598" s="1"/>
      <x:c r="J1598" s="1"/>
      <x:c r="K1598" s="1"/>
      <x:c r="L1598" s="1"/>
      <x:c r="M1598" s="1"/>
      <x:c r="N1598" s="1"/>
      <x:c r="O1598" s="1"/>
      <x:c r="P1598" s="1"/>
      <x:c r="Q1598" s="1"/>
      <x:c r="R1598" s="1"/>
      <x:c r="S1598" s="1"/>
      <x:c r="T1598" s="1"/>
      <x:c r="U1598" s="1"/>
      <x:c r="V1598" s="1"/>
    </x:row>
    <x:row r="1599">
      <x:c r="A1599" s="1"/>
      <x:c r="B1599" s="1"/>
      <x:c r="C1599" s="1"/>
      <x:c r="D1599" s="1"/>
      <x:c r="E1599" s="1"/>
      <x:c r="F1599" s="1"/>
      <x:c r="G1599" s="1"/>
      <x:c r="H1599" s="1"/>
      <x:c r="I1599" s="1"/>
      <x:c r="J1599" s="1"/>
      <x:c r="K1599" s="1"/>
      <x:c r="L1599" s="1"/>
      <x:c r="M1599" s="1"/>
      <x:c r="N1599" s="1"/>
      <x:c r="O1599" s="1"/>
      <x:c r="P1599" s="1"/>
      <x:c r="Q1599" s="1"/>
      <x:c r="R1599" s="1"/>
      <x:c r="S1599" s="1"/>
      <x:c r="T1599" s="1"/>
      <x:c r="U1599" s="1"/>
      <x:c r="V1599" s="1"/>
    </x:row>
    <x:row r="1600">
      <x:c r="A1600" s="1"/>
      <x:c r="B1600" s="1"/>
      <x:c r="C1600" s="1"/>
      <x:c r="D1600" s="1"/>
      <x:c r="E1600" s="1"/>
      <x:c r="F1600" s="1"/>
      <x:c r="G1600" s="1"/>
      <x:c r="H1600" s="1"/>
      <x:c r="I1600" s="1"/>
      <x:c r="J1600" s="1"/>
      <x:c r="K1600" s="1"/>
      <x:c r="L1600" s="1"/>
      <x:c r="M1600" s="1"/>
      <x:c r="N1600" s="1"/>
      <x:c r="O1600" s="1"/>
      <x:c r="P1600" s="1"/>
      <x:c r="Q1600" s="1"/>
      <x:c r="R1600" s="1"/>
      <x:c r="S1600" s="1"/>
      <x:c r="T1600" s="1"/>
      <x:c r="U1600" s="1"/>
      <x:c r="V1600" s="1"/>
    </x:row>
    <x:row r="1601">
      <x:c r="A1601" s="1"/>
      <x:c r="B1601" s="1"/>
      <x:c r="C1601" s="1"/>
      <x:c r="D1601" s="1"/>
      <x:c r="E1601" s="1"/>
      <x:c r="F1601" s="1"/>
      <x:c r="G1601" s="1"/>
      <x:c r="H1601" s="1"/>
      <x:c r="I1601" s="1"/>
      <x:c r="J1601" s="1"/>
      <x:c r="K1601" s="1"/>
      <x:c r="L1601" s="1"/>
      <x:c r="M1601" s="1"/>
      <x:c r="N1601" s="1"/>
      <x:c r="O1601" s="1"/>
      <x:c r="P1601" s="1"/>
      <x:c r="Q1601" s="1"/>
      <x:c r="R1601" s="1"/>
      <x:c r="S1601" s="1"/>
      <x:c r="T1601" s="1"/>
      <x:c r="U1601" s="1"/>
      <x:c r="V1601" s="1"/>
    </x:row>
    <x:row r="1602">
      <x:c r="A1602" s="1"/>
      <x:c r="B1602" s="1"/>
      <x:c r="C1602" s="1"/>
      <x:c r="D1602" s="1"/>
      <x:c r="E1602" s="1"/>
      <x:c r="F1602" s="1"/>
      <x:c r="G1602" s="1"/>
      <x:c r="H1602" s="1"/>
      <x:c r="I1602" s="1"/>
      <x:c r="J1602" s="1"/>
      <x:c r="K1602" s="1"/>
      <x:c r="L1602" s="1"/>
      <x:c r="M1602" s="1"/>
      <x:c r="N1602" s="1"/>
      <x:c r="O1602" s="1"/>
      <x:c r="P1602" s="1"/>
      <x:c r="Q1602" s="1"/>
      <x:c r="R1602" s="1"/>
      <x:c r="S1602" s="1"/>
      <x:c r="T1602" s="1"/>
      <x:c r="U1602" s="1"/>
      <x:c r="V1602" s="1"/>
    </x:row>
    <x:row r="1603">
      <x:c r="A1603" s="1"/>
      <x:c r="B1603" s="1"/>
      <x:c r="C1603" s="1"/>
      <x:c r="D1603" s="1"/>
      <x:c r="E1603" s="1"/>
      <x:c r="F1603" s="1"/>
      <x:c r="G1603" s="1"/>
      <x:c r="H1603" s="1"/>
      <x:c r="I1603" s="1"/>
      <x:c r="J1603" s="1"/>
      <x:c r="K1603" s="1"/>
      <x:c r="L1603" s="1"/>
      <x:c r="M1603" s="1"/>
      <x:c r="N1603" s="1"/>
      <x:c r="O1603" s="1"/>
      <x:c r="P1603" s="1"/>
      <x:c r="Q1603" s="1"/>
      <x:c r="R1603" s="1"/>
      <x:c r="S1603" s="1"/>
      <x:c r="T1603" s="1"/>
      <x:c r="U1603" s="1"/>
      <x:c r="V1603" s="1"/>
    </x:row>
    <x:row r="1604">
      <x:c r="A1604" s="1"/>
      <x:c r="B1604" s="1"/>
      <x:c r="C1604" s="1"/>
      <x:c r="D1604" s="1"/>
      <x:c r="E1604" s="1"/>
      <x:c r="F1604" s="1"/>
      <x:c r="G1604" s="1"/>
      <x:c r="H1604" s="1"/>
      <x:c r="I1604" s="1"/>
      <x:c r="J1604" s="1"/>
      <x:c r="K1604" s="1"/>
      <x:c r="L1604" s="1"/>
      <x:c r="M1604" s="1"/>
      <x:c r="N1604" s="1"/>
      <x:c r="O1604" s="1"/>
      <x:c r="P1604" s="1"/>
      <x:c r="Q1604" s="1"/>
      <x:c r="R1604" s="1"/>
      <x:c r="S1604" s="1"/>
      <x:c r="T1604" s="1"/>
      <x:c r="U1604" s="1"/>
      <x:c r="V1604" s="1"/>
    </x:row>
    <x:row r="1605">
      <x:c r="A1605" s="1"/>
      <x:c r="B1605" s="1"/>
      <x:c r="C1605" s="1"/>
      <x:c r="D1605" s="1"/>
      <x:c r="E1605" s="1"/>
      <x:c r="F1605" s="1"/>
      <x:c r="G1605" s="1"/>
      <x:c r="H1605" s="1"/>
      <x:c r="I1605" s="1"/>
      <x:c r="J1605" s="1"/>
      <x:c r="K1605" s="1"/>
      <x:c r="L1605" s="1"/>
      <x:c r="M1605" s="1"/>
      <x:c r="N1605" s="1"/>
      <x:c r="O1605" s="1"/>
      <x:c r="P1605" s="1"/>
      <x:c r="Q1605" s="1"/>
      <x:c r="R1605" s="1"/>
      <x:c r="S1605" s="1"/>
      <x:c r="T1605" s="1"/>
      <x:c r="U1605" s="1"/>
      <x:c r="V1605" s="1"/>
    </x:row>
    <x:row r="1606">
      <x:c r="A1606" s="1"/>
      <x:c r="B1606" s="1"/>
      <x:c r="C1606" s="1"/>
      <x:c r="D1606" s="1"/>
      <x:c r="E1606" s="1"/>
      <x:c r="F1606" s="1"/>
      <x:c r="G1606" s="1"/>
      <x:c r="H1606" s="1"/>
      <x:c r="I1606" s="1"/>
      <x:c r="J1606" s="1"/>
      <x:c r="K1606" s="1"/>
      <x:c r="L1606" s="1"/>
      <x:c r="M1606" s="1"/>
      <x:c r="N1606" s="1"/>
      <x:c r="O1606" s="1"/>
      <x:c r="P1606" s="1"/>
      <x:c r="Q1606" s="1"/>
      <x:c r="R1606" s="1"/>
      <x:c r="S1606" s="1"/>
      <x:c r="T1606" s="1"/>
      <x:c r="U1606" s="1"/>
      <x:c r="V1606" s="1"/>
    </x:row>
    <x:row r="1607">
      <x:c r="A1607" s="1"/>
      <x:c r="B1607" s="1"/>
      <x:c r="C1607" s="1"/>
      <x:c r="D1607" s="1"/>
      <x:c r="E1607" s="1"/>
      <x:c r="F1607" s="1"/>
      <x:c r="G1607" s="1"/>
      <x:c r="H1607" s="1"/>
      <x:c r="I1607" s="1"/>
      <x:c r="J1607" s="1"/>
      <x:c r="K1607" s="1"/>
      <x:c r="L1607" s="1"/>
      <x:c r="M1607" s="1"/>
      <x:c r="N1607" s="1"/>
      <x:c r="O1607" s="1"/>
      <x:c r="P1607" s="1"/>
      <x:c r="Q1607" s="1"/>
      <x:c r="R1607" s="1"/>
      <x:c r="S1607" s="1"/>
      <x:c r="T1607" s="1"/>
      <x:c r="U1607" s="1"/>
      <x:c r="V1607" s="1"/>
    </x:row>
    <x:row r="1608">
      <x:c r="A1608" s="1"/>
      <x:c r="B1608" s="1"/>
      <x:c r="C1608" s="1"/>
      <x:c r="D1608" s="1"/>
      <x:c r="E1608" s="1"/>
      <x:c r="F1608" s="1"/>
      <x:c r="G1608" s="1"/>
      <x:c r="H1608" s="1"/>
      <x:c r="I1608" s="1"/>
      <x:c r="J1608" s="1"/>
      <x:c r="K1608" s="1"/>
      <x:c r="L1608" s="1"/>
      <x:c r="M1608" s="1"/>
      <x:c r="N1608" s="1"/>
      <x:c r="O1608" s="1"/>
      <x:c r="P1608" s="1"/>
      <x:c r="Q1608" s="1"/>
      <x:c r="R1608" s="1"/>
      <x:c r="S1608" s="1"/>
      <x:c r="T1608" s="1"/>
      <x:c r="U1608" s="1"/>
      <x:c r="V1608" s="1"/>
    </x:row>
    <x:row r="1609">
      <x:c r="A1609" s="1"/>
      <x:c r="B1609" s="1"/>
      <x:c r="C1609" s="1"/>
      <x:c r="D1609" s="1"/>
      <x:c r="E1609" s="1"/>
      <x:c r="F1609" s="1"/>
      <x:c r="G1609" s="1"/>
      <x:c r="H1609" s="1"/>
      <x:c r="I1609" s="1"/>
      <x:c r="J1609" s="1"/>
      <x:c r="K1609" s="1"/>
      <x:c r="L1609" s="1"/>
      <x:c r="M1609" s="1"/>
      <x:c r="N1609" s="1"/>
      <x:c r="O1609" s="1"/>
      <x:c r="P1609" s="1"/>
      <x:c r="Q1609" s="1"/>
      <x:c r="R1609" s="1"/>
      <x:c r="S1609" s="1"/>
      <x:c r="T1609" s="1"/>
      <x:c r="U1609" s="1"/>
      <x:c r="V1609" s="1"/>
    </x:row>
    <x:row r="1610">
      <x:c r="A1610" s="1"/>
      <x:c r="B1610" s="1"/>
      <x:c r="C1610" s="1"/>
      <x:c r="D1610" s="1"/>
      <x:c r="E1610" s="1"/>
      <x:c r="F1610" s="1"/>
      <x:c r="G1610" s="1"/>
      <x:c r="H1610" s="1"/>
      <x:c r="I1610" s="1"/>
      <x:c r="J1610" s="1"/>
      <x:c r="K1610" s="1"/>
      <x:c r="L1610" s="1"/>
      <x:c r="M1610" s="1"/>
      <x:c r="N1610" s="1"/>
      <x:c r="O1610" s="1"/>
      <x:c r="P1610" s="1"/>
      <x:c r="Q1610" s="1"/>
      <x:c r="R1610" s="1"/>
      <x:c r="S1610" s="1"/>
      <x:c r="T1610" s="1"/>
      <x:c r="U1610" s="1"/>
      <x:c r="V1610" s="1"/>
    </x:row>
    <x:row r="1611">
      <x:c r="A1611" s="1"/>
      <x:c r="B1611" s="1"/>
      <x:c r="C1611" s="1"/>
      <x:c r="D1611" s="1"/>
      <x:c r="E1611" s="1"/>
      <x:c r="F1611" s="1"/>
      <x:c r="G1611" s="1"/>
      <x:c r="H1611" s="1"/>
      <x:c r="I1611" s="1"/>
      <x:c r="J1611" s="1"/>
      <x:c r="K1611" s="1"/>
      <x:c r="L1611" s="1"/>
      <x:c r="M1611" s="1"/>
      <x:c r="N1611" s="1"/>
      <x:c r="O1611" s="1"/>
      <x:c r="P1611" s="1"/>
      <x:c r="Q1611" s="1"/>
      <x:c r="R1611" s="1"/>
      <x:c r="S1611" s="1"/>
      <x:c r="T1611" s="1"/>
      <x:c r="U1611" s="1"/>
      <x:c r="V1611" s="1"/>
    </x:row>
    <x:row r="1612">
      <x:c r="A1612" s="1"/>
      <x:c r="B1612" s="1"/>
      <x:c r="C1612" s="1"/>
      <x:c r="D1612" s="1"/>
      <x:c r="E1612" s="1"/>
      <x:c r="F1612" s="1"/>
      <x:c r="G1612" s="1"/>
      <x:c r="H1612" s="1"/>
      <x:c r="I1612" s="1"/>
      <x:c r="J1612" s="1"/>
      <x:c r="K1612" s="1"/>
      <x:c r="L1612" s="1"/>
      <x:c r="M1612" s="1"/>
      <x:c r="N1612" s="1"/>
      <x:c r="O1612" s="1"/>
      <x:c r="P1612" s="1"/>
      <x:c r="Q1612" s="1"/>
      <x:c r="R1612" s="1"/>
      <x:c r="S1612" s="1"/>
      <x:c r="T1612" s="1"/>
      <x:c r="U1612" s="1"/>
      <x:c r="V1612" s="1"/>
    </x:row>
    <x:row r="1613">
      <x:c r="A1613" s="1"/>
      <x:c r="B1613" s="1"/>
      <x:c r="C1613" s="1"/>
      <x:c r="D1613" s="1"/>
      <x:c r="E1613" s="1"/>
      <x:c r="F1613" s="1"/>
      <x:c r="G1613" s="1"/>
      <x:c r="H1613" s="1"/>
      <x:c r="I1613" s="1"/>
      <x:c r="J1613" s="1"/>
      <x:c r="K1613" s="1"/>
      <x:c r="L1613" s="1"/>
      <x:c r="M1613" s="1"/>
      <x:c r="N1613" s="1"/>
      <x:c r="O1613" s="1"/>
      <x:c r="P1613" s="1"/>
      <x:c r="Q1613" s="1"/>
      <x:c r="R1613" s="1"/>
      <x:c r="S1613" s="1"/>
      <x:c r="T1613" s="1"/>
      <x:c r="U1613" s="1"/>
      <x:c r="V1613" s="1"/>
    </x:row>
    <x:row r="1614">
      <x:c r="A1614" s="1"/>
      <x:c r="B1614" s="1"/>
      <x:c r="C1614" s="1"/>
      <x:c r="D1614" s="1"/>
      <x:c r="E1614" s="1"/>
      <x:c r="F1614" s="1"/>
      <x:c r="G1614" s="1"/>
      <x:c r="H1614" s="1"/>
      <x:c r="I1614" s="1"/>
      <x:c r="J1614" s="1"/>
      <x:c r="K1614" s="1"/>
      <x:c r="L1614" s="1"/>
      <x:c r="M1614" s="1"/>
      <x:c r="N1614" s="1"/>
      <x:c r="O1614" s="1"/>
      <x:c r="P1614" s="1"/>
      <x:c r="Q1614" s="1"/>
      <x:c r="R1614" s="1"/>
      <x:c r="S1614" s="1"/>
      <x:c r="T1614" s="1"/>
      <x:c r="U1614" s="1"/>
      <x:c r="V1614" s="1"/>
    </x:row>
    <x:row r="1615">
      <x:c r="A1615" s="1"/>
      <x:c r="B1615" s="1"/>
      <x:c r="C1615" s="1"/>
      <x:c r="D1615" s="1"/>
      <x:c r="E1615" s="1"/>
      <x:c r="F1615" s="1"/>
      <x:c r="G1615" s="1"/>
      <x:c r="H1615" s="1"/>
      <x:c r="I1615" s="1"/>
      <x:c r="J1615" s="1"/>
      <x:c r="K1615" s="1"/>
      <x:c r="L1615" s="1"/>
      <x:c r="M1615" s="1"/>
      <x:c r="N1615" s="1"/>
      <x:c r="O1615" s="1"/>
      <x:c r="P1615" s="1"/>
      <x:c r="Q1615" s="1"/>
      <x:c r="R1615" s="1"/>
      <x:c r="S1615" s="1"/>
      <x:c r="T1615" s="1"/>
      <x:c r="U1615" s="1"/>
      <x:c r="V1615" s="1"/>
    </x:row>
    <x:row r="1616">
      <x:c r="A1616" s="1"/>
      <x:c r="B1616" s="1"/>
      <x:c r="C1616" s="1"/>
      <x:c r="D1616" s="1"/>
      <x:c r="E1616" s="1"/>
      <x:c r="F1616" s="1"/>
      <x:c r="G1616" s="1"/>
      <x:c r="H1616" s="1"/>
      <x:c r="I1616" s="1"/>
      <x:c r="J1616" s="1"/>
      <x:c r="K1616" s="1"/>
      <x:c r="L1616" s="1"/>
      <x:c r="M1616" s="1"/>
      <x:c r="N1616" s="1"/>
      <x:c r="O1616" s="1"/>
      <x:c r="P1616" s="1"/>
      <x:c r="Q1616" s="1"/>
      <x:c r="R1616" s="1"/>
      <x:c r="S1616" s="1"/>
      <x:c r="T1616" s="1"/>
      <x:c r="U1616" s="1"/>
      <x:c r="V1616" s="1"/>
    </x:row>
    <x:row r="1617">
      <x:c r="A1617" s="1"/>
      <x:c r="B1617" s="1"/>
      <x:c r="C1617" s="1"/>
      <x:c r="D1617" s="1"/>
      <x:c r="E1617" s="1"/>
      <x:c r="F1617" s="1"/>
      <x:c r="G1617" s="1"/>
      <x:c r="H1617" s="1"/>
      <x:c r="I1617" s="1"/>
      <x:c r="J1617" s="1"/>
      <x:c r="K1617" s="1"/>
      <x:c r="L1617" s="1"/>
      <x:c r="M1617" s="1"/>
      <x:c r="N1617" s="1"/>
      <x:c r="O1617" s="1"/>
      <x:c r="P1617" s="1"/>
      <x:c r="Q1617" s="1"/>
      <x:c r="R1617" s="1"/>
      <x:c r="S1617" s="1"/>
      <x:c r="T1617" s="1"/>
      <x:c r="U1617" s="1"/>
      <x:c r="V1617" s="1"/>
    </x:row>
    <x:row r="1618">
      <x:c r="A1618" s="1"/>
      <x:c r="B1618" s="1"/>
      <x:c r="C1618" s="1"/>
      <x:c r="D1618" s="1"/>
      <x:c r="E1618" s="1"/>
      <x:c r="F1618" s="1"/>
      <x:c r="G1618" s="1"/>
      <x:c r="H1618" s="1"/>
      <x:c r="I1618" s="1"/>
      <x:c r="J1618" s="1"/>
      <x:c r="K1618" s="1"/>
      <x:c r="L1618" s="1"/>
      <x:c r="M1618" s="1"/>
      <x:c r="N1618" s="1"/>
      <x:c r="O1618" s="1"/>
      <x:c r="P1618" s="1"/>
      <x:c r="Q1618" s="1"/>
      <x:c r="R1618" s="1"/>
      <x:c r="S1618" s="1"/>
      <x:c r="T1618" s="1"/>
      <x:c r="U1618" s="1"/>
      <x:c r="V1618" s="1"/>
    </x:row>
    <x:row r="1619">
      <x:c r="A1619" s="1"/>
      <x:c r="B1619" s="1"/>
      <x:c r="C1619" s="1"/>
      <x:c r="D1619" s="1"/>
      <x:c r="E1619" s="1"/>
      <x:c r="F1619" s="1"/>
      <x:c r="G1619" s="1"/>
      <x:c r="H1619" s="1"/>
      <x:c r="I1619" s="1"/>
      <x:c r="J1619" s="1"/>
      <x:c r="K1619" s="1"/>
      <x:c r="L1619" s="1"/>
      <x:c r="M1619" s="1"/>
      <x:c r="N1619" s="1"/>
      <x:c r="O1619" s="1"/>
      <x:c r="P1619" s="1"/>
      <x:c r="Q1619" s="1"/>
      <x:c r="R1619" s="1"/>
      <x:c r="S1619" s="1"/>
      <x:c r="T1619" s="1"/>
      <x:c r="U1619" s="1"/>
      <x:c r="V1619" s="1"/>
    </x:row>
    <x:row r="1620">
      <x:c r="A1620" s="1"/>
      <x:c r="B1620" s="1"/>
      <x:c r="C1620" s="1"/>
      <x:c r="D1620" s="1"/>
      <x:c r="E1620" s="1"/>
      <x:c r="F1620" s="1"/>
      <x:c r="G1620" s="1"/>
      <x:c r="H1620" s="1"/>
      <x:c r="I1620" s="1"/>
      <x:c r="J1620" s="1"/>
      <x:c r="K1620" s="1"/>
      <x:c r="L1620" s="1"/>
      <x:c r="M1620" s="1"/>
      <x:c r="N1620" s="1"/>
      <x:c r="O1620" s="1"/>
      <x:c r="P1620" s="1"/>
      <x:c r="Q1620" s="1"/>
      <x:c r="R1620" s="1"/>
      <x:c r="S1620" s="1"/>
      <x:c r="T1620" s="1"/>
      <x:c r="U1620" s="1"/>
      <x:c r="V1620" s="1"/>
    </x:row>
    <x:row r="1621">
      <x:c r="A1621" s="1"/>
      <x:c r="B1621" s="1"/>
      <x:c r="C1621" s="1"/>
      <x:c r="D1621" s="1"/>
      <x:c r="E1621" s="1"/>
      <x:c r="F1621" s="1"/>
      <x:c r="G1621" s="1"/>
      <x:c r="H1621" s="1"/>
      <x:c r="I1621" s="1"/>
      <x:c r="J1621" s="1"/>
      <x:c r="K1621" s="1"/>
      <x:c r="L1621" s="1"/>
      <x:c r="M1621" s="1"/>
      <x:c r="N1621" s="1"/>
      <x:c r="O1621" s="1"/>
      <x:c r="P1621" s="1"/>
      <x:c r="Q1621" s="1"/>
      <x:c r="R1621" s="1"/>
      <x:c r="S1621" s="1"/>
      <x:c r="T1621" s="1"/>
      <x:c r="U1621" s="1"/>
      <x:c r="V1621" s="1"/>
    </x:row>
    <x:row r="1622">
      <x:c r="A1622" s="1"/>
      <x:c r="B1622" s="1"/>
      <x:c r="C1622" s="1"/>
      <x:c r="D1622" s="1"/>
      <x:c r="E1622" s="1"/>
      <x:c r="F1622" s="1"/>
      <x:c r="G1622" s="1"/>
      <x:c r="H1622" s="1"/>
      <x:c r="I1622" s="1"/>
      <x:c r="J1622" s="1"/>
      <x:c r="K1622" s="1"/>
      <x:c r="L1622" s="1"/>
      <x:c r="M1622" s="1"/>
      <x:c r="N1622" s="1"/>
      <x:c r="O1622" s="1"/>
      <x:c r="P1622" s="1"/>
      <x:c r="Q1622" s="1"/>
      <x:c r="R1622" s="1"/>
      <x:c r="S1622" s="1"/>
      <x:c r="T1622" s="1"/>
      <x:c r="U1622" s="1"/>
      <x:c r="V1622" s="1"/>
    </x:row>
    <x:row r="1623">
      <x:c r="A1623" s="1"/>
      <x:c r="B1623" s="1"/>
      <x:c r="C1623" s="1"/>
      <x:c r="D1623" s="1"/>
      <x:c r="E1623" s="1"/>
      <x:c r="F1623" s="1"/>
      <x:c r="G1623" s="1"/>
      <x:c r="H1623" s="1"/>
      <x:c r="I1623" s="1"/>
      <x:c r="J1623" s="1"/>
      <x:c r="K1623" s="1"/>
      <x:c r="L1623" s="1"/>
      <x:c r="M1623" s="1"/>
      <x:c r="N1623" s="1"/>
      <x:c r="O1623" s="1"/>
      <x:c r="P1623" s="1"/>
      <x:c r="Q1623" s="1"/>
      <x:c r="R1623" s="1"/>
      <x:c r="S1623" s="1"/>
      <x:c r="T1623" s="1"/>
      <x:c r="U1623" s="1"/>
      <x:c r="V1623" s="1"/>
    </x:row>
    <x:row r="1624">
      <x:c r="A1624" s="1"/>
      <x:c r="B1624" s="1"/>
      <x:c r="C1624" s="1"/>
      <x:c r="D1624" s="1"/>
      <x:c r="E1624" s="1"/>
      <x:c r="F1624" s="1"/>
      <x:c r="G1624" s="1"/>
      <x:c r="H1624" s="1"/>
      <x:c r="I1624" s="1"/>
      <x:c r="J1624" s="1"/>
      <x:c r="K1624" s="1"/>
      <x:c r="L1624" s="1"/>
      <x:c r="M1624" s="1"/>
      <x:c r="N1624" s="1"/>
      <x:c r="O1624" s="1"/>
      <x:c r="P1624" s="1"/>
      <x:c r="Q1624" s="1"/>
      <x:c r="R1624" s="1"/>
      <x:c r="S1624" s="1"/>
      <x:c r="T1624" s="1"/>
      <x:c r="U1624" s="1"/>
      <x:c r="V1624" s="1"/>
    </x:row>
    <x:row r="1625">
      <x:c r="A1625" s="1"/>
      <x:c r="B1625" s="1"/>
      <x:c r="C1625" s="1"/>
      <x:c r="D1625" s="1"/>
      <x:c r="E1625" s="1"/>
      <x:c r="F1625" s="1"/>
      <x:c r="G1625" s="1"/>
      <x:c r="H1625" s="1"/>
      <x:c r="I1625" s="1"/>
      <x:c r="J1625" s="1"/>
      <x:c r="K1625" s="1"/>
      <x:c r="L1625" s="1"/>
      <x:c r="M1625" s="1"/>
      <x:c r="N1625" s="1"/>
      <x:c r="O1625" s="1"/>
      <x:c r="P1625" s="1"/>
      <x:c r="Q1625" s="1"/>
      <x:c r="R1625" s="1"/>
      <x:c r="S1625" s="1"/>
      <x:c r="T1625" s="1"/>
      <x:c r="U1625" s="1"/>
      <x:c r="V1625" s="1"/>
    </x:row>
    <x:row r="1626">
      <x:c r="A1626" s="1"/>
      <x:c r="B1626" s="1"/>
      <x:c r="C1626" s="1"/>
      <x:c r="D1626" s="1"/>
      <x:c r="E1626" s="1"/>
      <x:c r="F1626" s="1"/>
      <x:c r="G1626" s="1"/>
      <x:c r="H1626" s="1"/>
      <x:c r="I1626" s="1"/>
      <x:c r="J1626" s="1"/>
      <x:c r="K1626" s="1"/>
      <x:c r="L1626" s="1"/>
      <x:c r="M1626" s="1"/>
      <x:c r="N1626" s="1"/>
      <x:c r="O1626" s="1"/>
      <x:c r="P1626" s="1"/>
      <x:c r="Q1626" s="1"/>
      <x:c r="R1626" s="1"/>
      <x:c r="S1626" s="1"/>
      <x:c r="T1626" s="1"/>
      <x:c r="U1626" s="1"/>
      <x:c r="V1626" s="1"/>
    </x:row>
    <x:row r="1627">
      <x:c r="A1627" s="1"/>
      <x:c r="B1627" s="1"/>
      <x:c r="C1627" s="1"/>
      <x:c r="D1627" s="1"/>
      <x:c r="E1627" s="1"/>
      <x:c r="F1627" s="1"/>
      <x:c r="G1627" s="1"/>
      <x:c r="H1627" s="1"/>
      <x:c r="I1627" s="1"/>
      <x:c r="J1627" s="1"/>
      <x:c r="K1627" s="1"/>
      <x:c r="L1627" s="1"/>
      <x:c r="M1627" s="1"/>
      <x:c r="N1627" s="1"/>
      <x:c r="O1627" s="1"/>
      <x:c r="P1627" s="1"/>
      <x:c r="Q1627" s="1"/>
      <x:c r="R1627" s="1"/>
      <x:c r="S1627" s="1"/>
      <x:c r="T1627" s="1"/>
      <x:c r="U1627" s="1"/>
      <x:c r="V1627" s="1"/>
    </x:row>
    <x:row r="1628">
      <x:c r="A1628" s="1"/>
      <x:c r="B1628" s="1"/>
      <x:c r="C1628" s="1"/>
      <x:c r="D1628" s="1"/>
      <x:c r="E1628" s="1"/>
      <x:c r="F1628" s="1"/>
      <x:c r="G1628" s="1"/>
      <x:c r="H1628" s="1"/>
      <x:c r="I1628" s="1"/>
      <x:c r="J1628" s="1"/>
      <x:c r="K1628" s="1"/>
      <x:c r="L1628" s="1"/>
      <x:c r="M1628" s="1"/>
      <x:c r="N1628" s="1"/>
      <x:c r="O1628" s="1"/>
      <x:c r="P1628" s="1"/>
      <x:c r="Q1628" s="1"/>
      <x:c r="R1628" s="1"/>
      <x:c r="S1628" s="1"/>
      <x:c r="T1628" s="1"/>
      <x:c r="U1628" s="1"/>
      <x:c r="V1628" s="1"/>
    </x:row>
    <x:row r="1629">
      <x:c r="A1629" s="1"/>
      <x:c r="B1629" s="1"/>
      <x:c r="C1629" s="1"/>
      <x:c r="D1629" s="1"/>
      <x:c r="E1629" s="1"/>
      <x:c r="F1629" s="1"/>
      <x:c r="G1629" s="1"/>
      <x:c r="H1629" s="1"/>
      <x:c r="I1629" s="1"/>
      <x:c r="J1629" s="1"/>
      <x:c r="K1629" s="1"/>
      <x:c r="L1629" s="1"/>
      <x:c r="M1629" s="1"/>
      <x:c r="N1629" s="1"/>
      <x:c r="O1629" s="1"/>
      <x:c r="P1629" s="1"/>
      <x:c r="Q1629" s="1"/>
      <x:c r="R1629" s="1"/>
      <x:c r="S1629" s="1"/>
      <x:c r="T1629" s="1"/>
      <x:c r="U1629" s="1"/>
      <x:c r="V1629" s="1"/>
    </x:row>
    <x:row r="1630">
      <x:c r="A1630" s="1"/>
      <x:c r="B1630" s="1"/>
      <x:c r="C1630" s="1"/>
      <x:c r="D1630" s="1"/>
      <x:c r="E1630" s="1"/>
      <x:c r="F1630" s="1"/>
      <x:c r="G1630" s="1"/>
      <x:c r="H1630" s="1"/>
      <x:c r="I1630" s="1"/>
      <x:c r="J1630" s="1"/>
      <x:c r="K1630" s="1"/>
      <x:c r="L1630" s="1"/>
      <x:c r="M1630" s="1"/>
      <x:c r="N1630" s="1"/>
      <x:c r="O1630" s="1"/>
      <x:c r="P1630" s="1"/>
      <x:c r="Q1630" s="1"/>
      <x:c r="R1630" s="1"/>
      <x:c r="S1630" s="1"/>
      <x:c r="T1630" s="1"/>
      <x:c r="U1630" s="1"/>
      <x:c r="V1630" s="1"/>
    </x:row>
    <x:row r="1631">
      <x:c r="A1631" s="1"/>
      <x:c r="B1631" s="1"/>
      <x:c r="C1631" s="1"/>
      <x:c r="D1631" s="1"/>
      <x:c r="E1631" s="1"/>
      <x:c r="F1631" s="1"/>
      <x:c r="G1631" s="1"/>
      <x:c r="H1631" s="1"/>
      <x:c r="I1631" s="1"/>
      <x:c r="J1631" s="1"/>
      <x:c r="K1631" s="1"/>
      <x:c r="L1631" s="1"/>
      <x:c r="M1631" s="1"/>
      <x:c r="N1631" s="1"/>
      <x:c r="O1631" s="1"/>
      <x:c r="P1631" s="1"/>
      <x:c r="Q1631" s="1"/>
      <x:c r="R1631" s="1"/>
      <x:c r="S1631" s="1"/>
      <x:c r="T1631" s="1"/>
      <x:c r="U1631" s="1"/>
      <x:c r="V1631" s="1"/>
    </x:row>
    <x:row r="1632">
      <x:c r="A1632" s="1"/>
      <x:c r="B1632" s="1"/>
      <x:c r="C1632" s="1"/>
      <x:c r="D1632" s="1"/>
      <x:c r="E1632" s="1"/>
      <x:c r="F1632" s="1"/>
      <x:c r="G1632" s="1"/>
      <x:c r="H1632" s="1"/>
      <x:c r="I1632" s="1"/>
      <x:c r="J1632" s="1"/>
      <x:c r="K1632" s="1"/>
      <x:c r="L1632" s="1"/>
      <x:c r="M1632" s="1"/>
      <x:c r="N1632" s="1"/>
      <x:c r="O1632" s="1"/>
      <x:c r="P1632" s="1"/>
      <x:c r="Q1632" s="1"/>
      <x:c r="R1632" s="1"/>
      <x:c r="S1632" s="1"/>
      <x:c r="T1632" s="1"/>
      <x:c r="U1632" s="1"/>
      <x:c r="V1632" s="1"/>
    </x:row>
    <x:row r="1633">
      <x:c r="A1633" s="1"/>
      <x:c r="B1633" s="1"/>
      <x:c r="C1633" s="1"/>
      <x:c r="D1633" s="1"/>
      <x:c r="E1633" s="1"/>
      <x:c r="F1633" s="1"/>
      <x:c r="G1633" s="1"/>
      <x:c r="H1633" s="1"/>
      <x:c r="I1633" s="1"/>
      <x:c r="J1633" s="1"/>
      <x:c r="K1633" s="1"/>
      <x:c r="L1633" s="1"/>
      <x:c r="M1633" s="1"/>
      <x:c r="N1633" s="1"/>
      <x:c r="O1633" s="1"/>
      <x:c r="P1633" s="1"/>
      <x:c r="Q1633" s="1"/>
      <x:c r="R1633" s="1"/>
      <x:c r="S1633" s="1"/>
      <x:c r="T1633" s="1"/>
      <x:c r="U1633" s="1"/>
      <x:c r="V1633" s="1"/>
    </x:row>
    <x:row r="1634">
      <x:c r="A1634" s="1"/>
      <x:c r="B1634" s="1"/>
      <x:c r="C1634" s="1"/>
      <x:c r="D1634" s="1"/>
      <x:c r="E1634" s="1"/>
      <x:c r="F1634" s="1"/>
      <x:c r="G1634" s="1"/>
      <x:c r="H1634" s="1"/>
      <x:c r="I1634" s="1"/>
      <x:c r="J1634" s="1"/>
      <x:c r="K1634" s="1"/>
      <x:c r="L1634" s="1"/>
      <x:c r="M1634" s="1"/>
      <x:c r="N1634" s="1"/>
      <x:c r="O1634" s="1"/>
      <x:c r="P1634" s="1"/>
      <x:c r="Q1634" s="1"/>
      <x:c r="R1634" s="1"/>
      <x:c r="S1634" s="1"/>
      <x:c r="T1634" s="1"/>
      <x:c r="U1634" s="1"/>
      <x:c r="V1634" s="1"/>
    </x:row>
    <x:row r="1635">
      <x:c r="A1635" s="1"/>
      <x:c r="B1635" s="1"/>
      <x:c r="C1635" s="1"/>
      <x:c r="D1635" s="1"/>
      <x:c r="E1635" s="1"/>
      <x:c r="F1635" s="1"/>
      <x:c r="G1635" s="1"/>
      <x:c r="H1635" s="1"/>
      <x:c r="I1635" s="1"/>
      <x:c r="J1635" s="1"/>
      <x:c r="K1635" s="1"/>
      <x:c r="L1635" s="1"/>
      <x:c r="M1635" s="1"/>
      <x:c r="N1635" s="1"/>
      <x:c r="O1635" s="1"/>
      <x:c r="P1635" s="1"/>
      <x:c r="Q1635" s="1"/>
      <x:c r="R1635" s="1"/>
      <x:c r="S1635" s="1"/>
      <x:c r="T1635" s="1"/>
      <x:c r="U1635" s="1"/>
      <x:c r="V1635" s="1"/>
    </x:row>
    <x:row r="1636">
      <x:c r="A1636" s="1"/>
      <x:c r="B1636" s="1"/>
      <x:c r="C1636" s="1"/>
      <x:c r="D1636" s="1"/>
      <x:c r="E1636" s="1"/>
      <x:c r="F1636" s="1"/>
      <x:c r="G1636" s="1"/>
      <x:c r="H1636" s="1"/>
      <x:c r="I1636" s="1"/>
      <x:c r="J1636" s="1"/>
      <x:c r="K1636" s="1"/>
      <x:c r="L1636" s="1"/>
      <x:c r="M1636" s="1"/>
      <x:c r="N1636" s="1"/>
      <x:c r="O1636" s="1"/>
      <x:c r="P1636" s="1"/>
      <x:c r="Q1636" s="1"/>
      <x:c r="R1636" s="1"/>
      <x:c r="S1636" s="1"/>
      <x:c r="T1636" s="1"/>
      <x:c r="U1636" s="1"/>
      <x:c r="V1636" s="1"/>
    </x:row>
    <x:row r="1637">
      <x:c r="A1637" s="1"/>
      <x:c r="B1637" s="1"/>
      <x:c r="C1637" s="1"/>
      <x:c r="D1637" s="1"/>
      <x:c r="E1637" s="1"/>
      <x:c r="F1637" s="1"/>
      <x:c r="G1637" s="1"/>
      <x:c r="H1637" s="1"/>
      <x:c r="I1637" s="1"/>
      <x:c r="J1637" s="1"/>
      <x:c r="K1637" s="1"/>
      <x:c r="L1637" s="1"/>
      <x:c r="M1637" s="1"/>
      <x:c r="N1637" s="1"/>
      <x:c r="O1637" s="1"/>
      <x:c r="P1637" s="1"/>
      <x:c r="Q1637" s="1"/>
      <x:c r="R1637" s="1"/>
      <x:c r="S1637" s="1"/>
      <x:c r="T1637" s="1"/>
      <x:c r="U1637" s="1"/>
      <x:c r="V1637" s="1"/>
    </x:row>
    <x:row r="1638">
      <x:c r="A1638" s="1"/>
      <x:c r="B1638" s="1"/>
      <x:c r="C1638" s="1"/>
      <x:c r="D1638" s="1"/>
      <x:c r="E1638" s="1"/>
      <x:c r="F1638" s="1"/>
      <x:c r="G1638" s="1"/>
      <x:c r="H1638" s="1"/>
      <x:c r="I1638" s="1"/>
      <x:c r="J1638" s="1"/>
      <x:c r="K1638" s="1"/>
      <x:c r="L1638" s="1"/>
      <x:c r="M1638" s="1"/>
      <x:c r="N1638" s="1"/>
      <x:c r="O1638" s="1"/>
      <x:c r="P1638" s="1"/>
      <x:c r="Q1638" s="1"/>
      <x:c r="R1638" s="1"/>
      <x:c r="S1638" s="1"/>
      <x:c r="T1638" s="1"/>
      <x:c r="U1638" s="1"/>
      <x:c r="V1638" s="1"/>
    </x:row>
    <x:row r="1639">
      <x:c r="A1639" s="1"/>
      <x:c r="B1639" s="1"/>
      <x:c r="C1639" s="1"/>
      <x:c r="D1639" s="1"/>
      <x:c r="E1639" s="1"/>
      <x:c r="F1639" s="1"/>
      <x:c r="G1639" s="1"/>
      <x:c r="H1639" s="1"/>
      <x:c r="I1639" s="1"/>
      <x:c r="J1639" s="1"/>
      <x:c r="K1639" s="1"/>
      <x:c r="L1639" s="1"/>
      <x:c r="M1639" s="1"/>
      <x:c r="N1639" s="1"/>
      <x:c r="O1639" s="1"/>
      <x:c r="P1639" s="1"/>
      <x:c r="Q1639" s="1"/>
      <x:c r="R1639" s="1"/>
      <x:c r="S1639" s="1"/>
      <x:c r="T1639" s="1"/>
      <x:c r="U1639" s="1"/>
      <x:c r="V1639" s="1"/>
    </x:row>
    <x:row r="1640">
      <x:c r="A1640" s="1"/>
      <x:c r="B1640" s="1"/>
      <x:c r="C1640" s="1"/>
      <x:c r="D1640" s="1"/>
      <x:c r="E1640" s="1"/>
      <x:c r="F1640" s="1"/>
      <x:c r="G1640" s="1"/>
      <x:c r="H1640" s="1"/>
      <x:c r="I1640" s="1"/>
      <x:c r="J1640" s="1"/>
      <x:c r="K1640" s="1"/>
      <x:c r="L1640" s="1"/>
      <x:c r="M1640" s="1"/>
      <x:c r="N1640" s="1"/>
      <x:c r="O1640" s="1"/>
      <x:c r="P1640" s="1"/>
      <x:c r="Q1640" s="1"/>
      <x:c r="R1640" s="1"/>
      <x:c r="S1640" s="1"/>
      <x:c r="T1640" s="1"/>
      <x:c r="U1640" s="1"/>
      <x:c r="V1640" s="1"/>
    </x:row>
    <x:row r="1641">
      <x:c r="A1641" s="1"/>
      <x:c r="B1641" s="1"/>
      <x:c r="C1641" s="1"/>
      <x:c r="D1641" s="1"/>
      <x:c r="E1641" s="1"/>
      <x:c r="F1641" s="1"/>
      <x:c r="G1641" s="1"/>
      <x:c r="H1641" s="1"/>
      <x:c r="I1641" s="1"/>
      <x:c r="J1641" s="1"/>
      <x:c r="K1641" s="1"/>
      <x:c r="L1641" s="1"/>
      <x:c r="M1641" s="1"/>
      <x:c r="N1641" s="1"/>
      <x:c r="O1641" s="1"/>
      <x:c r="P1641" s="1"/>
      <x:c r="Q1641" s="1"/>
      <x:c r="R1641" s="1"/>
      <x:c r="S1641" s="1"/>
      <x:c r="T1641" s="1"/>
      <x:c r="U1641" s="1"/>
      <x:c r="V1641" s="1"/>
    </x:row>
    <x:row r="1642">
      <x:c r="A1642" s="1"/>
      <x:c r="B1642" s="1"/>
      <x:c r="C1642" s="1"/>
      <x:c r="D1642" s="1"/>
      <x:c r="E1642" s="1"/>
      <x:c r="F1642" s="1"/>
      <x:c r="G1642" s="1"/>
      <x:c r="H1642" s="1"/>
      <x:c r="I1642" s="1"/>
      <x:c r="J1642" s="1"/>
      <x:c r="K1642" s="1"/>
      <x:c r="L1642" s="1"/>
      <x:c r="M1642" s="1"/>
      <x:c r="N1642" s="1"/>
      <x:c r="O1642" s="1"/>
      <x:c r="P1642" s="1"/>
      <x:c r="Q1642" s="1"/>
      <x:c r="R1642" s="1"/>
      <x:c r="S1642" s="1"/>
      <x:c r="T1642" s="1"/>
      <x:c r="U1642" s="1"/>
      <x:c r="V1642" s="1"/>
    </x:row>
    <x:row r="1643">
      <x:c r="A1643" s="1"/>
      <x:c r="B1643" s="1"/>
      <x:c r="C1643" s="1"/>
      <x:c r="D1643" s="1"/>
      <x:c r="E1643" s="1"/>
      <x:c r="F1643" s="1"/>
      <x:c r="G1643" s="1"/>
      <x:c r="H1643" s="1"/>
      <x:c r="I1643" s="1"/>
      <x:c r="J1643" s="1"/>
      <x:c r="K1643" s="1"/>
      <x:c r="L1643" s="1"/>
      <x:c r="M1643" s="1"/>
      <x:c r="N1643" s="1"/>
      <x:c r="O1643" s="1"/>
      <x:c r="P1643" s="1"/>
      <x:c r="Q1643" s="1"/>
      <x:c r="R1643" s="1"/>
      <x:c r="S1643" s="1"/>
      <x:c r="T1643" s="1"/>
      <x:c r="U1643" s="1"/>
      <x:c r="V1643" s="1"/>
    </x:row>
    <x:row r="1644">
      <x:c r="A1644" s="1"/>
      <x:c r="B1644" s="1"/>
      <x:c r="C1644" s="1"/>
      <x:c r="D1644" s="1"/>
      <x:c r="E1644" s="1"/>
      <x:c r="F1644" s="1"/>
      <x:c r="G1644" s="1"/>
      <x:c r="H1644" s="1"/>
      <x:c r="I1644" s="1"/>
      <x:c r="J1644" s="1"/>
      <x:c r="K1644" s="1"/>
      <x:c r="L1644" s="1"/>
      <x:c r="M1644" s="1"/>
      <x:c r="N1644" s="1"/>
      <x:c r="O1644" s="1"/>
      <x:c r="P1644" s="1"/>
      <x:c r="Q1644" s="1"/>
      <x:c r="R1644" s="1"/>
      <x:c r="S1644" s="1"/>
      <x:c r="T1644" s="1"/>
      <x:c r="U1644" s="1"/>
      <x:c r="V1644" s="1"/>
    </x:row>
    <x:row r="1645">
      <x:c r="A1645" s="1"/>
      <x:c r="B1645" s="1"/>
      <x:c r="C1645" s="1"/>
      <x:c r="D1645" s="1"/>
      <x:c r="E1645" s="1"/>
      <x:c r="F1645" s="1"/>
      <x:c r="G1645" s="1"/>
      <x:c r="H1645" s="1"/>
      <x:c r="I1645" s="1"/>
      <x:c r="J1645" s="1"/>
      <x:c r="K1645" s="1"/>
      <x:c r="L1645" s="1"/>
      <x:c r="M1645" s="1"/>
      <x:c r="N1645" s="1"/>
      <x:c r="O1645" s="1"/>
      <x:c r="P1645" s="1"/>
      <x:c r="Q1645" s="1"/>
      <x:c r="R1645" s="1"/>
      <x:c r="S1645" s="1"/>
      <x:c r="T1645" s="1"/>
      <x:c r="U1645" s="1"/>
      <x:c r="V1645" s="1"/>
    </x:row>
    <x:row r="1646">
      <x:c r="A1646" s="1"/>
      <x:c r="B1646" s="1"/>
      <x:c r="C1646" s="1"/>
      <x:c r="D1646" s="1"/>
      <x:c r="E1646" s="1"/>
      <x:c r="F1646" s="1"/>
      <x:c r="G1646" s="1"/>
      <x:c r="H1646" s="1"/>
      <x:c r="I1646" s="1"/>
      <x:c r="J1646" s="1"/>
      <x:c r="K1646" s="1"/>
      <x:c r="L1646" s="1"/>
      <x:c r="M1646" s="1"/>
      <x:c r="N1646" s="1"/>
      <x:c r="O1646" s="1"/>
      <x:c r="P1646" s="1"/>
      <x:c r="Q1646" s="1"/>
      <x:c r="R1646" s="1"/>
      <x:c r="S1646" s="1"/>
      <x:c r="T1646" s="1"/>
      <x:c r="U1646" s="1"/>
      <x:c r="V1646" s="1"/>
    </x:row>
    <x:row r="1647">
      <x:c r="A1647" s="1"/>
      <x:c r="B1647" s="1"/>
      <x:c r="C1647" s="1"/>
      <x:c r="D1647" s="1"/>
      <x:c r="E1647" s="1"/>
      <x:c r="F1647" s="1"/>
      <x:c r="G1647" s="1"/>
      <x:c r="H1647" s="1"/>
      <x:c r="I1647" s="1"/>
      <x:c r="J1647" s="1"/>
      <x:c r="K1647" s="1"/>
      <x:c r="L1647" s="1"/>
      <x:c r="M1647" s="1"/>
      <x:c r="N1647" s="1"/>
      <x:c r="O1647" s="1"/>
      <x:c r="P1647" s="1"/>
      <x:c r="Q1647" s="1"/>
      <x:c r="R1647" s="1"/>
      <x:c r="S1647" s="1"/>
      <x:c r="T1647" s="1"/>
      <x:c r="U1647" s="1"/>
      <x:c r="V1647" s="1"/>
    </x:row>
    <x:row r="1648">
      <x:c r="A1648" s="1"/>
      <x:c r="B1648" s="1"/>
      <x:c r="C1648" s="1"/>
      <x:c r="D1648" s="1"/>
      <x:c r="E1648" s="1"/>
      <x:c r="F1648" s="1"/>
      <x:c r="G1648" s="1"/>
      <x:c r="H1648" s="1"/>
      <x:c r="I1648" s="1"/>
      <x:c r="J1648" s="1"/>
      <x:c r="K1648" s="1"/>
      <x:c r="L1648" s="1"/>
      <x:c r="M1648" s="1"/>
      <x:c r="N1648" s="1"/>
      <x:c r="O1648" s="1"/>
      <x:c r="P1648" s="1"/>
      <x:c r="Q1648" s="1"/>
      <x:c r="R1648" s="1"/>
      <x:c r="S1648" s="1"/>
      <x:c r="T1648" s="1"/>
      <x:c r="U1648" s="1"/>
      <x:c r="V1648" s="1"/>
    </x:row>
    <x:row r="1649">
      <x:c r="A1649" s="1"/>
      <x:c r="B1649" s="1"/>
      <x:c r="C1649" s="1"/>
      <x:c r="D1649" s="1"/>
      <x:c r="E1649" s="1"/>
      <x:c r="F1649" s="1"/>
      <x:c r="G1649" s="1"/>
      <x:c r="H1649" s="1"/>
      <x:c r="I1649" s="1"/>
      <x:c r="J1649" s="1"/>
      <x:c r="K1649" s="1"/>
      <x:c r="L1649" s="1"/>
      <x:c r="M1649" s="1"/>
      <x:c r="N1649" s="1"/>
      <x:c r="O1649" s="1"/>
      <x:c r="P1649" s="1"/>
      <x:c r="Q1649" s="1"/>
      <x:c r="R1649" s="1"/>
      <x:c r="S1649" s="1"/>
      <x:c r="T1649" s="1"/>
      <x:c r="U1649" s="1"/>
      <x:c r="V1649" s="1"/>
    </x:row>
    <x:row r="1650">
      <x:c r="A1650" s="1"/>
      <x:c r="B1650" s="1"/>
      <x:c r="C1650" s="1"/>
      <x:c r="D1650" s="1"/>
      <x:c r="E1650" s="1"/>
      <x:c r="F1650" s="1"/>
      <x:c r="G1650" s="1"/>
      <x:c r="H1650" s="1"/>
      <x:c r="I1650" s="1"/>
      <x:c r="J1650" s="1"/>
      <x:c r="K1650" s="1"/>
      <x:c r="L1650" s="1"/>
      <x:c r="M1650" s="1"/>
      <x:c r="N1650" s="1"/>
      <x:c r="O1650" s="1"/>
      <x:c r="P1650" s="1"/>
      <x:c r="Q1650" s="1"/>
      <x:c r="R1650" s="1"/>
      <x:c r="S1650" s="1"/>
      <x:c r="T1650" s="1"/>
      <x:c r="U1650" s="1"/>
      <x:c r="V1650" s="1"/>
    </x:row>
    <x:row r="1651">
      <x:c r="A1651" s="1"/>
      <x:c r="B1651" s="1"/>
      <x:c r="C1651" s="1"/>
      <x:c r="D1651" s="1"/>
      <x:c r="E1651" s="1"/>
      <x:c r="F1651" s="1"/>
      <x:c r="G1651" s="1"/>
      <x:c r="H1651" s="1"/>
      <x:c r="I1651" s="1"/>
      <x:c r="J1651" s="1"/>
      <x:c r="K1651" s="1"/>
      <x:c r="L1651" s="1"/>
      <x:c r="M1651" s="1"/>
      <x:c r="N1651" s="1"/>
      <x:c r="O1651" s="1"/>
      <x:c r="P1651" s="1"/>
      <x:c r="Q1651" s="1"/>
      <x:c r="R1651" s="1"/>
      <x:c r="S1651" s="1"/>
      <x:c r="T1651" s="1"/>
      <x:c r="U1651" s="1"/>
      <x:c r="V1651" s="1"/>
    </x:row>
    <x:row r="1652">
      <x:c r="A1652" s="1"/>
      <x:c r="B1652" s="1"/>
      <x:c r="C1652" s="1"/>
      <x:c r="D1652" s="1"/>
      <x:c r="E1652" s="1"/>
      <x:c r="F1652" s="1"/>
      <x:c r="G1652" s="1"/>
      <x:c r="H1652" s="1"/>
      <x:c r="I1652" s="1"/>
      <x:c r="J1652" s="1"/>
      <x:c r="K1652" s="1"/>
      <x:c r="L1652" s="1"/>
      <x:c r="M1652" s="1"/>
      <x:c r="N1652" s="1"/>
      <x:c r="O1652" s="1"/>
      <x:c r="P1652" s="1"/>
      <x:c r="Q1652" s="1"/>
      <x:c r="R1652" s="1"/>
      <x:c r="S1652" s="1"/>
      <x:c r="T1652" s="1"/>
      <x:c r="U1652" s="1"/>
      <x:c r="V1652" s="1"/>
    </x:row>
    <x:row r="1653">
      <x:c r="A1653" s="1"/>
      <x:c r="B1653" s="1"/>
      <x:c r="C1653" s="1"/>
      <x:c r="D1653" s="1"/>
      <x:c r="E1653" s="1"/>
      <x:c r="F1653" s="1"/>
      <x:c r="G1653" s="1"/>
      <x:c r="H1653" s="1"/>
      <x:c r="I1653" s="1"/>
      <x:c r="J1653" s="1"/>
      <x:c r="K1653" s="1"/>
      <x:c r="L1653" s="1"/>
      <x:c r="M1653" s="1"/>
      <x:c r="N1653" s="1"/>
      <x:c r="O1653" s="1"/>
      <x:c r="P1653" s="1"/>
      <x:c r="Q1653" s="1"/>
      <x:c r="R1653" s="1"/>
      <x:c r="S1653" s="1"/>
      <x:c r="T1653" s="1"/>
      <x:c r="U1653" s="1"/>
      <x:c r="V1653" s="1"/>
    </x:row>
    <x:row r="1654">
      <x:c r="A1654" s="1"/>
      <x:c r="B1654" s="1"/>
      <x:c r="C1654" s="1"/>
      <x:c r="D1654" s="1"/>
      <x:c r="E1654" s="1"/>
      <x:c r="F1654" s="1"/>
      <x:c r="G1654" s="1"/>
      <x:c r="H1654" s="1"/>
      <x:c r="I1654" s="1"/>
      <x:c r="J1654" s="1"/>
      <x:c r="K1654" s="1"/>
      <x:c r="L1654" s="1"/>
      <x:c r="M1654" s="1"/>
      <x:c r="N1654" s="1"/>
      <x:c r="O1654" s="1"/>
      <x:c r="P1654" s="1"/>
      <x:c r="Q1654" s="1"/>
      <x:c r="R1654" s="1"/>
      <x:c r="S1654" s="1"/>
      <x:c r="T1654" s="1"/>
      <x:c r="U1654" s="1"/>
      <x:c r="V1654" s="1"/>
    </x:row>
    <x:row r="1655">
      <x:c r="A1655" s="1"/>
      <x:c r="B1655" s="1"/>
      <x:c r="C1655" s="1"/>
      <x:c r="D1655" s="1"/>
      <x:c r="E1655" s="1"/>
      <x:c r="F1655" s="1"/>
      <x:c r="G1655" s="1"/>
      <x:c r="H1655" s="1"/>
      <x:c r="I1655" s="1"/>
      <x:c r="J1655" s="1"/>
      <x:c r="K1655" s="1"/>
      <x:c r="L1655" s="1"/>
      <x:c r="M1655" s="1"/>
      <x:c r="N1655" s="1"/>
      <x:c r="O1655" s="1"/>
      <x:c r="P1655" s="1"/>
      <x:c r="Q1655" s="1"/>
      <x:c r="R1655" s="1"/>
      <x:c r="S1655" s="1"/>
      <x:c r="T1655" s="1"/>
      <x:c r="U1655" s="1"/>
      <x:c r="V1655" s="1"/>
    </x:row>
    <x:row r="1656">
      <x:c r="A1656" s="1"/>
      <x:c r="B1656" s="1"/>
      <x:c r="C1656" s="1"/>
      <x:c r="D1656" s="1"/>
      <x:c r="E1656" s="1"/>
      <x:c r="F1656" s="1"/>
      <x:c r="G1656" s="1"/>
      <x:c r="H1656" s="1"/>
      <x:c r="I1656" s="1"/>
      <x:c r="J1656" s="1"/>
      <x:c r="K1656" s="1"/>
      <x:c r="L1656" s="1"/>
      <x:c r="M1656" s="1"/>
      <x:c r="N1656" s="1"/>
      <x:c r="O1656" s="1"/>
      <x:c r="P1656" s="1"/>
      <x:c r="Q1656" s="1"/>
      <x:c r="R1656" s="1"/>
      <x:c r="S1656" s="1"/>
      <x:c r="T1656" s="1"/>
      <x:c r="U1656" s="1"/>
      <x:c r="V1656" s="1"/>
    </x:row>
    <x:row r="1657">
      <x:c r="A1657" s="1"/>
      <x:c r="B1657" s="1"/>
      <x:c r="C1657" s="1"/>
      <x:c r="D1657" s="1"/>
      <x:c r="E1657" s="1"/>
      <x:c r="F1657" s="1"/>
      <x:c r="G1657" s="1"/>
      <x:c r="H1657" s="1"/>
      <x:c r="I1657" s="1"/>
      <x:c r="J1657" s="1"/>
      <x:c r="K1657" s="1"/>
      <x:c r="L1657" s="1"/>
      <x:c r="M1657" s="1"/>
      <x:c r="N1657" s="1"/>
      <x:c r="O1657" s="1"/>
      <x:c r="P1657" s="1"/>
      <x:c r="Q1657" s="1"/>
      <x:c r="R1657" s="1"/>
      <x:c r="S1657" s="1"/>
      <x:c r="T1657" s="1"/>
      <x:c r="U1657" s="1"/>
      <x:c r="V1657" s="1"/>
    </x:row>
    <x:row r="1658">
      <x:c r="A1658" s="1"/>
      <x:c r="B1658" s="1"/>
      <x:c r="C1658" s="1"/>
      <x:c r="D1658" s="1"/>
      <x:c r="E1658" s="1"/>
      <x:c r="F1658" s="1"/>
      <x:c r="G1658" s="1"/>
      <x:c r="H1658" s="1"/>
      <x:c r="I1658" s="1"/>
      <x:c r="J1658" s="1"/>
      <x:c r="K1658" s="1"/>
      <x:c r="L1658" s="1"/>
      <x:c r="M1658" s="1"/>
      <x:c r="N1658" s="1"/>
      <x:c r="O1658" s="1"/>
      <x:c r="P1658" s="1"/>
      <x:c r="Q1658" s="1"/>
      <x:c r="R1658" s="1"/>
      <x:c r="S1658" s="1"/>
      <x:c r="T1658" s="1"/>
      <x:c r="U1658" s="1"/>
      <x:c r="V1658" s="1"/>
    </x:row>
    <x:row r="1659">
      <x:c r="A1659" s="1"/>
      <x:c r="B1659" s="1"/>
      <x:c r="C1659" s="1"/>
      <x:c r="D1659" s="1"/>
      <x:c r="E1659" s="1"/>
      <x:c r="F1659" s="1"/>
      <x:c r="G1659" s="1"/>
      <x:c r="H1659" s="1"/>
      <x:c r="I1659" s="1"/>
      <x:c r="J1659" s="1"/>
      <x:c r="K1659" s="1"/>
      <x:c r="L1659" s="1"/>
      <x:c r="M1659" s="1"/>
      <x:c r="N1659" s="1"/>
      <x:c r="O1659" s="1"/>
      <x:c r="P1659" s="1"/>
      <x:c r="Q1659" s="1"/>
      <x:c r="R1659" s="1"/>
      <x:c r="S1659" s="1"/>
      <x:c r="T1659" s="1"/>
      <x:c r="U1659" s="1"/>
      <x:c r="V1659" s="1"/>
    </x:row>
    <x:row r="1660">
      <x:c r="A1660" s="1"/>
      <x:c r="B1660" s="1"/>
      <x:c r="C1660" s="1"/>
      <x:c r="D1660" s="1"/>
      <x:c r="E1660" s="1"/>
      <x:c r="F1660" s="1"/>
      <x:c r="G1660" s="1"/>
      <x:c r="H1660" s="1"/>
      <x:c r="I1660" s="1"/>
      <x:c r="J1660" s="1"/>
      <x:c r="K1660" s="1"/>
      <x:c r="L1660" s="1"/>
      <x:c r="M1660" s="1"/>
      <x:c r="N1660" s="1"/>
      <x:c r="O1660" s="1"/>
      <x:c r="P1660" s="1"/>
      <x:c r="Q1660" s="1"/>
      <x:c r="R1660" s="1"/>
      <x:c r="S1660" s="1"/>
      <x:c r="T1660" s="1"/>
      <x:c r="U1660" s="1"/>
      <x:c r="V1660" s="1"/>
    </x:row>
    <x:row r="1661">
      <x:c r="A1661" s="1"/>
      <x:c r="B1661" s="1"/>
      <x:c r="C1661" s="1"/>
      <x:c r="D1661" s="1"/>
      <x:c r="E1661" s="1"/>
      <x:c r="F1661" s="1"/>
      <x:c r="G1661" s="1"/>
      <x:c r="H1661" s="1"/>
      <x:c r="I1661" s="1"/>
      <x:c r="J1661" s="1"/>
      <x:c r="K1661" s="1"/>
      <x:c r="L1661" s="1"/>
      <x:c r="M1661" s="1"/>
      <x:c r="N1661" s="1"/>
      <x:c r="O1661" s="1"/>
      <x:c r="P1661" s="1"/>
      <x:c r="Q1661" s="1"/>
      <x:c r="R1661" s="1"/>
      <x:c r="S1661" s="1"/>
      <x:c r="T1661" s="1"/>
      <x:c r="U1661" s="1"/>
      <x:c r="V1661" s="1"/>
    </x:row>
    <x:row r="1662">
      <x:c r="A1662" s="1"/>
      <x:c r="B1662" s="1"/>
      <x:c r="C1662" s="1"/>
      <x:c r="D1662" s="1"/>
      <x:c r="E1662" s="1"/>
      <x:c r="F1662" s="1"/>
      <x:c r="G1662" s="1"/>
      <x:c r="H1662" s="1"/>
      <x:c r="I1662" s="1"/>
      <x:c r="J1662" s="1"/>
      <x:c r="K1662" s="1"/>
      <x:c r="L1662" s="1"/>
      <x:c r="M1662" s="1"/>
      <x:c r="N1662" s="1"/>
      <x:c r="O1662" s="1"/>
      <x:c r="P1662" s="1"/>
      <x:c r="Q1662" s="1"/>
      <x:c r="R1662" s="1"/>
      <x:c r="S1662" s="1"/>
      <x:c r="T1662" s="1"/>
      <x:c r="U1662" s="1"/>
      <x:c r="V1662" s="1"/>
    </x:row>
    <x:row r="1663">
      <x:c r="A1663" s="1"/>
      <x:c r="B1663" s="1"/>
      <x:c r="C1663" s="1"/>
      <x:c r="D1663" s="1"/>
      <x:c r="E1663" s="1"/>
      <x:c r="F1663" s="1"/>
      <x:c r="G1663" s="1"/>
      <x:c r="H1663" s="1"/>
      <x:c r="I1663" s="1"/>
      <x:c r="J1663" s="1"/>
      <x:c r="K1663" s="1"/>
      <x:c r="L1663" s="1"/>
      <x:c r="M1663" s="1"/>
      <x:c r="N1663" s="1"/>
      <x:c r="O1663" s="1"/>
      <x:c r="P1663" s="1"/>
      <x:c r="Q1663" s="1"/>
      <x:c r="R1663" s="1"/>
      <x:c r="S1663" s="1"/>
      <x:c r="T1663" s="1"/>
      <x:c r="U1663" s="1"/>
      <x:c r="V1663" s="1"/>
    </x:row>
    <x:row r="1664">
      <x:c r="A1664" s="1"/>
      <x:c r="B1664" s="1"/>
      <x:c r="C1664" s="1"/>
      <x:c r="D1664" s="1"/>
      <x:c r="E1664" s="1"/>
      <x:c r="F1664" s="1"/>
      <x:c r="G1664" s="1"/>
      <x:c r="H1664" s="1"/>
      <x:c r="I1664" s="1"/>
      <x:c r="J1664" s="1"/>
      <x:c r="K1664" s="1"/>
      <x:c r="L1664" s="1"/>
      <x:c r="M1664" s="1"/>
      <x:c r="N1664" s="1"/>
      <x:c r="O1664" s="1"/>
      <x:c r="P1664" s="1"/>
      <x:c r="Q1664" s="1"/>
      <x:c r="R1664" s="1"/>
      <x:c r="S1664" s="1"/>
      <x:c r="T1664" s="1"/>
      <x:c r="U1664" s="1"/>
      <x:c r="V1664" s="1"/>
    </x:row>
    <x:row r="1665">
      <x:c r="A1665" s="1"/>
      <x:c r="B1665" s="1"/>
      <x:c r="C1665" s="1"/>
      <x:c r="D1665" s="1"/>
      <x:c r="E1665" s="1"/>
      <x:c r="F1665" s="1"/>
      <x:c r="G1665" s="1"/>
      <x:c r="H1665" s="1"/>
      <x:c r="I1665" s="1"/>
      <x:c r="J1665" s="1"/>
      <x:c r="K1665" s="1"/>
      <x:c r="L1665" s="1"/>
      <x:c r="M1665" s="1"/>
      <x:c r="N1665" s="1"/>
      <x:c r="O1665" s="1"/>
      <x:c r="P1665" s="1"/>
      <x:c r="Q1665" s="1"/>
      <x:c r="R1665" s="1"/>
      <x:c r="S1665" s="1"/>
      <x:c r="T1665" s="1"/>
      <x:c r="U1665" s="1"/>
      <x:c r="V1665" s="1"/>
    </x:row>
    <x:row r="1666">
      <x:c r="A1666" s="1"/>
      <x:c r="B1666" s="1"/>
      <x:c r="C1666" s="1"/>
      <x:c r="D1666" s="1"/>
      <x:c r="E1666" s="1"/>
      <x:c r="F1666" s="1"/>
      <x:c r="G1666" s="1"/>
      <x:c r="H1666" s="1"/>
      <x:c r="I1666" s="1"/>
      <x:c r="J1666" s="1"/>
      <x:c r="K1666" s="1"/>
      <x:c r="L1666" s="1"/>
      <x:c r="M1666" s="1"/>
      <x:c r="N1666" s="1"/>
      <x:c r="O1666" s="1"/>
      <x:c r="P1666" s="1"/>
      <x:c r="Q1666" s="1"/>
      <x:c r="R1666" s="1"/>
      <x:c r="S1666" s="1"/>
      <x:c r="T1666" s="1"/>
      <x:c r="U1666" s="1"/>
      <x:c r="V1666" s="1"/>
    </x:row>
    <x:row r="1667">
      <x:c r="A1667" s="1"/>
      <x:c r="B1667" s="1"/>
      <x:c r="C1667" s="1"/>
      <x:c r="D1667" s="1"/>
      <x:c r="E1667" s="1"/>
      <x:c r="F1667" s="1"/>
      <x:c r="G1667" s="1"/>
      <x:c r="H1667" s="1"/>
      <x:c r="I1667" s="1"/>
      <x:c r="J1667" s="1"/>
      <x:c r="K1667" s="1"/>
      <x:c r="L1667" s="1"/>
      <x:c r="M1667" s="1"/>
      <x:c r="N1667" s="1"/>
      <x:c r="O1667" s="1"/>
      <x:c r="P1667" s="1"/>
      <x:c r="Q1667" s="1"/>
      <x:c r="R1667" s="1"/>
      <x:c r="S1667" s="1"/>
      <x:c r="T1667" s="1"/>
      <x:c r="U1667" s="1"/>
      <x:c r="V1667" s="1"/>
    </x:row>
    <x:row r="1668">
      <x:c r="A1668" s="1"/>
      <x:c r="B1668" s="1"/>
      <x:c r="C1668" s="1"/>
      <x:c r="D1668" s="1"/>
      <x:c r="E1668" s="1"/>
      <x:c r="F1668" s="1"/>
      <x:c r="G1668" s="1"/>
      <x:c r="H1668" s="1"/>
      <x:c r="I1668" s="1"/>
      <x:c r="J1668" s="1"/>
      <x:c r="K1668" s="1"/>
      <x:c r="L1668" s="1"/>
      <x:c r="M1668" s="1"/>
      <x:c r="N1668" s="1"/>
      <x:c r="O1668" s="1"/>
      <x:c r="P1668" s="1"/>
      <x:c r="Q1668" s="1"/>
      <x:c r="R1668" s="1"/>
      <x:c r="S1668" s="1"/>
      <x:c r="T1668" s="1"/>
      <x:c r="U1668" s="1"/>
      <x:c r="V1668" s="1"/>
    </x:row>
    <x:row r="1669">
      <x:c r="A1669" s="1"/>
      <x:c r="B1669" s="1"/>
      <x:c r="C1669" s="1"/>
      <x:c r="D1669" s="1"/>
      <x:c r="E1669" s="1"/>
      <x:c r="F1669" s="1"/>
      <x:c r="G1669" s="1"/>
      <x:c r="H1669" s="1"/>
      <x:c r="I1669" s="1"/>
      <x:c r="J1669" s="1"/>
      <x:c r="K1669" s="1"/>
      <x:c r="L1669" s="1"/>
      <x:c r="M1669" s="1"/>
      <x:c r="N1669" s="1"/>
      <x:c r="O1669" s="1"/>
      <x:c r="P1669" s="1"/>
      <x:c r="Q1669" s="1"/>
      <x:c r="R1669" s="1"/>
      <x:c r="S1669" s="1"/>
      <x:c r="T1669" s="1"/>
      <x:c r="U1669" s="1"/>
      <x:c r="V1669" s="1"/>
    </x:row>
    <x:row r="1670">
      <x:c r="A1670" s="1"/>
      <x:c r="B1670" s="1"/>
      <x:c r="C1670" s="1"/>
      <x:c r="D1670" s="1"/>
      <x:c r="E1670" s="1"/>
      <x:c r="F1670" s="1"/>
      <x:c r="G1670" s="1"/>
      <x:c r="H1670" s="1"/>
      <x:c r="I1670" s="1"/>
      <x:c r="J1670" s="1"/>
      <x:c r="K1670" s="1"/>
      <x:c r="L1670" s="1"/>
      <x:c r="M1670" s="1"/>
      <x:c r="N1670" s="1"/>
      <x:c r="O1670" s="1"/>
      <x:c r="P1670" s="1"/>
      <x:c r="Q1670" s="1"/>
      <x:c r="R1670" s="1"/>
      <x:c r="S1670" s="1"/>
      <x:c r="T1670" s="1"/>
      <x:c r="U1670" s="1"/>
      <x:c r="V1670" s="1"/>
    </x:row>
    <x:row r="1671">
      <x:c r="A1671" s="1"/>
      <x:c r="B1671" s="1"/>
      <x:c r="C1671" s="1"/>
      <x:c r="D1671" s="1"/>
      <x:c r="E1671" s="1"/>
      <x:c r="F1671" s="1"/>
      <x:c r="G1671" s="1"/>
      <x:c r="H1671" s="1"/>
      <x:c r="I1671" s="1"/>
      <x:c r="J1671" s="1"/>
      <x:c r="K1671" s="1"/>
      <x:c r="L1671" s="1"/>
      <x:c r="M1671" s="1"/>
      <x:c r="N1671" s="1"/>
      <x:c r="O1671" s="1"/>
      <x:c r="P1671" s="1"/>
      <x:c r="Q1671" s="1"/>
      <x:c r="R1671" s="1"/>
      <x:c r="S1671" s="1"/>
      <x:c r="T1671" s="1"/>
      <x:c r="U1671" s="1"/>
      <x:c r="V1671" s="1"/>
    </x:row>
    <x:row r="1672">
      <x:c r="A1672" s="1"/>
      <x:c r="B1672" s="1"/>
      <x:c r="C1672" s="1"/>
      <x:c r="D1672" s="1"/>
      <x:c r="E1672" s="1"/>
      <x:c r="F1672" s="1"/>
      <x:c r="G1672" s="1"/>
      <x:c r="H1672" s="1"/>
      <x:c r="I1672" s="1"/>
      <x:c r="J1672" s="1"/>
      <x:c r="K1672" s="1"/>
      <x:c r="L1672" s="1"/>
      <x:c r="M1672" s="1"/>
      <x:c r="N1672" s="1"/>
      <x:c r="O1672" s="1"/>
      <x:c r="P1672" s="1"/>
      <x:c r="Q1672" s="1"/>
      <x:c r="R1672" s="1"/>
      <x:c r="S1672" s="1"/>
      <x:c r="T1672" s="1"/>
      <x:c r="U1672" s="1"/>
      <x:c r="V1672" s="1"/>
    </x:row>
    <x:row r="1673">
      <x:c r="A1673" s="1"/>
      <x:c r="B1673" s="1"/>
      <x:c r="C1673" s="1"/>
      <x:c r="D1673" s="1"/>
      <x:c r="E1673" s="1"/>
      <x:c r="F1673" s="1"/>
      <x:c r="G1673" s="1"/>
      <x:c r="H1673" s="1"/>
      <x:c r="I1673" s="1"/>
      <x:c r="J1673" s="1"/>
      <x:c r="K1673" s="1"/>
      <x:c r="L1673" s="1"/>
      <x:c r="M1673" s="1"/>
      <x:c r="N1673" s="1"/>
      <x:c r="O1673" s="1"/>
      <x:c r="P1673" s="1"/>
      <x:c r="Q1673" s="1"/>
      <x:c r="R1673" s="1"/>
      <x:c r="S1673" s="1"/>
      <x:c r="T1673" s="1"/>
      <x:c r="U1673" s="1"/>
      <x:c r="V1673" s="1"/>
    </x:row>
    <x:row r="1674">
      <x:c r="A1674" s="1"/>
      <x:c r="B1674" s="1"/>
      <x:c r="C1674" s="1"/>
      <x:c r="D1674" s="1"/>
      <x:c r="E1674" s="1"/>
      <x:c r="F1674" s="1"/>
      <x:c r="G1674" s="1"/>
      <x:c r="H1674" s="1"/>
      <x:c r="I1674" s="1"/>
      <x:c r="J1674" s="1"/>
      <x:c r="K1674" s="1"/>
      <x:c r="L1674" s="1"/>
      <x:c r="M1674" s="1"/>
      <x:c r="N1674" s="1"/>
      <x:c r="O1674" s="1"/>
      <x:c r="P1674" s="1"/>
      <x:c r="Q1674" s="1"/>
      <x:c r="R1674" s="1"/>
      <x:c r="S1674" s="1"/>
      <x:c r="T1674" s="1"/>
      <x:c r="U1674" s="1"/>
      <x:c r="V1674" s="1"/>
    </x:row>
    <x:row r="1675">
      <x:c r="A1675" s="1"/>
      <x:c r="B1675" s="1"/>
      <x:c r="C1675" s="1"/>
      <x:c r="D1675" s="1"/>
      <x:c r="E1675" s="1"/>
      <x:c r="F1675" s="1"/>
      <x:c r="G1675" s="1"/>
      <x:c r="H1675" s="1"/>
      <x:c r="I1675" s="1"/>
      <x:c r="J1675" s="1"/>
      <x:c r="K1675" s="1"/>
      <x:c r="L1675" s="1"/>
      <x:c r="M1675" s="1"/>
      <x:c r="N1675" s="1"/>
      <x:c r="O1675" s="1"/>
      <x:c r="P1675" s="1"/>
      <x:c r="Q1675" s="1"/>
      <x:c r="R1675" s="1"/>
      <x:c r="S1675" s="1"/>
      <x:c r="T1675" s="1"/>
      <x:c r="U1675" s="1"/>
      <x:c r="V1675" s="1"/>
    </x:row>
    <x:row r="1676">
      <x:c r="A1676" s="1"/>
      <x:c r="B1676" s="1"/>
      <x:c r="C1676" s="1"/>
      <x:c r="D1676" s="1"/>
      <x:c r="E1676" s="1"/>
      <x:c r="F1676" s="1"/>
      <x:c r="G1676" s="1"/>
      <x:c r="H1676" s="1"/>
      <x:c r="I1676" s="1"/>
      <x:c r="J1676" s="1"/>
      <x:c r="K1676" s="1"/>
      <x:c r="L1676" s="1"/>
      <x:c r="M1676" s="1"/>
      <x:c r="N1676" s="1"/>
      <x:c r="O1676" s="1"/>
      <x:c r="P1676" s="1"/>
      <x:c r="Q1676" s="1"/>
      <x:c r="R1676" s="1"/>
      <x:c r="S1676" s="1"/>
      <x:c r="T1676" s="1"/>
      <x:c r="U1676" s="1"/>
      <x:c r="V1676" s="1"/>
    </x:row>
    <x:row r="1677">
      <x:c r="A1677" s="1"/>
      <x:c r="B1677" s="1"/>
      <x:c r="C1677" s="1"/>
      <x:c r="D1677" s="1"/>
      <x:c r="E1677" s="1"/>
      <x:c r="F1677" s="1"/>
      <x:c r="G1677" s="1"/>
      <x:c r="H1677" s="1"/>
      <x:c r="I1677" s="1"/>
      <x:c r="J1677" s="1"/>
      <x:c r="K1677" s="1"/>
      <x:c r="L1677" s="1"/>
      <x:c r="M1677" s="1"/>
      <x:c r="N1677" s="1"/>
      <x:c r="O1677" s="1"/>
      <x:c r="P1677" s="1"/>
      <x:c r="Q1677" s="1"/>
      <x:c r="R1677" s="1"/>
      <x:c r="S1677" s="1"/>
      <x:c r="T1677" s="1"/>
      <x:c r="U1677" s="1"/>
      <x:c r="V1677" s="1"/>
    </x:row>
    <x:row r="1678">
      <x:c r="A1678" s="1"/>
      <x:c r="B1678" s="1"/>
      <x:c r="C1678" s="1"/>
      <x:c r="D1678" s="1"/>
      <x:c r="E1678" s="1"/>
      <x:c r="F1678" s="1"/>
      <x:c r="G1678" s="1"/>
      <x:c r="H1678" s="1"/>
      <x:c r="I1678" s="1"/>
      <x:c r="J1678" s="1"/>
      <x:c r="K1678" s="1"/>
      <x:c r="L1678" s="1"/>
      <x:c r="M1678" s="1"/>
      <x:c r="N1678" s="1"/>
      <x:c r="O1678" s="1"/>
      <x:c r="P1678" s="1"/>
      <x:c r="Q1678" s="1"/>
      <x:c r="R1678" s="1"/>
      <x:c r="S1678" s="1"/>
      <x:c r="T1678" s="1"/>
      <x:c r="U1678" s="1"/>
      <x:c r="V1678" s="1"/>
    </x:row>
    <x:row r="1679">
      <x:c r="A1679" s="1"/>
      <x:c r="B1679" s="1"/>
      <x:c r="C1679" s="1"/>
      <x:c r="D1679" s="1"/>
      <x:c r="E1679" s="1"/>
      <x:c r="F1679" s="1"/>
      <x:c r="G1679" s="1"/>
      <x:c r="H1679" s="1"/>
      <x:c r="I1679" s="1"/>
      <x:c r="J1679" s="1"/>
      <x:c r="K1679" s="1"/>
      <x:c r="L1679" s="1"/>
      <x:c r="M1679" s="1"/>
      <x:c r="N1679" s="1"/>
      <x:c r="O1679" s="1"/>
      <x:c r="P1679" s="1"/>
      <x:c r="Q1679" s="1"/>
      <x:c r="R1679" s="1"/>
      <x:c r="S1679" s="1"/>
      <x:c r="T1679" s="1"/>
      <x:c r="U1679" s="1"/>
      <x:c r="V1679" s="1"/>
    </x:row>
    <x:row r="1680">
      <x:c r="A1680" s="1"/>
      <x:c r="B1680" s="1"/>
      <x:c r="C1680" s="1"/>
      <x:c r="D1680" s="1"/>
      <x:c r="E1680" s="1"/>
      <x:c r="F1680" s="1"/>
      <x:c r="G1680" s="1"/>
      <x:c r="H1680" s="1"/>
      <x:c r="I1680" s="1"/>
      <x:c r="J1680" s="1"/>
      <x:c r="K1680" s="1"/>
      <x:c r="L1680" s="1"/>
      <x:c r="M1680" s="1"/>
      <x:c r="N1680" s="1"/>
      <x:c r="O1680" s="1"/>
      <x:c r="P1680" s="1"/>
      <x:c r="Q1680" s="1"/>
      <x:c r="R1680" s="1"/>
      <x:c r="S1680" s="1"/>
      <x:c r="T1680" s="1"/>
      <x:c r="U1680" s="1"/>
      <x:c r="V1680" s="1"/>
    </x:row>
    <x:row r="1681">
      <x:c r="A1681" s="1"/>
      <x:c r="B1681" s="1"/>
      <x:c r="C1681" s="1"/>
      <x:c r="D1681" s="1"/>
      <x:c r="E1681" s="1"/>
      <x:c r="F1681" s="1"/>
      <x:c r="G1681" s="1"/>
      <x:c r="H1681" s="1"/>
      <x:c r="I1681" s="1"/>
      <x:c r="J1681" s="1"/>
      <x:c r="K1681" s="1"/>
      <x:c r="L1681" s="1"/>
      <x:c r="M1681" s="1"/>
      <x:c r="N1681" s="1"/>
      <x:c r="O1681" s="1"/>
      <x:c r="P1681" s="1"/>
      <x:c r="Q1681" s="1"/>
      <x:c r="R1681" s="1"/>
      <x:c r="S1681" s="1"/>
      <x:c r="T1681" s="1"/>
      <x:c r="U1681" s="1"/>
      <x:c r="V1681" s="1"/>
    </x:row>
    <x:row r="1682">
      <x:c r="A1682" s="1"/>
      <x:c r="B1682" s="1"/>
      <x:c r="C1682" s="1"/>
      <x:c r="D1682" s="1"/>
      <x:c r="E1682" s="1"/>
      <x:c r="F1682" s="1"/>
      <x:c r="G1682" s="1"/>
      <x:c r="H1682" s="1"/>
      <x:c r="I1682" s="1"/>
      <x:c r="J1682" s="1"/>
      <x:c r="K1682" s="1"/>
      <x:c r="L1682" s="1"/>
      <x:c r="M1682" s="1"/>
      <x:c r="N1682" s="1"/>
      <x:c r="O1682" s="1"/>
      <x:c r="P1682" s="1"/>
      <x:c r="Q1682" s="1"/>
      <x:c r="R1682" s="1"/>
      <x:c r="S1682" s="1"/>
      <x:c r="T1682" s="1"/>
      <x:c r="U1682" s="1"/>
      <x:c r="V1682" s="1"/>
    </x:row>
    <x:row r="1683">
      <x:c r="A1683" s="1"/>
      <x:c r="B1683" s="1"/>
      <x:c r="C1683" s="1"/>
      <x:c r="D1683" s="1"/>
      <x:c r="E1683" s="1"/>
      <x:c r="F1683" s="1"/>
      <x:c r="G1683" s="1"/>
      <x:c r="H1683" s="1"/>
      <x:c r="I1683" s="1"/>
      <x:c r="J1683" s="1"/>
      <x:c r="K1683" s="1"/>
      <x:c r="L1683" s="1"/>
      <x:c r="M1683" s="1"/>
      <x:c r="N1683" s="1"/>
      <x:c r="O1683" s="1"/>
      <x:c r="P1683" s="1"/>
      <x:c r="Q1683" s="1"/>
      <x:c r="R1683" s="1"/>
      <x:c r="S1683" s="1"/>
      <x:c r="T1683" s="1"/>
      <x:c r="U1683" s="1"/>
      <x:c r="V1683" s="1"/>
    </x:row>
    <x:row r="1684">
      <x:c r="A1684" s="1"/>
      <x:c r="B1684" s="1"/>
      <x:c r="C1684" s="1"/>
      <x:c r="D1684" s="1"/>
      <x:c r="E1684" s="1"/>
      <x:c r="F1684" s="1"/>
      <x:c r="G1684" s="1"/>
      <x:c r="H1684" s="1"/>
      <x:c r="I1684" s="1"/>
      <x:c r="J1684" s="1"/>
      <x:c r="K1684" s="1"/>
      <x:c r="L1684" s="1"/>
      <x:c r="M1684" s="1"/>
      <x:c r="N1684" s="1"/>
      <x:c r="O1684" s="1"/>
      <x:c r="P1684" s="1"/>
      <x:c r="Q1684" s="1"/>
      <x:c r="R1684" s="1"/>
      <x:c r="S1684" s="1"/>
      <x:c r="T1684" s="1"/>
      <x:c r="U1684" s="1"/>
      <x:c r="V1684" s="1"/>
    </x:row>
    <x:row r="1685">
      <x:c r="A1685" s="1"/>
      <x:c r="B1685" s="1"/>
      <x:c r="C1685" s="1"/>
      <x:c r="D1685" s="1"/>
      <x:c r="E1685" s="1"/>
      <x:c r="F1685" s="1"/>
      <x:c r="G1685" s="1"/>
      <x:c r="H1685" s="1"/>
      <x:c r="I1685" s="1"/>
      <x:c r="J1685" s="1"/>
      <x:c r="K1685" s="1"/>
      <x:c r="L1685" s="1"/>
      <x:c r="M1685" s="1"/>
      <x:c r="N1685" s="1"/>
      <x:c r="O1685" s="1"/>
      <x:c r="P1685" s="1"/>
      <x:c r="Q1685" s="1"/>
      <x:c r="R1685" s="1"/>
      <x:c r="S1685" s="1"/>
      <x:c r="T1685" s="1"/>
      <x:c r="U1685" s="1"/>
      <x:c r="V1685" s="1"/>
    </x:row>
    <x:row r="1686">
      <x:c r="A1686" s="1"/>
      <x:c r="B1686" s="1"/>
      <x:c r="C1686" s="1"/>
      <x:c r="D1686" s="1"/>
      <x:c r="E1686" s="1"/>
      <x:c r="F1686" s="1"/>
      <x:c r="G1686" s="1"/>
      <x:c r="H1686" s="1"/>
      <x:c r="I1686" s="1"/>
      <x:c r="J1686" s="1"/>
      <x:c r="K1686" s="1"/>
      <x:c r="L1686" s="1"/>
      <x:c r="M1686" s="1"/>
      <x:c r="N1686" s="1"/>
      <x:c r="O1686" s="1"/>
      <x:c r="P1686" s="1"/>
      <x:c r="Q1686" s="1"/>
      <x:c r="R1686" s="1"/>
      <x:c r="S1686" s="1"/>
      <x:c r="T1686" s="1"/>
      <x:c r="U1686" s="1"/>
      <x:c r="V1686" s="1"/>
    </x:row>
    <x:row r="1687">
      <x:c r="A1687" s="1"/>
      <x:c r="B1687" s="1"/>
      <x:c r="C1687" s="1"/>
      <x:c r="D1687" s="1"/>
      <x:c r="E1687" s="1"/>
      <x:c r="F1687" s="1"/>
      <x:c r="G1687" s="1"/>
      <x:c r="H1687" s="1"/>
      <x:c r="I1687" s="1"/>
      <x:c r="J1687" s="1"/>
      <x:c r="K1687" s="1"/>
      <x:c r="L1687" s="1"/>
      <x:c r="M1687" s="1"/>
      <x:c r="N1687" s="1"/>
      <x:c r="O1687" s="1"/>
      <x:c r="P1687" s="1"/>
      <x:c r="Q1687" s="1"/>
      <x:c r="R1687" s="1"/>
      <x:c r="S1687" s="1"/>
      <x:c r="T1687" s="1"/>
      <x:c r="U1687" s="1"/>
      <x:c r="V1687" s="1"/>
    </x:row>
    <x:row r="1688">
      <x:c r="A1688" s="1"/>
      <x:c r="B1688" s="1"/>
      <x:c r="C1688" s="1"/>
      <x:c r="D1688" s="1"/>
      <x:c r="E1688" s="1"/>
      <x:c r="F1688" s="1"/>
      <x:c r="G1688" s="1"/>
      <x:c r="H1688" s="1"/>
      <x:c r="I1688" s="1"/>
      <x:c r="J1688" s="1"/>
      <x:c r="K1688" s="1"/>
      <x:c r="L1688" s="1"/>
      <x:c r="M1688" s="1"/>
      <x:c r="N1688" s="1"/>
      <x:c r="O1688" s="1"/>
      <x:c r="P1688" s="1"/>
      <x:c r="Q1688" s="1"/>
      <x:c r="R1688" s="1"/>
      <x:c r="S1688" s="1"/>
      <x:c r="T1688" s="1"/>
      <x:c r="U1688" s="1"/>
      <x:c r="V1688" s="1"/>
    </x:row>
    <x:row r="1689">
      <x:c r="A1689" s="1"/>
      <x:c r="B1689" s="1"/>
      <x:c r="C1689" s="1"/>
      <x:c r="D1689" s="1"/>
      <x:c r="E1689" s="1"/>
      <x:c r="F1689" s="1"/>
      <x:c r="G1689" s="1"/>
      <x:c r="H1689" s="1"/>
      <x:c r="I1689" s="1"/>
      <x:c r="J1689" s="1"/>
      <x:c r="K1689" s="1"/>
      <x:c r="L1689" s="1"/>
      <x:c r="M1689" s="1"/>
      <x:c r="N1689" s="1"/>
      <x:c r="O1689" s="1"/>
      <x:c r="P1689" s="1"/>
      <x:c r="Q1689" s="1"/>
      <x:c r="R1689" s="1"/>
      <x:c r="S1689" s="1"/>
      <x:c r="T1689" s="1"/>
      <x:c r="U1689" s="1"/>
      <x:c r="V1689" s="1"/>
    </x:row>
    <x:row r="1690">
      <x:c r="A1690" s="1"/>
      <x:c r="B1690" s="1"/>
      <x:c r="C1690" s="1"/>
      <x:c r="D1690" s="1"/>
      <x:c r="E1690" s="1"/>
      <x:c r="F1690" s="1"/>
      <x:c r="G1690" s="1"/>
      <x:c r="H1690" s="1"/>
      <x:c r="I1690" s="1"/>
      <x:c r="J1690" s="1"/>
      <x:c r="K1690" s="1"/>
      <x:c r="L1690" s="1"/>
      <x:c r="M1690" s="1"/>
      <x:c r="N1690" s="1"/>
      <x:c r="O1690" s="1"/>
      <x:c r="P1690" s="1"/>
      <x:c r="Q1690" s="1"/>
      <x:c r="R1690" s="1"/>
      <x:c r="S1690" s="1"/>
      <x:c r="T1690" s="1"/>
      <x:c r="U1690" s="1"/>
      <x:c r="V1690" s="1"/>
    </x:row>
    <x:row r="1691">
      <x:c r="A1691" s="1"/>
      <x:c r="B1691" s="1"/>
      <x:c r="C1691" s="1"/>
      <x:c r="D1691" s="1"/>
      <x:c r="E1691" s="1"/>
      <x:c r="F1691" s="1"/>
      <x:c r="G1691" s="1"/>
      <x:c r="H1691" s="1"/>
      <x:c r="I1691" s="1"/>
      <x:c r="J1691" s="1"/>
      <x:c r="K1691" s="1"/>
      <x:c r="L1691" s="1"/>
      <x:c r="M1691" s="1"/>
      <x:c r="N1691" s="1"/>
      <x:c r="O1691" s="1"/>
      <x:c r="P1691" s="1"/>
      <x:c r="Q1691" s="1"/>
      <x:c r="R1691" s="1"/>
      <x:c r="S1691" s="1"/>
      <x:c r="T1691" s="1"/>
      <x:c r="U1691" s="1"/>
      <x:c r="V1691" s="1"/>
    </x:row>
    <x:row r="1692">
      <x:c r="A1692" s="1"/>
      <x:c r="B1692" s="1"/>
      <x:c r="C1692" s="1"/>
      <x:c r="D1692" s="1"/>
      <x:c r="E1692" s="1"/>
      <x:c r="F1692" s="1"/>
      <x:c r="G1692" s="1"/>
      <x:c r="H1692" s="1"/>
      <x:c r="I1692" s="1"/>
      <x:c r="J1692" s="1"/>
      <x:c r="K1692" s="1"/>
      <x:c r="L1692" s="1"/>
      <x:c r="M1692" s="1"/>
      <x:c r="N1692" s="1"/>
      <x:c r="O1692" s="1"/>
      <x:c r="P1692" s="1"/>
      <x:c r="Q1692" s="1"/>
      <x:c r="R1692" s="1"/>
      <x:c r="S1692" s="1"/>
      <x:c r="T1692" s="1"/>
      <x:c r="U1692" s="1"/>
      <x:c r="V1692" s="1"/>
    </x:row>
    <x:row r="1693">
      <x:c r="A1693" s="1"/>
      <x:c r="B1693" s="1"/>
      <x:c r="C1693" s="1"/>
      <x:c r="D1693" s="1"/>
      <x:c r="E1693" s="1"/>
      <x:c r="F1693" s="1"/>
      <x:c r="G1693" s="1"/>
      <x:c r="H1693" s="1"/>
      <x:c r="I1693" s="1"/>
      <x:c r="J1693" s="1"/>
      <x:c r="K1693" s="1"/>
      <x:c r="L1693" s="1"/>
      <x:c r="M1693" s="1"/>
      <x:c r="N1693" s="1"/>
      <x:c r="O1693" s="1"/>
      <x:c r="P1693" s="1"/>
      <x:c r="Q1693" s="1"/>
      <x:c r="R1693" s="1"/>
      <x:c r="S1693" s="1"/>
      <x:c r="T1693" s="1"/>
      <x:c r="U1693" s="1"/>
      <x:c r="V1693" s="1"/>
    </x:row>
    <x:row r="1694">
      <x:c r="A1694" s="1"/>
      <x:c r="B1694" s="1"/>
      <x:c r="C1694" s="1"/>
      <x:c r="D1694" s="1"/>
      <x:c r="E1694" s="1"/>
      <x:c r="F1694" s="1"/>
      <x:c r="G1694" s="1"/>
      <x:c r="H1694" s="1"/>
      <x:c r="I1694" s="1"/>
      <x:c r="J1694" s="1"/>
      <x:c r="K1694" s="1"/>
      <x:c r="L1694" s="1"/>
      <x:c r="M1694" s="1"/>
      <x:c r="N1694" s="1"/>
      <x:c r="O1694" s="1"/>
      <x:c r="P1694" s="1"/>
      <x:c r="Q1694" s="1"/>
      <x:c r="R1694" s="1"/>
      <x:c r="S1694" s="1"/>
      <x:c r="T1694" s="1"/>
      <x:c r="U1694" s="1"/>
      <x:c r="V1694" s="1"/>
    </x:row>
    <x:row r="1695">
      <x:c r="A1695" s="1"/>
      <x:c r="B1695" s="1"/>
      <x:c r="C1695" s="1"/>
      <x:c r="D1695" s="1"/>
      <x:c r="E1695" s="1"/>
      <x:c r="F1695" s="1"/>
      <x:c r="G1695" s="1"/>
      <x:c r="H1695" s="1"/>
      <x:c r="I1695" s="1"/>
      <x:c r="J1695" s="1"/>
      <x:c r="K1695" s="1"/>
      <x:c r="L1695" s="1"/>
      <x:c r="M1695" s="1"/>
      <x:c r="N1695" s="1"/>
      <x:c r="O1695" s="1"/>
      <x:c r="P1695" s="1"/>
      <x:c r="Q1695" s="1"/>
      <x:c r="R1695" s="1"/>
      <x:c r="S1695" s="1"/>
      <x:c r="T1695" s="1"/>
      <x:c r="U1695" s="1"/>
      <x:c r="V1695" s="1"/>
    </x:row>
    <x:row r="1696">
      <x:c r="A1696" s="1"/>
      <x:c r="B1696" s="1"/>
      <x:c r="C1696" s="1"/>
      <x:c r="D1696" s="1"/>
      <x:c r="E1696" s="1"/>
      <x:c r="F1696" s="1"/>
      <x:c r="G1696" s="1"/>
      <x:c r="H1696" s="1"/>
      <x:c r="I1696" s="1"/>
      <x:c r="J1696" s="1"/>
      <x:c r="K1696" s="1"/>
      <x:c r="L1696" s="1"/>
      <x:c r="M1696" s="1"/>
      <x:c r="N1696" s="1"/>
      <x:c r="O1696" s="1"/>
      <x:c r="P1696" s="1"/>
      <x:c r="Q1696" s="1"/>
      <x:c r="R1696" s="1"/>
      <x:c r="S1696" s="1"/>
      <x:c r="T1696" s="1"/>
      <x:c r="U1696" s="1"/>
      <x:c r="V1696" s="1"/>
    </x:row>
    <x:row r="1697">
      <x:c r="A1697" s="1"/>
      <x:c r="B1697" s="1"/>
      <x:c r="C1697" s="1"/>
      <x:c r="D1697" s="1"/>
      <x:c r="E1697" s="1"/>
      <x:c r="F1697" s="1"/>
      <x:c r="G1697" s="1"/>
      <x:c r="H1697" s="1"/>
      <x:c r="I1697" s="1"/>
      <x:c r="J1697" s="1"/>
      <x:c r="K1697" s="1"/>
      <x:c r="L1697" s="1"/>
      <x:c r="M1697" s="1"/>
      <x:c r="N1697" s="1"/>
      <x:c r="O1697" s="1"/>
      <x:c r="P1697" s="1"/>
      <x:c r="Q1697" s="1"/>
      <x:c r="R1697" s="1"/>
      <x:c r="S1697" s="1"/>
      <x:c r="T1697" s="1"/>
      <x:c r="U1697" s="1"/>
      <x:c r="V1697" s="1"/>
    </x:row>
    <x:row r="1698">
      <x:c r="A1698" s="1"/>
      <x:c r="B1698" s="1"/>
      <x:c r="C1698" s="1"/>
      <x:c r="D1698" s="1"/>
      <x:c r="E1698" s="1"/>
      <x:c r="F1698" s="1"/>
      <x:c r="G1698" s="1"/>
      <x:c r="H1698" s="1"/>
      <x:c r="I1698" s="1"/>
      <x:c r="J1698" s="1"/>
      <x:c r="K1698" s="1"/>
      <x:c r="L1698" s="1"/>
      <x:c r="M1698" s="1"/>
      <x:c r="N1698" s="1"/>
      <x:c r="O1698" s="1"/>
      <x:c r="P1698" s="1"/>
      <x:c r="Q1698" s="1"/>
      <x:c r="R1698" s="1"/>
      <x:c r="S1698" s="1"/>
      <x:c r="T1698" s="1"/>
      <x:c r="U1698" s="1"/>
      <x:c r="V1698" s="1"/>
    </x:row>
    <x:row r="1699">
      <x:c r="A1699" s="1"/>
      <x:c r="B1699" s="1"/>
      <x:c r="C1699" s="1"/>
      <x:c r="D1699" s="1"/>
      <x:c r="E1699" s="1"/>
      <x:c r="F1699" s="1"/>
      <x:c r="G1699" s="1"/>
      <x:c r="H1699" s="1"/>
      <x:c r="I1699" s="1"/>
      <x:c r="J1699" s="1"/>
      <x:c r="K1699" s="1"/>
      <x:c r="L1699" s="1"/>
      <x:c r="M1699" s="1"/>
      <x:c r="N1699" s="1"/>
      <x:c r="O1699" s="1"/>
      <x:c r="P1699" s="1"/>
      <x:c r="Q1699" s="1"/>
      <x:c r="R1699" s="1"/>
      <x:c r="S1699" s="1"/>
      <x:c r="T1699" s="1"/>
      <x:c r="U1699" s="1"/>
      <x:c r="V1699" s="1"/>
    </x:row>
    <x:row r="1700">
      <x:c r="A1700" s="1"/>
      <x:c r="B1700" s="1"/>
      <x:c r="C1700" s="1"/>
      <x:c r="D1700" s="1"/>
      <x:c r="E1700" s="1"/>
      <x:c r="F1700" s="1"/>
      <x:c r="G1700" s="1"/>
      <x:c r="H1700" s="1"/>
      <x:c r="I1700" s="1"/>
      <x:c r="J1700" s="1"/>
      <x:c r="K1700" s="1"/>
      <x:c r="L1700" s="1"/>
      <x:c r="M1700" s="1"/>
      <x:c r="N1700" s="1"/>
      <x:c r="O1700" s="1"/>
      <x:c r="P1700" s="1"/>
      <x:c r="Q1700" s="1"/>
      <x:c r="R1700" s="1"/>
      <x:c r="S1700" s="1"/>
      <x:c r="T1700" s="1"/>
      <x:c r="U1700" s="1"/>
      <x:c r="V1700" s="1"/>
    </x:row>
    <x:row r="1701">
      <x:c r="A1701" s="1"/>
      <x:c r="B1701" s="1"/>
      <x:c r="C1701" s="1"/>
      <x:c r="D1701" s="1"/>
      <x:c r="E1701" s="1"/>
      <x:c r="F1701" s="1"/>
      <x:c r="G1701" s="1"/>
      <x:c r="H1701" s="1"/>
      <x:c r="I1701" s="1"/>
      <x:c r="J1701" s="1"/>
      <x:c r="K1701" s="1"/>
      <x:c r="L1701" s="1"/>
      <x:c r="M1701" s="1"/>
      <x:c r="N1701" s="1"/>
      <x:c r="O1701" s="1"/>
      <x:c r="P1701" s="1"/>
      <x:c r="Q1701" s="1"/>
      <x:c r="R1701" s="1"/>
      <x:c r="S1701" s="1"/>
      <x:c r="T1701" s="1"/>
      <x:c r="U1701" s="1"/>
      <x:c r="V1701" s="1"/>
    </x:row>
    <x:row r="1702">
      <x:c r="A1702" s="1"/>
      <x:c r="B1702" s="1"/>
      <x:c r="C1702" s="1"/>
      <x:c r="D1702" s="1"/>
      <x:c r="E1702" s="1"/>
      <x:c r="F1702" s="1"/>
      <x:c r="G1702" s="1"/>
      <x:c r="H1702" s="1"/>
      <x:c r="I1702" s="1"/>
      <x:c r="J1702" s="1"/>
      <x:c r="K1702" s="1"/>
      <x:c r="L1702" s="1"/>
      <x:c r="M1702" s="1"/>
      <x:c r="N1702" s="1"/>
      <x:c r="O1702" s="1"/>
      <x:c r="P1702" s="1"/>
      <x:c r="Q1702" s="1"/>
      <x:c r="R1702" s="1"/>
      <x:c r="S1702" s="1"/>
      <x:c r="T1702" s="1"/>
      <x:c r="U1702" s="1"/>
      <x:c r="V1702" s="1"/>
    </x:row>
    <x:row r="1703">
      <x:c r="A1703" s="1"/>
      <x:c r="B1703" s="1"/>
      <x:c r="C1703" s="1"/>
      <x:c r="D1703" s="1"/>
      <x:c r="E1703" s="1"/>
      <x:c r="F1703" s="1"/>
      <x:c r="G1703" s="1"/>
      <x:c r="H1703" s="1"/>
      <x:c r="I1703" s="1"/>
      <x:c r="J1703" s="1"/>
      <x:c r="K1703" s="1"/>
      <x:c r="L1703" s="1"/>
      <x:c r="M1703" s="1"/>
      <x:c r="N1703" s="1"/>
      <x:c r="O1703" s="1"/>
      <x:c r="P1703" s="1"/>
      <x:c r="Q1703" s="1"/>
      <x:c r="R1703" s="1"/>
      <x:c r="S1703" s="1"/>
      <x:c r="T1703" s="1"/>
      <x:c r="U1703" s="1"/>
      <x:c r="V1703" s="1"/>
    </x:row>
    <x:row r="1704">
      <x:c r="A1704" s="1"/>
      <x:c r="B1704" s="1"/>
      <x:c r="C1704" s="1"/>
      <x:c r="D1704" s="1"/>
      <x:c r="E1704" s="1"/>
      <x:c r="F1704" s="1"/>
      <x:c r="G1704" s="1"/>
      <x:c r="H1704" s="1"/>
      <x:c r="I1704" s="1"/>
      <x:c r="J1704" s="1"/>
      <x:c r="K1704" s="1"/>
      <x:c r="L1704" s="1"/>
      <x:c r="M1704" s="1"/>
      <x:c r="N1704" s="1"/>
      <x:c r="O1704" s="1"/>
      <x:c r="P1704" s="1"/>
      <x:c r="Q1704" s="1"/>
      <x:c r="R1704" s="1"/>
      <x:c r="S1704" s="1"/>
      <x:c r="T1704" s="1"/>
      <x:c r="U1704" s="1"/>
      <x:c r="V1704" s="1"/>
    </x:row>
    <x:row r="1705">
      <x:c r="A1705" s="1"/>
      <x:c r="B1705" s="1"/>
      <x:c r="C1705" s="1"/>
      <x:c r="D1705" s="1"/>
      <x:c r="E1705" s="1"/>
      <x:c r="F1705" s="1"/>
      <x:c r="G1705" s="1"/>
      <x:c r="H1705" s="1"/>
      <x:c r="I1705" s="1"/>
      <x:c r="J1705" s="1"/>
      <x:c r="K1705" s="1"/>
      <x:c r="L1705" s="1"/>
      <x:c r="M1705" s="1"/>
      <x:c r="N1705" s="1"/>
      <x:c r="O1705" s="1"/>
      <x:c r="P1705" s="1"/>
      <x:c r="Q1705" s="1"/>
      <x:c r="R1705" s="1"/>
      <x:c r="S1705" s="1"/>
      <x:c r="T1705" s="1"/>
      <x:c r="U1705" s="1"/>
      <x:c r="V1705" s="1"/>
    </x:row>
    <x:row r="1706">
      <x:c r="A1706" s="1"/>
      <x:c r="B1706" s="1"/>
      <x:c r="C1706" s="1"/>
      <x:c r="D1706" s="1"/>
      <x:c r="E1706" s="1"/>
      <x:c r="F1706" s="1"/>
      <x:c r="G1706" s="1"/>
      <x:c r="H1706" s="1"/>
      <x:c r="I1706" s="1"/>
      <x:c r="J1706" s="1"/>
      <x:c r="K1706" s="1"/>
      <x:c r="L1706" s="1"/>
      <x:c r="M1706" s="1"/>
      <x:c r="N1706" s="1"/>
      <x:c r="O1706" s="1"/>
      <x:c r="P1706" s="1"/>
      <x:c r="Q1706" s="1"/>
      <x:c r="R1706" s="1"/>
      <x:c r="S1706" s="1"/>
      <x:c r="T1706" s="1"/>
      <x:c r="U1706" s="1"/>
      <x:c r="V1706" s="1"/>
    </x:row>
    <x:row r="1707">
      <x:c r="A1707" s="1"/>
      <x:c r="B1707" s="1"/>
      <x:c r="C1707" s="1"/>
      <x:c r="D1707" s="1"/>
      <x:c r="E1707" s="1"/>
      <x:c r="F1707" s="1"/>
      <x:c r="G1707" s="1"/>
      <x:c r="H1707" s="1"/>
      <x:c r="I1707" s="1"/>
      <x:c r="J1707" s="1"/>
      <x:c r="K1707" s="1"/>
      <x:c r="L1707" s="1"/>
      <x:c r="M1707" s="1"/>
      <x:c r="N1707" s="1"/>
      <x:c r="O1707" s="1"/>
      <x:c r="P1707" s="1"/>
      <x:c r="Q1707" s="1"/>
      <x:c r="R1707" s="1"/>
      <x:c r="S1707" s="1"/>
      <x:c r="T1707" s="1"/>
      <x:c r="U1707" s="1"/>
      <x:c r="V1707" s="1"/>
    </x:row>
    <x:row r="1708">
      <x:c r="A1708" s="1"/>
      <x:c r="B1708" s="1"/>
      <x:c r="C1708" s="1"/>
      <x:c r="D1708" s="1"/>
      <x:c r="E1708" s="1"/>
      <x:c r="F1708" s="1"/>
      <x:c r="G1708" s="1"/>
      <x:c r="H1708" s="1"/>
      <x:c r="I1708" s="1"/>
      <x:c r="J1708" s="1"/>
      <x:c r="K1708" s="1"/>
      <x:c r="L1708" s="1"/>
      <x:c r="M1708" s="1"/>
      <x:c r="N1708" s="1"/>
      <x:c r="O1708" s="1"/>
      <x:c r="P1708" s="1"/>
      <x:c r="Q1708" s="1"/>
      <x:c r="R1708" s="1"/>
      <x:c r="S1708" s="1"/>
      <x:c r="T1708" s="1"/>
      <x:c r="U1708" s="1"/>
      <x:c r="V1708" s="1"/>
    </x:row>
    <x:row r="1709">
      <x:c r="A1709" s="1"/>
      <x:c r="B1709" s="1"/>
      <x:c r="C1709" s="1"/>
      <x:c r="D1709" s="1"/>
      <x:c r="E1709" s="1"/>
      <x:c r="F1709" s="1"/>
      <x:c r="G1709" s="1"/>
      <x:c r="H1709" s="1"/>
      <x:c r="I1709" s="1"/>
      <x:c r="J1709" s="1"/>
      <x:c r="K1709" s="1"/>
      <x:c r="L1709" s="1"/>
      <x:c r="M1709" s="1"/>
      <x:c r="N1709" s="1"/>
      <x:c r="O1709" s="1"/>
      <x:c r="P1709" s="1"/>
      <x:c r="Q1709" s="1"/>
      <x:c r="R1709" s="1"/>
      <x:c r="S1709" s="1"/>
      <x:c r="T1709" s="1"/>
      <x:c r="U1709" s="1"/>
      <x:c r="V1709" s="1"/>
    </x:row>
    <x:row r="1710">
      <x:c r="A1710" s="1"/>
      <x:c r="B1710" s="1"/>
      <x:c r="C1710" s="1"/>
      <x:c r="D1710" s="1"/>
      <x:c r="E1710" s="1"/>
      <x:c r="F1710" s="1"/>
      <x:c r="G1710" s="1"/>
      <x:c r="H1710" s="1"/>
      <x:c r="I1710" s="1"/>
      <x:c r="J1710" s="1"/>
      <x:c r="K1710" s="1"/>
      <x:c r="L1710" s="1"/>
      <x:c r="M1710" s="1"/>
      <x:c r="N1710" s="1"/>
      <x:c r="O1710" s="1"/>
      <x:c r="P1710" s="1"/>
      <x:c r="Q1710" s="1"/>
      <x:c r="R1710" s="1"/>
      <x:c r="S1710" s="1"/>
      <x:c r="T1710" s="1"/>
      <x:c r="U1710" s="1"/>
      <x:c r="V1710" s="1"/>
    </x:row>
    <x:row r="1711">
      <x:c r="A1711" s="1"/>
      <x:c r="B1711" s="1"/>
      <x:c r="C1711" s="1"/>
      <x:c r="D1711" s="1"/>
      <x:c r="E1711" s="1"/>
      <x:c r="F1711" s="1"/>
      <x:c r="G1711" s="1"/>
      <x:c r="H1711" s="1"/>
      <x:c r="I1711" s="1"/>
      <x:c r="J1711" s="1"/>
      <x:c r="K1711" s="1"/>
      <x:c r="L1711" s="1"/>
      <x:c r="M1711" s="1"/>
      <x:c r="N1711" s="1"/>
      <x:c r="O1711" s="1"/>
      <x:c r="P1711" s="1"/>
      <x:c r="Q1711" s="1"/>
      <x:c r="R1711" s="1"/>
      <x:c r="S1711" s="1"/>
      <x:c r="T1711" s="1"/>
      <x:c r="U1711" s="1"/>
      <x:c r="V1711" s="1"/>
    </x:row>
    <x:row r="1712">
      <x:c r="A1712" s="1"/>
      <x:c r="B1712" s="1"/>
      <x:c r="C1712" s="1"/>
      <x:c r="D1712" s="1"/>
      <x:c r="E1712" s="1"/>
      <x:c r="F1712" s="1"/>
      <x:c r="G1712" s="1"/>
      <x:c r="H1712" s="1"/>
      <x:c r="I1712" s="1"/>
      <x:c r="J1712" s="1"/>
      <x:c r="K1712" s="1"/>
      <x:c r="L1712" s="1"/>
      <x:c r="M1712" s="1"/>
      <x:c r="N1712" s="1"/>
      <x:c r="O1712" s="1"/>
      <x:c r="P1712" s="1"/>
      <x:c r="Q1712" s="1"/>
      <x:c r="R1712" s="1"/>
      <x:c r="S1712" s="1"/>
      <x:c r="T1712" s="1"/>
      <x:c r="U1712" s="1"/>
      <x:c r="V1712" s="1"/>
    </x:row>
    <x:row r="1713">
      <x:c r="A1713" s="1"/>
      <x:c r="B1713" s="1"/>
      <x:c r="C1713" s="1"/>
      <x:c r="D1713" s="1"/>
      <x:c r="E1713" s="1"/>
      <x:c r="F1713" s="1"/>
      <x:c r="G1713" s="1"/>
      <x:c r="H1713" s="1"/>
      <x:c r="I1713" s="1"/>
      <x:c r="J1713" s="1"/>
      <x:c r="K1713" s="1"/>
      <x:c r="L1713" s="1"/>
      <x:c r="M1713" s="1"/>
      <x:c r="N1713" s="1"/>
      <x:c r="O1713" s="1"/>
      <x:c r="P1713" s="1"/>
      <x:c r="Q1713" s="1"/>
      <x:c r="R1713" s="1"/>
      <x:c r="S1713" s="1"/>
      <x:c r="T1713" s="1"/>
      <x:c r="U1713" s="1"/>
      <x:c r="V1713" s="1"/>
    </x:row>
    <x:row r="1714">
      <x:c r="A1714" s="1"/>
      <x:c r="B1714" s="1"/>
      <x:c r="C1714" s="1"/>
      <x:c r="D1714" s="1"/>
      <x:c r="E1714" s="1"/>
      <x:c r="F1714" s="1"/>
      <x:c r="G1714" s="1"/>
      <x:c r="H1714" s="1"/>
      <x:c r="I1714" s="1"/>
      <x:c r="J1714" s="1"/>
      <x:c r="K1714" s="1"/>
      <x:c r="L1714" s="1"/>
      <x:c r="M1714" s="1"/>
      <x:c r="N1714" s="1"/>
      <x:c r="O1714" s="1"/>
      <x:c r="P1714" s="1"/>
      <x:c r="Q1714" s="1"/>
      <x:c r="R1714" s="1"/>
      <x:c r="S1714" s="1"/>
      <x:c r="T1714" s="1"/>
      <x:c r="U1714" s="1"/>
      <x:c r="V1714" s="1"/>
    </x:row>
    <x:row r="1715">
      <x:c r="A1715" s="1"/>
      <x:c r="B1715" s="1"/>
      <x:c r="C1715" s="1"/>
      <x:c r="D1715" s="1"/>
      <x:c r="E1715" s="1"/>
      <x:c r="F1715" s="1"/>
      <x:c r="G1715" s="1"/>
      <x:c r="H1715" s="1"/>
      <x:c r="I1715" s="1"/>
      <x:c r="J1715" s="1"/>
      <x:c r="K1715" s="1"/>
      <x:c r="L1715" s="1"/>
      <x:c r="M1715" s="1"/>
      <x:c r="N1715" s="1"/>
      <x:c r="O1715" s="1"/>
      <x:c r="P1715" s="1"/>
      <x:c r="Q1715" s="1"/>
      <x:c r="R1715" s="1"/>
      <x:c r="S1715" s="1"/>
      <x:c r="T1715" s="1"/>
      <x:c r="U1715" s="1"/>
      <x:c r="V1715" s="1"/>
    </x:row>
    <x:row r="1716">
      <x:c r="A1716" s="1"/>
      <x:c r="B1716" s="1"/>
      <x:c r="C1716" s="1"/>
      <x:c r="D1716" s="1"/>
      <x:c r="E1716" s="1"/>
      <x:c r="F1716" s="1"/>
      <x:c r="G1716" s="1"/>
      <x:c r="H1716" s="1"/>
      <x:c r="I1716" s="1"/>
      <x:c r="J1716" s="1"/>
      <x:c r="K1716" s="1"/>
      <x:c r="L1716" s="1"/>
      <x:c r="M1716" s="1"/>
      <x:c r="N1716" s="1"/>
      <x:c r="O1716" s="1"/>
      <x:c r="P1716" s="1"/>
      <x:c r="Q1716" s="1"/>
      <x:c r="R1716" s="1"/>
      <x:c r="S1716" s="1"/>
      <x:c r="T1716" s="1"/>
      <x:c r="U1716" s="1"/>
      <x:c r="V1716" s="1"/>
    </x:row>
    <x:row r="1717">
      <x:c r="A1717" s="1"/>
      <x:c r="B1717" s="1"/>
      <x:c r="C1717" s="1"/>
      <x:c r="D1717" s="1"/>
      <x:c r="E1717" s="1"/>
      <x:c r="F1717" s="1"/>
      <x:c r="G1717" s="1"/>
      <x:c r="H1717" s="1"/>
      <x:c r="I1717" s="1"/>
      <x:c r="J1717" s="1"/>
      <x:c r="K1717" s="1"/>
      <x:c r="L1717" s="1"/>
      <x:c r="M1717" s="1"/>
      <x:c r="N1717" s="1"/>
      <x:c r="O1717" s="1"/>
      <x:c r="P1717" s="1"/>
      <x:c r="Q1717" s="1"/>
      <x:c r="R1717" s="1"/>
      <x:c r="S1717" s="1"/>
      <x:c r="T1717" s="1"/>
      <x:c r="U1717" s="1"/>
      <x:c r="V1717" s="1"/>
    </x:row>
    <x:row r="1718">
      <x:c r="A1718" s="1"/>
      <x:c r="B1718" s="1"/>
      <x:c r="C1718" s="1"/>
      <x:c r="D1718" s="1"/>
      <x:c r="E1718" s="1"/>
      <x:c r="F1718" s="1"/>
      <x:c r="G1718" s="1"/>
      <x:c r="H1718" s="1"/>
      <x:c r="I1718" s="1"/>
      <x:c r="J1718" s="1"/>
      <x:c r="K1718" s="1"/>
      <x:c r="L1718" s="1"/>
      <x:c r="M1718" s="1"/>
      <x:c r="N1718" s="1"/>
      <x:c r="O1718" s="1"/>
      <x:c r="P1718" s="1"/>
      <x:c r="Q1718" s="1"/>
      <x:c r="R1718" s="1"/>
      <x:c r="S1718" s="1"/>
      <x:c r="T1718" s="1"/>
      <x:c r="U1718" s="1"/>
      <x:c r="V1718" s="1"/>
    </x:row>
    <x:row r="1719">
      <x:c r="A1719" s="1"/>
      <x:c r="B1719" s="1"/>
      <x:c r="C1719" s="1"/>
      <x:c r="D1719" s="1"/>
      <x:c r="E1719" s="1"/>
      <x:c r="F1719" s="1"/>
      <x:c r="G1719" s="1"/>
      <x:c r="H1719" s="1"/>
      <x:c r="I1719" s="1"/>
      <x:c r="J1719" s="1"/>
      <x:c r="K1719" s="1"/>
      <x:c r="L1719" s="1"/>
      <x:c r="M1719" s="1"/>
      <x:c r="N1719" s="1"/>
      <x:c r="O1719" s="1"/>
      <x:c r="P1719" s="1"/>
      <x:c r="Q1719" s="1"/>
      <x:c r="R1719" s="1"/>
      <x:c r="S1719" s="1"/>
      <x:c r="T1719" s="1"/>
      <x:c r="U1719" s="1"/>
      <x:c r="V1719" s="1"/>
    </x:row>
    <x:row r="1720">
      <x:c r="A1720" s="1"/>
      <x:c r="B1720" s="1"/>
      <x:c r="C1720" s="1"/>
      <x:c r="D1720" s="1"/>
      <x:c r="E1720" s="1"/>
      <x:c r="F1720" s="1"/>
      <x:c r="G1720" s="1"/>
      <x:c r="H1720" s="1"/>
      <x:c r="I1720" s="1"/>
      <x:c r="J1720" s="1"/>
      <x:c r="K1720" s="1"/>
      <x:c r="L1720" s="1"/>
      <x:c r="M1720" s="1"/>
      <x:c r="N1720" s="1"/>
      <x:c r="O1720" s="1"/>
      <x:c r="P1720" s="1"/>
      <x:c r="Q1720" s="1"/>
      <x:c r="R1720" s="1"/>
      <x:c r="S1720" s="1"/>
      <x:c r="T1720" s="1"/>
      <x:c r="U1720" s="1"/>
      <x:c r="V1720" s="1"/>
    </x:row>
    <x:row r="1721">
      <x:c r="A1721" s="1"/>
      <x:c r="B1721" s="1"/>
      <x:c r="C1721" s="1"/>
      <x:c r="D1721" s="1"/>
      <x:c r="E1721" s="1"/>
      <x:c r="F1721" s="1"/>
      <x:c r="G1721" s="1"/>
      <x:c r="H1721" s="1"/>
      <x:c r="I1721" s="1"/>
      <x:c r="J1721" s="1"/>
      <x:c r="K1721" s="1"/>
      <x:c r="L1721" s="1"/>
      <x:c r="M1721" s="1"/>
      <x:c r="N1721" s="1"/>
      <x:c r="O1721" s="1"/>
      <x:c r="P1721" s="1"/>
      <x:c r="Q1721" s="1"/>
      <x:c r="R1721" s="1"/>
      <x:c r="S1721" s="1"/>
      <x:c r="T1721" s="1"/>
      <x:c r="U1721" s="1"/>
      <x:c r="V1721" s="1"/>
    </x:row>
    <x:row r="1722">
      <x:c r="A1722" s="1"/>
      <x:c r="B1722" s="1"/>
      <x:c r="C1722" s="1"/>
      <x:c r="D1722" s="1"/>
      <x:c r="E1722" s="1"/>
      <x:c r="F1722" s="1"/>
      <x:c r="G1722" s="1"/>
      <x:c r="H1722" s="1"/>
      <x:c r="I1722" s="1"/>
      <x:c r="J1722" s="1"/>
      <x:c r="K1722" s="1"/>
      <x:c r="L1722" s="1"/>
      <x:c r="M1722" s="1"/>
      <x:c r="N1722" s="1"/>
      <x:c r="O1722" s="1"/>
      <x:c r="P1722" s="1"/>
      <x:c r="Q1722" s="1"/>
      <x:c r="R1722" s="1"/>
      <x:c r="S1722" s="1"/>
      <x:c r="T1722" s="1"/>
      <x:c r="U1722" s="1"/>
      <x:c r="V1722" s="1"/>
    </x:row>
    <x:row r="1723">
      <x:c r="A1723" s="1"/>
      <x:c r="B1723" s="1"/>
      <x:c r="C1723" s="1"/>
      <x:c r="D1723" s="1"/>
      <x:c r="E1723" s="1"/>
      <x:c r="F1723" s="1"/>
      <x:c r="G1723" s="1"/>
      <x:c r="H1723" s="1"/>
      <x:c r="I1723" s="1"/>
      <x:c r="J1723" s="1"/>
      <x:c r="K1723" s="1"/>
      <x:c r="L1723" s="1"/>
      <x:c r="M1723" s="1"/>
      <x:c r="N1723" s="1"/>
      <x:c r="O1723" s="1"/>
      <x:c r="P1723" s="1"/>
      <x:c r="Q1723" s="1"/>
      <x:c r="R1723" s="1"/>
      <x:c r="S1723" s="1"/>
      <x:c r="T1723" s="1"/>
      <x:c r="U1723" s="1"/>
      <x:c r="V1723" s="1"/>
    </x:row>
    <x:row r="1724">
      <x:c r="A1724" s="1"/>
      <x:c r="B1724" s="1"/>
      <x:c r="C1724" s="1"/>
      <x:c r="D1724" s="1"/>
      <x:c r="E1724" s="1"/>
      <x:c r="F1724" s="1"/>
      <x:c r="G1724" s="1"/>
      <x:c r="H1724" s="1"/>
      <x:c r="I1724" s="1"/>
      <x:c r="J1724" s="1"/>
      <x:c r="K1724" s="1"/>
      <x:c r="L1724" s="1"/>
      <x:c r="M1724" s="1"/>
      <x:c r="N1724" s="1"/>
      <x:c r="O1724" s="1"/>
      <x:c r="P1724" s="1"/>
      <x:c r="Q1724" s="1"/>
      <x:c r="R1724" s="1"/>
      <x:c r="S1724" s="1"/>
      <x:c r="T1724" s="1"/>
      <x:c r="U1724" s="1"/>
      <x:c r="V1724" s="1"/>
    </x:row>
    <x:row r="1725">
      <x:c r="A1725" s="1"/>
      <x:c r="B1725" s="1"/>
      <x:c r="C1725" s="1"/>
      <x:c r="D1725" s="1"/>
      <x:c r="E1725" s="1"/>
      <x:c r="F1725" s="1"/>
      <x:c r="G1725" s="1"/>
      <x:c r="H1725" s="1"/>
      <x:c r="I1725" s="1"/>
      <x:c r="J1725" s="1"/>
      <x:c r="K1725" s="1"/>
      <x:c r="L1725" s="1"/>
      <x:c r="M1725" s="1"/>
      <x:c r="N1725" s="1"/>
      <x:c r="O1725" s="1"/>
      <x:c r="P1725" s="1"/>
      <x:c r="Q1725" s="1"/>
      <x:c r="R1725" s="1"/>
      <x:c r="S1725" s="1"/>
      <x:c r="T1725" s="1"/>
      <x:c r="U1725" s="1"/>
      <x:c r="V1725" s="1"/>
    </x:row>
    <x:row r="1726">
      <x:c r="A1726" s="1"/>
      <x:c r="B1726" s="1"/>
      <x:c r="C1726" s="1"/>
      <x:c r="D1726" s="1"/>
      <x:c r="E1726" s="1"/>
      <x:c r="F1726" s="1"/>
      <x:c r="G1726" s="1"/>
      <x:c r="H1726" s="1"/>
      <x:c r="I1726" s="1"/>
      <x:c r="J1726" s="1"/>
      <x:c r="K1726" s="1"/>
      <x:c r="L1726" s="1"/>
      <x:c r="M1726" s="1"/>
      <x:c r="N1726" s="1"/>
      <x:c r="O1726" s="1"/>
      <x:c r="P1726" s="1"/>
      <x:c r="Q1726" s="1"/>
      <x:c r="R1726" s="1"/>
      <x:c r="S1726" s="1"/>
      <x:c r="T1726" s="1"/>
      <x:c r="U1726" s="1"/>
      <x:c r="V1726" s="1"/>
    </x:row>
    <x:row r="1727">
      <x:c r="A1727" s="1"/>
      <x:c r="B1727" s="1"/>
      <x:c r="C1727" s="1"/>
      <x:c r="D1727" s="1"/>
      <x:c r="E1727" s="1"/>
      <x:c r="F1727" s="1"/>
      <x:c r="G1727" s="1"/>
      <x:c r="H1727" s="1"/>
      <x:c r="I1727" s="1"/>
      <x:c r="J1727" s="1"/>
      <x:c r="K1727" s="1"/>
      <x:c r="L1727" s="1"/>
      <x:c r="M1727" s="1"/>
      <x:c r="N1727" s="1"/>
      <x:c r="O1727" s="1"/>
      <x:c r="P1727" s="1"/>
      <x:c r="Q1727" s="1"/>
      <x:c r="R1727" s="1"/>
      <x:c r="S1727" s="1"/>
      <x:c r="T1727" s="1"/>
      <x:c r="U1727" s="1"/>
      <x:c r="V1727" s="1"/>
    </x:row>
    <x:row r="1728">
      <x:c r="A1728" s="1"/>
      <x:c r="B1728" s="1"/>
      <x:c r="C1728" s="1"/>
      <x:c r="D1728" s="1"/>
      <x:c r="E1728" s="1"/>
      <x:c r="F1728" s="1"/>
      <x:c r="G1728" s="1"/>
      <x:c r="H1728" s="1"/>
      <x:c r="I1728" s="1"/>
      <x:c r="J1728" s="1"/>
      <x:c r="K1728" s="1"/>
      <x:c r="L1728" s="1"/>
      <x:c r="M1728" s="1"/>
      <x:c r="N1728" s="1"/>
      <x:c r="O1728" s="1"/>
      <x:c r="P1728" s="1"/>
      <x:c r="Q1728" s="1"/>
      <x:c r="R1728" s="1"/>
      <x:c r="S1728" s="1"/>
      <x:c r="T1728" s="1"/>
      <x:c r="U1728" s="1"/>
      <x:c r="V1728" s="1"/>
    </x:row>
    <x:row r="1729">
      <x:c r="A1729" s="1"/>
      <x:c r="B1729" s="1"/>
      <x:c r="C1729" s="1"/>
      <x:c r="D1729" s="1"/>
      <x:c r="E1729" s="1"/>
      <x:c r="F1729" s="1"/>
      <x:c r="G1729" s="1"/>
      <x:c r="H1729" s="1"/>
      <x:c r="I1729" s="1"/>
      <x:c r="J1729" s="1"/>
      <x:c r="K1729" s="1"/>
      <x:c r="L1729" s="1"/>
      <x:c r="M1729" s="1"/>
      <x:c r="N1729" s="1"/>
      <x:c r="O1729" s="1"/>
      <x:c r="P1729" s="1"/>
      <x:c r="Q1729" s="1"/>
      <x:c r="R1729" s="1"/>
      <x:c r="S1729" s="1"/>
      <x:c r="T1729" s="1"/>
      <x:c r="U1729" s="1"/>
      <x:c r="V1729" s="1"/>
    </x:row>
    <x:row r="1730">
      <x:c r="A1730" s="1"/>
      <x:c r="B1730" s="1"/>
      <x:c r="C1730" s="1"/>
      <x:c r="D1730" s="1"/>
      <x:c r="E1730" s="1"/>
      <x:c r="F1730" s="1"/>
      <x:c r="G1730" s="1"/>
      <x:c r="H1730" s="1"/>
      <x:c r="I1730" s="1"/>
      <x:c r="J1730" s="1"/>
      <x:c r="K1730" s="1"/>
      <x:c r="L1730" s="1"/>
      <x:c r="M1730" s="1"/>
      <x:c r="N1730" s="1"/>
      <x:c r="O1730" s="1"/>
      <x:c r="P1730" s="1"/>
      <x:c r="Q1730" s="1"/>
      <x:c r="R1730" s="1"/>
      <x:c r="S1730" s="1"/>
      <x:c r="T1730" s="1"/>
      <x:c r="U1730" s="1"/>
      <x:c r="V1730" s="1"/>
    </x:row>
    <x:row r="1731">
      <x:c r="A1731" s="1"/>
      <x:c r="B1731" s="1"/>
      <x:c r="C1731" s="1"/>
      <x:c r="D1731" s="1"/>
      <x:c r="E1731" s="1"/>
      <x:c r="F1731" s="1"/>
      <x:c r="G1731" s="1"/>
      <x:c r="H1731" s="1"/>
      <x:c r="I1731" s="1"/>
      <x:c r="J1731" s="1"/>
      <x:c r="K1731" s="1"/>
      <x:c r="L1731" s="1"/>
      <x:c r="M1731" s="1"/>
      <x:c r="N1731" s="1"/>
      <x:c r="O1731" s="1"/>
      <x:c r="P1731" s="1"/>
      <x:c r="Q1731" s="1"/>
      <x:c r="R1731" s="1"/>
      <x:c r="S1731" s="1"/>
      <x:c r="T1731" s="1"/>
      <x:c r="U1731" s="1"/>
      <x:c r="V1731" s="1"/>
    </x:row>
    <x:row r="1732">
      <x:c r="A1732" s="1"/>
      <x:c r="B1732" s="1"/>
      <x:c r="C1732" s="1"/>
      <x:c r="D1732" s="1"/>
      <x:c r="E1732" s="1"/>
      <x:c r="F1732" s="1"/>
      <x:c r="G1732" s="1"/>
      <x:c r="H1732" s="1"/>
      <x:c r="I1732" s="1"/>
      <x:c r="J1732" s="1"/>
      <x:c r="K1732" s="1"/>
      <x:c r="L1732" s="1"/>
      <x:c r="M1732" s="1"/>
      <x:c r="N1732" s="1"/>
      <x:c r="O1732" s="1"/>
      <x:c r="P1732" s="1"/>
      <x:c r="Q1732" s="1"/>
      <x:c r="R1732" s="1"/>
      <x:c r="S1732" s="1"/>
      <x:c r="T1732" s="1"/>
      <x:c r="U1732" s="1"/>
      <x:c r="V1732" s="1"/>
    </x:row>
    <x:row r="1733">
      <x:c r="A1733" s="1"/>
      <x:c r="B1733" s="1"/>
      <x:c r="C1733" s="1"/>
      <x:c r="D1733" s="1"/>
      <x:c r="E1733" s="1"/>
      <x:c r="F1733" s="1"/>
      <x:c r="G1733" s="1"/>
      <x:c r="H1733" s="1"/>
      <x:c r="I1733" s="1"/>
      <x:c r="J1733" s="1"/>
      <x:c r="K1733" s="1"/>
      <x:c r="L1733" s="1"/>
      <x:c r="M1733" s="1"/>
      <x:c r="N1733" s="1"/>
      <x:c r="O1733" s="1"/>
      <x:c r="P1733" s="1"/>
      <x:c r="Q1733" s="1"/>
      <x:c r="R1733" s="1"/>
      <x:c r="S1733" s="1"/>
      <x:c r="T1733" s="1"/>
      <x:c r="U1733" s="1"/>
      <x:c r="V1733" s="1"/>
    </x:row>
    <x:row r="1734">
      <x:c r="A1734" s="1"/>
      <x:c r="B1734" s="1"/>
      <x:c r="C1734" s="1"/>
      <x:c r="D1734" s="1"/>
      <x:c r="E1734" s="1"/>
      <x:c r="F1734" s="1"/>
      <x:c r="G1734" s="1"/>
      <x:c r="H1734" s="1"/>
      <x:c r="I1734" s="1"/>
      <x:c r="J1734" s="1"/>
      <x:c r="K1734" s="1"/>
      <x:c r="L1734" s="1"/>
      <x:c r="M1734" s="1"/>
      <x:c r="N1734" s="1"/>
      <x:c r="O1734" s="1"/>
      <x:c r="P1734" s="1"/>
      <x:c r="Q1734" s="1"/>
      <x:c r="R1734" s="1"/>
      <x:c r="S1734" s="1"/>
      <x:c r="T1734" s="1"/>
      <x:c r="U1734" s="1"/>
      <x:c r="V1734" s="1"/>
    </x:row>
    <x:row r="1735">
      <x:c r="A1735" s="1"/>
      <x:c r="B1735" s="1"/>
      <x:c r="C1735" s="1"/>
      <x:c r="D1735" s="1"/>
      <x:c r="E1735" s="1"/>
      <x:c r="F1735" s="1"/>
      <x:c r="G1735" s="1"/>
      <x:c r="H1735" s="1"/>
      <x:c r="I1735" s="1"/>
      <x:c r="J1735" s="1"/>
      <x:c r="K1735" s="1"/>
      <x:c r="L1735" s="1"/>
      <x:c r="M1735" s="1"/>
      <x:c r="N1735" s="1"/>
      <x:c r="O1735" s="1"/>
      <x:c r="P1735" s="1"/>
      <x:c r="Q1735" s="1"/>
      <x:c r="R1735" s="1"/>
      <x:c r="S1735" s="1"/>
      <x:c r="T1735" s="1"/>
      <x:c r="U1735" s="1"/>
      <x:c r="V1735" s="1"/>
    </x:row>
    <x:row r="1736">
      <x:c r="A1736" s="1"/>
      <x:c r="B1736" s="1"/>
      <x:c r="C1736" s="1"/>
      <x:c r="D1736" s="1"/>
      <x:c r="E1736" s="1"/>
      <x:c r="F1736" s="1"/>
      <x:c r="G1736" s="1"/>
      <x:c r="H1736" s="1"/>
      <x:c r="I1736" s="1"/>
      <x:c r="J1736" s="1"/>
      <x:c r="K1736" s="1"/>
      <x:c r="L1736" s="1"/>
      <x:c r="M1736" s="1"/>
      <x:c r="N1736" s="1"/>
      <x:c r="O1736" s="1"/>
      <x:c r="P1736" s="1"/>
      <x:c r="Q1736" s="1"/>
      <x:c r="R1736" s="1"/>
      <x:c r="S1736" s="1"/>
      <x:c r="T1736" s="1"/>
      <x:c r="U1736" s="1"/>
      <x:c r="V1736" s="1"/>
    </x:row>
    <x:row r="1737">
      <x:c r="A1737" s="1"/>
      <x:c r="B1737" s="1"/>
      <x:c r="C1737" s="1"/>
      <x:c r="D1737" s="1"/>
      <x:c r="E1737" s="1"/>
      <x:c r="F1737" s="1"/>
      <x:c r="G1737" s="1"/>
      <x:c r="H1737" s="1"/>
      <x:c r="I1737" s="1"/>
      <x:c r="J1737" s="1"/>
      <x:c r="K1737" s="1"/>
      <x:c r="L1737" s="1"/>
      <x:c r="M1737" s="1"/>
      <x:c r="N1737" s="1"/>
      <x:c r="O1737" s="1"/>
      <x:c r="P1737" s="1"/>
      <x:c r="Q1737" s="1"/>
      <x:c r="R1737" s="1"/>
      <x:c r="S1737" s="1"/>
      <x:c r="T1737" s="1"/>
      <x:c r="U1737" s="1"/>
      <x:c r="V1737" s="1"/>
    </x:row>
    <x:row r="1738">
      <x:c r="A1738" s="1"/>
      <x:c r="B1738" s="1"/>
      <x:c r="C1738" s="1"/>
      <x:c r="D1738" s="1"/>
      <x:c r="E1738" s="1"/>
      <x:c r="F1738" s="1"/>
      <x:c r="G1738" s="1"/>
      <x:c r="H1738" s="1"/>
      <x:c r="I1738" s="1"/>
      <x:c r="J1738" s="1"/>
      <x:c r="K1738" s="1"/>
      <x:c r="L1738" s="1"/>
      <x:c r="M1738" s="1"/>
      <x:c r="N1738" s="1"/>
      <x:c r="O1738" s="1"/>
      <x:c r="P1738" s="1"/>
      <x:c r="Q1738" s="1"/>
      <x:c r="R1738" s="1"/>
      <x:c r="S1738" s="1"/>
      <x:c r="T1738" s="1"/>
      <x:c r="U1738" s="1"/>
      <x:c r="V1738" s="1"/>
    </x:row>
    <x:row r="1739">
      <x:c r="A1739" s="1"/>
      <x:c r="B1739" s="1"/>
      <x:c r="C1739" s="1"/>
      <x:c r="D1739" s="1"/>
      <x:c r="E1739" s="1"/>
      <x:c r="F1739" s="1"/>
      <x:c r="G1739" s="1"/>
      <x:c r="H1739" s="1"/>
      <x:c r="I1739" s="1"/>
      <x:c r="J1739" s="1"/>
      <x:c r="K1739" s="1"/>
      <x:c r="L1739" s="1"/>
      <x:c r="M1739" s="1"/>
      <x:c r="N1739" s="1"/>
      <x:c r="O1739" s="1"/>
      <x:c r="P1739" s="1"/>
      <x:c r="Q1739" s="1"/>
      <x:c r="R1739" s="1"/>
      <x:c r="S1739" s="1"/>
      <x:c r="T1739" s="1"/>
      <x:c r="U1739" s="1"/>
      <x:c r="V1739" s="1"/>
    </x:row>
    <x:row r="1740">
      <x:c r="A1740" s="1"/>
      <x:c r="B1740" s="1"/>
      <x:c r="C1740" s="1"/>
      <x:c r="D1740" s="1"/>
      <x:c r="E1740" s="1"/>
      <x:c r="F1740" s="1"/>
      <x:c r="G1740" s="1"/>
      <x:c r="H1740" s="1"/>
      <x:c r="I1740" s="1"/>
      <x:c r="J1740" s="1"/>
      <x:c r="K1740" s="1"/>
      <x:c r="L1740" s="1"/>
      <x:c r="M1740" s="1"/>
      <x:c r="N1740" s="1"/>
      <x:c r="O1740" s="1"/>
      <x:c r="P1740" s="1"/>
      <x:c r="Q1740" s="1"/>
      <x:c r="R1740" s="1"/>
      <x:c r="S1740" s="1"/>
      <x:c r="T1740" s="1"/>
      <x:c r="U1740" s="1"/>
      <x:c r="V1740" s="1"/>
    </x:row>
    <x:row r="1741">
      <x:c r="A1741" s="1"/>
      <x:c r="B1741" s="1"/>
      <x:c r="C1741" s="1"/>
      <x:c r="D1741" s="1"/>
      <x:c r="E1741" s="1"/>
      <x:c r="F1741" s="1"/>
      <x:c r="G1741" s="1"/>
      <x:c r="H1741" s="1"/>
      <x:c r="I1741" s="1"/>
      <x:c r="J1741" s="1"/>
      <x:c r="K1741" s="1"/>
      <x:c r="L1741" s="1"/>
      <x:c r="M1741" s="1"/>
      <x:c r="N1741" s="1"/>
      <x:c r="O1741" s="1"/>
      <x:c r="P1741" s="1"/>
      <x:c r="Q1741" s="1"/>
      <x:c r="R1741" s="1"/>
      <x:c r="S1741" s="1"/>
      <x:c r="T1741" s="1"/>
      <x:c r="U1741" s="1"/>
      <x:c r="V1741" s="1"/>
    </x:row>
    <x:row r="1742">
      <x:c r="A1742" s="1"/>
      <x:c r="B1742" s="1"/>
      <x:c r="C1742" s="1"/>
      <x:c r="D1742" s="1"/>
      <x:c r="E1742" s="1"/>
      <x:c r="F1742" s="1"/>
      <x:c r="G1742" s="1"/>
      <x:c r="H1742" s="1"/>
      <x:c r="I1742" s="1"/>
      <x:c r="J1742" s="1"/>
      <x:c r="K1742" s="1"/>
      <x:c r="L1742" s="1"/>
      <x:c r="M1742" s="1"/>
      <x:c r="N1742" s="1"/>
      <x:c r="O1742" s="1"/>
      <x:c r="P1742" s="1"/>
      <x:c r="Q1742" s="1"/>
      <x:c r="R1742" s="1"/>
      <x:c r="S1742" s="1"/>
      <x:c r="T1742" s="1"/>
      <x:c r="U1742" s="1"/>
      <x:c r="V1742" s="1"/>
    </x:row>
    <x:row r="1743">
      <x:c r="A1743" s="1"/>
      <x:c r="B1743" s="1"/>
      <x:c r="C1743" s="1"/>
      <x:c r="D1743" s="1"/>
      <x:c r="E1743" s="1"/>
      <x:c r="F1743" s="1"/>
      <x:c r="G1743" s="1"/>
      <x:c r="H1743" s="1"/>
      <x:c r="I1743" s="1"/>
      <x:c r="J1743" s="1"/>
      <x:c r="K1743" s="1"/>
      <x:c r="L1743" s="1"/>
      <x:c r="M1743" s="1"/>
      <x:c r="N1743" s="1"/>
      <x:c r="O1743" s="1"/>
      <x:c r="P1743" s="1"/>
      <x:c r="Q1743" s="1"/>
      <x:c r="R1743" s="1"/>
      <x:c r="S1743" s="1"/>
      <x:c r="T1743" s="1"/>
      <x:c r="U1743" s="1"/>
      <x:c r="V1743" s="1"/>
    </x:row>
    <x:row r="1744">
      <x:c r="A1744" s="1"/>
      <x:c r="B1744" s="1"/>
      <x:c r="C1744" s="1"/>
      <x:c r="D1744" s="1"/>
      <x:c r="E1744" s="1"/>
      <x:c r="F1744" s="1"/>
      <x:c r="G1744" s="1"/>
      <x:c r="H1744" s="1"/>
      <x:c r="I1744" s="1"/>
      <x:c r="J1744" s="1"/>
      <x:c r="K1744" s="1"/>
      <x:c r="L1744" s="1"/>
      <x:c r="M1744" s="1"/>
      <x:c r="N1744" s="1"/>
      <x:c r="O1744" s="1"/>
      <x:c r="P1744" s="1"/>
      <x:c r="Q1744" s="1"/>
      <x:c r="R1744" s="1"/>
      <x:c r="S1744" s="1"/>
      <x:c r="T1744" s="1"/>
      <x:c r="U1744" s="1"/>
      <x:c r="V1744" s="1"/>
    </x:row>
    <x:row r="1745">
      <x:c r="A1745" s="1"/>
      <x:c r="B1745" s="1"/>
      <x:c r="C1745" s="1"/>
      <x:c r="D1745" s="1"/>
      <x:c r="E1745" s="1"/>
      <x:c r="F1745" s="1"/>
      <x:c r="G1745" s="1"/>
      <x:c r="H1745" s="1"/>
      <x:c r="I1745" s="1"/>
      <x:c r="J1745" s="1"/>
      <x:c r="K1745" s="1"/>
      <x:c r="L1745" s="1"/>
      <x:c r="M1745" s="1"/>
      <x:c r="N1745" s="1"/>
      <x:c r="O1745" s="1"/>
      <x:c r="P1745" s="1"/>
      <x:c r="Q1745" s="1"/>
      <x:c r="R1745" s="1"/>
      <x:c r="S1745" s="1"/>
      <x:c r="T1745" s="1"/>
      <x:c r="U1745" s="1"/>
      <x:c r="V1745" s="1"/>
    </x:row>
    <x:row r="1746">
      <x:c r="A1746" s="1"/>
      <x:c r="B1746" s="1"/>
      <x:c r="C1746" s="1"/>
      <x:c r="D1746" s="1"/>
      <x:c r="E1746" s="1"/>
      <x:c r="F1746" s="1"/>
      <x:c r="G1746" s="1"/>
      <x:c r="H1746" s="1"/>
      <x:c r="I1746" s="1"/>
      <x:c r="J1746" s="1"/>
      <x:c r="K1746" s="1"/>
      <x:c r="L1746" s="1"/>
      <x:c r="M1746" s="1"/>
      <x:c r="N1746" s="1"/>
      <x:c r="O1746" s="1"/>
      <x:c r="P1746" s="1"/>
      <x:c r="Q1746" s="1"/>
      <x:c r="R1746" s="1"/>
      <x:c r="S1746" s="1"/>
      <x:c r="T1746" s="1"/>
      <x:c r="U1746" s="1"/>
      <x:c r="V1746" s="1"/>
    </x:row>
    <x:row r="1747">
      <x:c r="A1747" s="1"/>
      <x:c r="B1747" s="1"/>
      <x:c r="C1747" s="1"/>
      <x:c r="D1747" s="1"/>
      <x:c r="E1747" s="1"/>
      <x:c r="F1747" s="1"/>
      <x:c r="G1747" s="1"/>
      <x:c r="H1747" s="1"/>
      <x:c r="I1747" s="1"/>
      <x:c r="J1747" s="1"/>
      <x:c r="K1747" s="1"/>
      <x:c r="L1747" s="1"/>
      <x:c r="M1747" s="1"/>
      <x:c r="N1747" s="1"/>
      <x:c r="O1747" s="1"/>
      <x:c r="P1747" s="1"/>
      <x:c r="Q1747" s="1"/>
      <x:c r="R1747" s="1"/>
      <x:c r="S1747" s="1"/>
      <x:c r="T1747" s="1"/>
      <x:c r="U1747" s="1"/>
      <x:c r="V1747" s="1"/>
    </x:row>
    <x:row r="1748">
      <x:c r="A1748" s="1"/>
      <x:c r="B1748" s="1"/>
      <x:c r="C1748" s="1"/>
      <x:c r="D1748" s="1"/>
      <x:c r="E1748" s="1"/>
      <x:c r="F1748" s="1"/>
      <x:c r="G1748" s="1"/>
      <x:c r="H1748" s="1"/>
      <x:c r="I1748" s="1"/>
      <x:c r="J1748" s="1"/>
      <x:c r="K1748" s="1"/>
      <x:c r="L1748" s="1"/>
      <x:c r="M1748" s="1"/>
      <x:c r="N1748" s="1"/>
      <x:c r="O1748" s="1"/>
      <x:c r="P1748" s="1"/>
      <x:c r="Q1748" s="1"/>
      <x:c r="R1748" s="1"/>
      <x:c r="S1748" s="1"/>
      <x:c r="T1748" s="1"/>
      <x:c r="U1748" s="1"/>
      <x:c r="V1748" s="1"/>
    </x:row>
    <x:row r="1749">
      <x:c r="A1749" s="1"/>
      <x:c r="B1749" s="1"/>
      <x:c r="C1749" s="1"/>
      <x:c r="D1749" s="1"/>
      <x:c r="E1749" s="1"/>
      <x:c r="F1749" s="1"/>
      <x:c r="G1749" s="1"/>
      <x:c r="H1749" s="1"/>
      <x:c r="I1749" s="1"/>
      <x:c r="J1749" s="1"/>
      <x:c r="K1749" s="1"/>
      <x:c r="L1749" s="1"/>
      <x:c r="M1749" s="1"/>
      <x:c r="N1749" s="1"/>
      <x:c r="O1749" s="1"/>
      <x:c r="P1749" s="1"/>
      <x:c r="Q1749" s="1"/>
      <x:c r="R1749" s="1"/>
      <x:c r="S1749" s="1"/>
      <x:c r="T1749" s="1"/>
      <x:c r="U1749" s="1"/>
      <x:c r="V1749" s="1"/>
    </x:row>
    <x:row r="1750">
      <x:c r="A1750" s="1"/>
      <x:c r="B1750" s="1"/>
      <x:c r="C1750" s="1"/>
      <x:c r="D1750" s="1"/>
      <x:c r="E1750" s="1"/>
      <x:c r="F1750" s="1"/>
      <x:c r="G1750" s="1"/>
      <x:c r="H1750" s="1"/>
      <x:c r="I1750" s="1"/>
      <x:c r="J1750" s="1"/>
      <x:c r="K1750" s="1"/>
      <x:c r="L1750" s="1"/>
      <x:c r="M1750" s="1"/>
      <x:c r="N1750" s="1"/>
      <x:c r="O1750" s="1"/>
      <x:c r="P1750" s="1"/>
      <x:c r="Q1750" s="1"/>
      <x:c r="R1750" s="1"/>
      <x:c r="S1750" s="1"/>
      <x:c r="T1750" s="1"/>
      <x:c r="U1750" s="1"/>
      <x:c r="V1750" s="1"/>
    </x:row>
    <x:row r="1751">
      <x:c r="A1751" s="1"/>
      <x:c r="B1751" s="1"/>
      <x:c r="C1751" s="1"/>
      <x:c r="D1751" s="1"/>
      <x:c r="E1751" s="1"/>
      <x:c r="F1751" s="1"/>
      <x:c r="G1751" s="1"/>
      <x:c r="H1751" s="1"/>
      <x:c r="I1751" s="1"/>
      <x:c r="J1751" s="1"/>
      <x:c r="K1751" s="1"/>
      <x:c r="L1751" s="1"/>
      <x:c r="M1751" s="1"/>
      <x:c r="N1751" s="1"/>
      <x:c r="O1751" s="1"/>
      <x:c r="P1751" s="1"/>
      <x:c r="Q1751" s="1"/>
      <x:c r="R1751" s="1"/>
      <x:c r="S1751" s="1"/>
      <x:c r="T1751" s="1"/>
      <x:c r="U1751" s="1"/>
      <x:c r="V1751" s="1"/>
    </x:row>
    <x:row r="1752">
      <x:c r="A1752" s="1"/>
      <x:c r="B1752" s="1"/>
      <x:c r="C1752" s="1"/>
      <x:c r="D1752" s="1"/>
      <x:c r="E1752" s="1"/>
      <x:c r="F1752" s="1"/>
      <x:c r="G1752" s="1"/>
      <x:c r="H1752" s="1"/>
      <x:c r="I1752" s="1"/>
      <x:c r="J1752" s="1"/>
      <x:c r="K1752" s="1"/>
      <x:c r="L1752" s="1"/>
      <x:c r="M1752" s="1"/>
      <x:c r="N1752" s="1"/>
      <x:c r="O1752" s="1"/>
      <x:c r="P1752" s="1"/>
      <x:c r="Q1752" s="1"/>
      <x:c r="R1752" s="1"/>
      <x:c r="S1752" s="1"/>
      <x:c r="T1752" s="1"/>
      <x:c r="U1752" s="1"/>
      <x:c r="V1752" s="1"/>
    </x:row>
    <x:row r="1753">
      <x:c r="A1753" s="1"/>
      <x:c r="B1753" s="1"/>
      <x:c r="C1753" s="1"/>
      <x:c r="D1753" s="1"/>
      <x:c r="E1753" s="1"/>
      <x:c r="F1753" s="1"/>
      <x:c r="G1753" s="1"/>
      <x:c r="H1753" s="1"/>
      <x:c r="I1753" s="1"/>
      <x:c r="J1753" s="1"/>
      <x:c r="K1753" s="1"/>
      <x:c r="L1753" s="1"/>
      <x:c r="M1753" s="1"/>
      <x:c r="N1753" s="1"/>
      <x:c r="O1753" s="1"/>
      <x:c r="P1753" s="1"/>
      <x:c r="Q1753" s="1"/>
      <x:c r="R1753" s="1"/>
      <x:c r="S1753" s="1"/>
      <x:c r="T1753" s="1"/>
      <x:c r="U1753" s="1"/>
      <x:c r="V1753" s="1"/>
    </x:row>
    <x:row r="1754">
      <x:c r="A1754" s="1"/>
      <x:c r="B1754" s="1"/>
      <x:c r="C1754" s="1"/>
      <x:c r="D1754" s="1"/>
      <x:c r="E1754" s="1"/>
      <x:c r="F1754" s="1"/>
      <x:c r="G1754" s="1"/>
      <x:c r="H1754" s="1"/>
      <x:c r="I1754" s="1"/>
      <x:c r="J1754" s="1"/>
      <x:c r="K1754" s="1"/>
      <x:c r="L1754" s="1"/>
      <x:c r="M1754" s="1"/>
      <x:c r="N1754" s="1"/>
      <x:c r="O1754" s="1"/>
      <x:c r="P1754" s="1"/>
      <x:c r="Q1754" s="1"/>
      <x:c r="R1754" s="1"/>
      <x:c r="S1754" s="1"/>
      <x:c r="T1754" s="1"/>
      <x:c r="U1754" s="1"/>
      <x:c r="V1754" s="1"/>
    </x:row>
    <x:row r="1755">
      <x:c r="A1755" s="1"/>
      <x:c r="B1755" s="1"/>
      <x:c r="C1755" s="1"/>
      <x:c r="D1755" s="1"/>
      <x:c r="E1755" s="1"/>
      <x:c r="F1755" s="1"/>
      <x:c r="G1755" s="1"/>
      <x:c r="H1755" s="1"/>
      <x:c r="I1755" s="1"/>
      <x:c r="J1755" s="1"/>
      <x:c r="K1755" s="1"/>
      <x:c r="L1755" s="1"/>
      <x:c r="M1755" s="1"/>
      <x:c r="N1755" s="1"/>
      <x:c r="O1755" s="1"/>
      <x:c r="P1755" s="1"/>
      <x:c r="Q1755" s="1"/>
      <x:c r="R1755" s="1"/>
      <x:c r="S1755" s="1"/>
      <x:c r="T1755" s="1"/>
      <x:c r="U1755" s="1"/>
      <x:c r="V1755" s="1"/>
    </x:row>
    <x:row r="1756">
      <x:c r="A1756" s="1"/>
      <x:c r="B1756" s="1"/>
      <x:c r="C1756" s="1"/>
      <x:c r="D1756" s="1"/>
      <x:c r="E1756" s="1"/>
      <x:c r="F1756" s="1"/>
      <x:c r="G1756" s="1"/>
      <x:c r="H1756" s="1"/>
      <x:c r="I1756" s="1"/>
      <x:c r="J1756" s="1"/>
      <x:c r="K1756" s="1"/>
      <x:c r="L1756" s="1"/>
      <x:c r="M1756" s="1"/>
      <x:c r="N1756" s="1"/>
      <x:c r="O1756" s="1"/>
      <x:c r="P1756" s="1"/>
      <x:c r="Q1756" s="1"/>
      <x:c r="R1756" s="1"/>
      <x:c r="S1756" s="1"/>
      <x:c r="T1756" s="1"/>
      <x:c r="U1756" s="1"/>
      <x:c r="V1756" s="1"/>
    </x:row>
    <x:row r="1757">
      <x:c r="A1757" s="1"/>
      <x:c r="B1757" s="1"/>
      <x:c r="C1757" s="1"/>
      <x:c r="D1757" s="1"/>
      <x:c r="E1757" s="1"/>
      <x:c r="F1757" s="1"/>
      <x:c r="G1757" s="1"/>
      <x:c r="H1757" s="1"/>
      <x:c r="I1757" s="1"/>
      <x:c r="J1757" s="1"/>
      <x:c r="K1757" s="1"/>
      <x:c r="L1757" s="1"/>
      <x:c r="M1757" s="1"/>
      <x:c r="N1757" s="1"/>
      <x:c r="O1757" s="1"/>
      <x:c r="P1757" s="1"/>
      <x:c r="Q1757" s="1"/>
      <x:c r="R1757" s="1"/>
      <x:c r="S1757" s="1"/>
      <x:c r="T1757" s="1"/>
      <x:c r="U1757" s="1"/>
      <x:c r="V1757" s="1"/>
    </x:row>
    <x:row r="1758">
      <x:c r="A1758" s="1"/>
      <x:c r="B1758" s="1"/>
      <x:c r="C1758" s="1"/>
      <x:c r="D1758" s="1"/>
      <x:c r="E1758" s="1"/>
      <x:c r="F1758" s="1"/>
      <x:c r="G1758" s="1"/>
      <x:c r="H1758" s="1"/>
      <x:c r="I1758" s="1"/>
      <x:c r="J1758" s="1"/>
      <x:c r="K1758" s="1"/>
      <x:c r="L1758" s="1"/>
      <x:c r="M1758" s="1"/>
      <x:c r="N1758" s="1"/>
      <x:c r="O1758" s="1"/>
      <x:c r="P1758" s="1"/>
      <x:c r="Q1758" s="1"/>
      <x:c r="R1758" s="1"/>
      <x:c r="S1758" s="1"/>
      <x:c r="T1758" s="1"/>
      <x:c r="U1758" s="1"/>
      <x:c r="V1758" s="1"/>
    </x:row>
    <x:row r="1759">
      <x:c r="A1759" s="1"/>
      <x:c r="B1759" s="1"/>
      <x:c r="C1759" s="1"/>
      <x:c r="D1759" s="1"/>
      <x:c r="E1759" s="1"/>
      <x:c r="F1759" s="1"/>
      <x:c r="G1759" s="1"/>
      <x:c r="H1759" s="1"/>
      <x:c r="I1759" s="1"/>
      <x:c r="J1759" s="1"/>
      <x:c r="K1759" s="1"/>
      <x:c r="L1759" s="1"/>
      <x:c r="M1759" s="1"/>
      <x:c r="N1759" s="1"/>
      <x:c r="O1759" s="1"/>
      <x:c r="P1759" s="1"/>
      <x:c r="Q1759" s="1"/>
      <x:c r="R1759" s="1"/>
      <x:c r="S1759" s="1"/>
      <x:c r="T1759" s="1"/>
      <x:c r="U1759" s="1"/>
      <x:c r="V1759" s="1"/>
    </x:row>
    <x:row r="1760">
      <x:c r="A1760" s="1"/>
      <x:c r="B1760" s="1"/>
      <x:c r="C1760" s="1"/>
      <x:c r="D1760" s="1"/>
      <x:c r="E1760" s="1"/>
      <x:c r="F1760" s="1"/>
      <x:c r="G1760" s="1"/>
      <x:c r="H1760" s="1"/>
      <x:c r="I1760" s="1"/>
      <x:c r="J1760" s="1"/>
      <x:c r="K1760" s="1"/>
      <x:c r="L1760" s="1"/>
      <x:c r="M1760" s="1"/>
      <x:c r="N1760" s="1"/>
      <x:c r="O1760" s="1"/>
      <x:c r="P1760" s="1"/>
      <x:c r="Q1760" s="1"/>
      <x:c r="R1760" s="1"/>
      <x:c r="S1760" s="1"/>
      <x:c r="T1760" s="1"/>
      <x:c r="U1760" s="1"/>
      <x:c r="V1760" s="1"/>
    </x:row>
    <x:row r="1761">
      <x:c r="A1761" s="1"/>
      <x:c r="B1761" s="1"/>
      <x:c r="C1761" s="1"/>
      <x:c r="D1761" s="1"/>
      <x:c r="E1761" s="1"/>
      <x:c r="F1761" s="1"/>
      <x:c r="G1761" s="1"/>
      <x:c r="H1761" s="1"/>
      <x:c r="I1761" s="1"/>
      <x:c r="J1761" s="1"/>
      <x:c r="K1761" s="1"/>
      <x:c r="L1761" s="1"/>
      <x:c r="M1761" s="1"/>
      <x:c r="N1761" s="1"/>
      <x:c r="O1761" s="1"/>
      <x:c r="P1761" s="1"/>
      <x:c r="Q1761" s="1"/>
      <x:c r="R1761" s="1"/>
      <x:c r="S1761" s="1"/>
      <x:c r="T1761" s="1"/>
      <x:c r="U1761" s="1"/>
      <x:c r="V1761" s="1"/>
    </x:row>
    <x:row r="1762">
      <x:c r="A1762" s="1"/>
      <x:c r="B1762" s="1"/>
      <x:c r="C1762" s="1"/>
      <x:c r="D1762" s="1"/>
      <x:c r="E1762" s="1"/>
      <x:c r="F1762" s="1"/>
      <x:c r="G1762" s="1"/>
      <x:c r="H1762" s="1"/>
      <x:c r="I1762" s="1"/>
      <x:c r="J1762" s="1"/>
      <x:c r="K1762" s="1"/>
      <x:c r="L1762" s="1"/>
      <x:c r="M1762" s="1"/>
      <x:c r="N1762" s="1"/>
      <x:c r="O1762" s="1"/>
      <x:c r="P1762" s="1"/>
      <x:c r="Q1762" s="1"/>
      <x:c r="R1762" s="1"/>
      <x:c r="S1762" s="1"/>
      <x:c r="T1762" s="1"/>
      <x:c r="U1762" s="1"/>
      <x:c r="V1762" s="1"/>
    </x:row>
    <x:row r="1763">
      <x:c r="A1763" s="1"/>
      <x:c r="B1763" s="1"/>
      <x:c r="C1763" s="1"/>
      <x:c r="D1763" s="1"/>
      <x:c r="E1763" s="1"/>
      <x:c r="F1763" s="1"/>
      <x:c r="G1763" s="1"/>
      <x:c r="H1763" s="1"/>
      <x:c r="I1763" s="1"/>
      <x:c r="J1763" s="1"/>
      <x:c r="K1763" s="1"/>
      <x:c r="L1763" s="1"/>
      <x:c r="M1763" s="1"/>
      <x:c r="N1763" s="1"/>
      <x:c r="O1763" s="1"/>
      <x:c r="P1763" s="1"/>
      <x:c r="Q1763" s="1"/>
      <x:c r="R1763" s="1"/>
      <x:c r="S1763" s="1"/>
      <x:c r="T1763" s="1"/>
      <x:c r="U1763" s="1"/>
      <x:c r="V1763" s="1"/>
    </x:row>
    <x:row r="1764">
      <x:c r="A1764" s="1"/>
      <x:c r="B1764" s="1"/>
      <x:c r="C1764" s="1"/>
      <x:c r="D1764" s="1"/>
      <x:c r="E1764" s="1"/>
      <x:c r="F1764" s="1"/>
      <x:c r="G1764" s="1"/>
      <x:c r="H1764" s="1"/>
      <x:c r="I1764" s="1"/>
      <x:c r="J1764" s="1"/>
      <x:c r="K1764" s="1"/>
      <x:c r="L1764" s="1"/>
      <x:c r="M1764" s="1"/>
      <x:c r="N1764" s="1"/>
      <x:c r="O1764" s="1"/>
      <x:c r="P1764" s="1"/>
      <x:c r="Q1764" s="1"/>
      <x:c r="R1764" s="1"/>
      <x:c r="S1764" s="1"/>
      <x:c r="T1764" s="1"/>
      <x:c r="U1764" s="1"/>
      <x:c r="V1764" s="1"/>
    </x:row>
    <x:row r="1765">
      <x:c r="A1765" s="1"/>
      <x:c r="B1765" s="1"/>
      <x:c r="C1765" s="1"/>
      <x:c r="D1765" s="1"/>
      <x:c r="E1765" s="1"/>
      <x:c r="F1765" s="1"/>
      <x:c r="G1765" s="1"/>
      <x:c r="H1765" s="1"/>
      <x:c r="I1765" s="1"/>
      <x:c r="J1765" s="1"/>
      <x:c r="K1765" s="1"/>
      <x:c r="L1765" s="1"/>
      <x:c r="M1765" s="1"/>
      <x:c r="N1765" s="1"/>
      <x:c r="O1765" s="1"/>
      <x:c r="P1765" s="1"/>
      <x:c r="Q1765" s="1"/>
      <x:c r="R1765" s="1"/>
      <x:c r="S1765" s="1"/>
      <x:c r="T1765" s="1"/>
      <x:c r="U1765" s="1"/>
      <x:c r="V1765" s="1"/>
    </x:row>
    <x:row r="1766">
      <x:c r="A1766" s="1"/>
      <x:c r="B1766" s="1"/>
      <x:c r="C1766" s="1"/>
      <x:c r="D1766" s="1"/>
      <x:c r="E1766" s="1"/>
      <x:c r="F1766" s="1"/>
      <x:c r="G1766" s="1"/>
      <x:c r="H1766" s="1"/>
      <x:c r="I1766" s="1"/>
      <x:c r="J1766" s="1"/>
      <x:c r="K1766" s="1"/>
      <x:c r="L1766" s="1"/>
      <x:c r="M1766" s="1"/>
      <x:c r="N1766" s="1"/>
      <x:c r="O1766" s="1"/>
      <x:c r="P1766" s="1"/>
      <x:c r="Q1766" s="1"/>
      <x:c r="R1766" s="1"/>
      <x:c r="S1766" s="1"/>
      <x:c r="T1766" s="1"/>
      <x:c r="U1766" s="1"/>
      <x:c r="V1766" s="1"/>
    </x:row>
    <x:row r="1767">
      <x:c r="A1767" s="1"/>
      <x:c r="B1767" s="1"/>
      <x:c r="C1767" s="1"/>
      <x:c r="D1767" s="1"/>
      <x:c r="E1767" s="1"/>
      <x:c r="F1767" s="1"/>
      <x:c r="G1767" s="1"/>
      <x:c r="H1767" s="1"/>
      <x:c r="I1767" s="1"/>
      <x:c r="J1767" s="1"/>
      <x:c r="K1767" s="1"/>
      <x:c r="L1767" s="1"/>
      <x:c r="M1767" s="1"/>
      <x:c r="N1767" s="1"/>
      <x:c r="O1767" s="1"/>
      <x:c r="P1767" s="1"/>
      <x:c r="Q1767" s="1"/>
      <x:c r="R1767" s="1"/>
      <x:c r="S1767" s="1"/>
      <x:c r="T1767" s="1"/>
      <x:c r="U1767" s="1"/>
      <x:c r="V1767" s="1"/>
    </x:row>
    <x:row r="1768">
      <x:c r="A1768" s="1"/>
      <x:c r="B1768" s="1"/>
      <x:c r="C1768" s="1"/>
      <x:c r="D1768" s="1"/>
      <x:c r="E1768" s="1"/>
      <x:c r="F1768" s="1"/>
      <x:c r="G1768" s="1"/>
      <x:c r="H1768" s="1"/>
      <x:c r="I1768" s="1"/>
      <x:c r="J1768" s="1"/>
      <x:c r="K1768" s="1"/>
      <x:c r="L1768" s="1"/>
      <x:c r="M1768" s="1"/>
      <x:c r="N1768" s="1"/>
      <x:c r="O1768" s="1"/>
      <x:c r="P1768" s="1"/>
      <x:c r="Q1768" s="1"/>
      <x:c r="R1768" s="1"/>
      <x:c r="S1768" s="1"/>
      <x:c r="T1768" s="1"/>
      <x:c r="U1768" s="1"/>
      <x:c r="V1768" s="1"/>
    </x:row>
    <x:row r="1769">
      <x:c r="A1769" s="1"/>
      <x:c r="B1769" s="1"/>
      <x:c r="C1769" s="1"/>
      <x:c r="D1769" s="1"/>
      <x:c r="E1769" s="1"/>
      <x:c r="F1769" s="1"/>
      <x:c r="G1769" s="1"/>
      <x:c r="H1769" s="1"/>
      <x:c r="I1769" s="1"/>
      <x:c r="J1769" s="1"/>
      <x:c r="K1769" s="1"/>
      <x:c r="L1769" s="1"/>
      <x:c r="M1769" s="1"/>
      <x:c r="N1769" s="1"/>
      <x:c r="O1769" s="1"/>
      <x:c r="P1769" s="1"/>
      <x:c r="Q1769" s="1"/>
      <x:c r="R1769" s="1"/>
      <x:c r="S1769" s="1"/>
      <x:c r="T1769" s="1"/>
      <x:c r="U1769" s="1"/>
      <x:c r="V1769" s="1"/>
    </x:row>
    <x:row r="1770">
      <x:c r="A1770" s="1"/>
      <x:c r="B1770" s="1"/>
      <x:c r="C1770" s="1"/>
      <x:c r="D1770" s="1"/>
      <x:c r="E1770" s="1"/>
      <x:c r="F1770" s="1"/>
      <x:c r="G1770" s="1"/>
      <x:c r="H1770" s="1"/>
      <x:c r="I1770" s="1"/>
      <x:c r="J1770" s="1"/>
      <x:c r="K1770" s="1"/>
      <x:c r="L1770" s="1"/>
      <x:c r="M1770" s="1"/>
      <x:c r="N1770" s="1"/>
      <x:c r="O1770" s="1"/>
      <x:c r="P1770" s="1"/>
      <x:c r="Q1770" s="1"/>
      <x:c r="R1770" s="1"/>
      <x:c r="S1770" s="1"/>
      <x:c r="T1770" s="1"/>
      <x:c r="U1770" s="1"/>
      <x:c r="V1770" s="1"/>
    </x:row>
    <x:row r="1771">
      <x:c r="A1771" s="1"/>
      <x:c r="B1771" s="1"/>
      <x:c r="C1771" s="1"/>
      <x:c r="D1771" s="1"/>
      <x:c r="E1771" s="1"/>
      <x:c r="F1771" s="1"/>
      <x:c r="G1771" s="1"/>
      <x:c r="H1771" s="1"/>
      <x:c r="I1771" s="1"/>
      <x:c r="J1771" s="1"/>
      <x:c r="K1771" s="1"/>
      <x:c r="L1771" s="1"/>
      <x:c r="M1771" s="1"/>
      <x:c r="N1771" s="1"/>
      <x:c r="O1771" s="1"/>
      <x:c r="P1771" s="1"/>
      <x:c r="Q1771" s="1"/>
      <x:c r="R1771" s="1"/>
      <x:c r="S1771" s="1"/>
      <x:c r="T1771" s="1"/>
      <x:c r="U1771" s="1"/>
      <x:c r="V1771" s="1"/>
    </x:row>
    <x:row r="1772">
      <x:c r="A1772" s="1"/>
      <x:c r="B1772" s="1"/>
      <x:c r="C1772" s="1"/>
      <x:c r="D1772" s="1"/>
      <x:c r="E1772" s="1"/>
      <x:c r="F1772" s="1"/>
      <x:c r="G1772" s="1"/>
      <x:c r="H1772" s="1"/>
      <x:c r="I1772" s="1"/>
      <x:c r="J1772" s="1"/>
      <x:c r="K1772" s="1"/>
      <x:c r="L1772" s="1"/>
      <x:c r="M1772" s="1"/>
      <x:c r="N1772" s="1"/>
      <x:c r="O1772" s="1"/>
      <x:c r="P1772" s="1"/>
      <x:c r="Q1772" s="1"/>
      <x:c r="R1772" s="1"/>
      <x:c r="S1772" s="1"/>
      <x:c r="T1772" s="1"/>
      <x:c r="U1772" s="1"/>
      <x:c r="V1772" s="1"/>
    </x:row>
    <x:row r="1773">
      <x:c r="A1773" s="1"/>
      <x:c r="B1773" s="1"/>
      <x:c r="C1773" s="1"/>
      <x:c r="D1773" s="1"/>
      <x:c r="E1773" s="1"/>
      <x:c r="F1773" s="1"/>
      <x:c r="G1773" s="1"/>
      <x:c r="H1773" s="1"/>
      <x:c r="I1773" s="1"/>
      <x:c r="J1773" s="1"/>
      <x:c r="K1773" s="1"/>
      <x:c r="L1773" s="1"/>
      <x:c r="M1773" s="1"/>
      <x:c r="N1773" s="1"/>
      <x:c r="O1773" s="1"/>
      <x:c r="P1773" s="1"/>
      <x:c r="Q1773" s="1"/>
      <x:c r="R1773" s="1"/>
      <x:c r="S1773" s="1"/>
      <x:c r="T1773" s="1"/>
      <x:c r="U1773" s="1"/>
      <x:c r="V1773" s="1"/>
    </x:row>
    <x:row r="1774">
      <x:c r="A1774" s="1"/>
      <x:c r="B1774" s="1"/>
      <x:c r="C1774" s="1"/>
      <x:c r="D1774" s="1"/>
      <x:c r="E1774" s="1"/>
      <x:c r="F1774" s="1"/>
      <x:c r="G1774" s="1"/>
      <x:c r="H1774" s="1"/>
      <x:c r="I1774" s="1"/>
      <x:c r="J1774" s="1"/>
      <x:c r="K1774" s="1"/>
      <x:c r="L1774" s="1"/>
      <x:c r="M1774" s="1"/>
      <x:c r="N1774" s="1"/>
      <x:c r="O1774" s="1"/>
      <x:c r="P1774" s="1"/>
      <x:c r="Q1774" s="1"/>
      <x:c r="R1774" s="1"/>
      <x:c r="S1774" s="1"/>
      <x:c r="T1774" s="1"/>
      <x:c r="U1774" s="1"/>
      <x:c r="V1774" s="1"/>
    </x:row>
    <x:row r="1775">
      <x:c r="A1775" s="1"/>
      <x:c r="B1775" s="1"/>
      <x:c r="C1775" s="1"/>
      <x:c r="D1775" s="1"/>
      <x:c r="E1775" s="1"/>
      <x:c r="F1775" s="1"/>
      <x:c r="G1775" s="1"/>
      <x:c r="H1775" s="1"/>
      <x:c r="I1775" s="1"/>
      <x:c r="J1775" s="1"/>
      <x:c r="K1775" s="1"/>
      <x:c r="L1775" s="1"/>
      <x:c r="M1775" s="1"/>
      <x:c r="N1775" s="1"/>
      <x:c r="O1775" s="1"/>
      <x:c r="P1775" s="1"/>
      <x:c r="Q1775" s="1"/>
      <x:c r="R1775" s="1"/>
      <x:c r="S1775" s="1"/>
      <x:c r="T1775" s="1"/>
      <x:c r="U1775" s="1"/>
      <x:c r="V1775" s="1"/>
    </x:row>
    <x:row r="1776">
      <x:c r="A1776" s="1"/>
      <x:c r="B1776" s="1"/>
      <x:c r="C1776" s="1"/>
      <x:c r="D1776" s="1"/>
      <x:c r="E1776" s="1"/>
      <x:c r="F1776" s="1"/>
      <x:c r="G1776" s="1"/>
      <x:c r="H1776" s="1"/>
      <x:c r="I1776" s="1"/>
      <x:c r="J1776" s="1"/>
      <x:c r="K1776" s="1"/>
      <x:c r="L1776" s="1"/>
      <x:c r="M1776" s="1"/>
      <x:c r="N1776" s="1"/>
      <x:c r="O1776" s="1"/>
      <x:c r="P1776" s="1"/>
      <x:c r="Q1776" s="1"/>
      <x:c r="R1776" s="1"/>
      <x:c r="S1776" s="1"/>
      <x:c r="T1776" s="1"/>
      <x:c r="U1776" s="1"/>
      <x:c r="V1776" s="1"/>
    </x:row>
    <x:row r="1777">
      <x:c r="A1777" s="1"/>
      <x:c r="B1777" s="1"/>
      <x:c r="C1777" s="1"/>
      <x:c r="D1777" s="1"/>
      <x:c r="E1777" s="1"/>
      <x:c r="F1777" s="1"/>
      <x:c r="G1777" s="1"/>
      <x:c r="H1777" s="1"/>
      <x:c r="I1777" s="1"/>
      <x:c r="J1777" s="1"/>
      <x:c r="K1777" s="1"/>
      <x:c r="L1777" s="1"/>
      <x:c r="M1777" s="1"/>
      <x:c r="N1777" s="1"/>
      <x:c r="O1777" s="1"/>
      <x:c r="P1777" s="1"/>
      <x:c r="Q1777" s="1"/>
      <x:c r="R1777" s="1"/>
      <x:c r="S1777" s="1"/>
      <x:c r="T1777" s="1"/>
      <x:c r="U1777" s="1"/>
      <x:c r="V1777" s="1"/>
    </x:row>
    <x:row r="1778">
      <x:c r="A1778" s="1"/>
      <x:c r="B1778" s="1"/>
      <x:c r="C1778" s="1"/>
      <x:c r="D1778" s="1"/>
      <x:c r="E1778" s="1"/>
      <x:c r="F1778" s="1"/>
      <x:c r="G1778" s="1"/>
      <x:c r="H1778" s="1"/>
      <x:c r="I1778" s="1"/>
      <x:c r="J1778" s="1"/>
      <x:c r="K1778" s="1"/>
      <x:c r="L1778" s="1"/>
      <x:c r="M1778" s="1"/>
      <x:c r="N1778" s="1"/>
      <x:c r="O1778" s="1"/>
      <x:c r="P1778" s="1"/>
      <x:c r="Q1778" s="1"/>
      <x:c r="R1778" s="1"/>
      <x:c r="S1778" s="1"/>
      <x:c r="T1778" s="1"/>
      <x:c r="U1778" s="1"/>
      <x:c r="V1778" s="1"/>
    </x:row>
    <x:row r="1779">
      <x:c r="A1779" s="1"/>
      <x:c r="B1779" s="1"/>
      <x:c r="C1779" s="1"/>
      <x:c r="D1779" s="1"/>
      <x:c r="E1779" s="1"/>
      <x:c r="F1779" s="1"/>
      <x:c r="G1779" s="1"/>
      <x:c r="H1779" s="1"/>
      <x:c r="I1779" s="1"/>
      <x:c r="J1779" s="1"/>
      <x:c r="K1779" s="1"/>
      <x:c r="L1779" s="1"/>
      <x:c r="M1779" s="1"/>
      <x:c r="N1779" s="1"/>
      <x:c r="O1779" s="1"/>
      <x:c r="P1779" s="1"/>
      <x:c r="Q1779" s="1"/>
      <x:c r="R1779" s="1"/>
      <x:c r="S1779" s="1"/>
      <x:c r="T1779" s="1"/>
      <x:c r="U1779" s="1"/>
      <x:c r="V1779" s="1"/>
    </x:row>
    <x:row r="1780">
      <x:c r="A1780" s="1"/>
      <x:c r="B1780" s="1"/>
      <x:c r="C1780" s="1"/>
      <x:c r="D1780" s="1"/>
      <x:c r="E1780" s="1"/>
      <x:c r="F1780" s="1"/>
      <x:c r="G1780" s="1"/>
      <x:c r="H1780" s="1"/>
      <x:c r="I1780" s="1"/>
      <x:c r="J1780" s="1"/>
      <x:c r="K1780" s="1"/>
      <x:c r="L1780" s="1"/>
      <x:c r="M1780" s="1"/>
      <x:c r="N1780" s="1"/>
      <x:c r="O1780" s="1"/>
      <x:c r="P1780" s="1"/>
      <x:c r="Q1780" s="1"/>
      <x:c r="R1780" s="1"/>
      <x:c r="S1780" s="1"/>
      <x:c r="T1780" s="1"/>
      <x:c r="U1780" s="1"/>
      <x:c r="V1780" s="1"/>
    </x:row>
    <x:row r="1781">
      <x:c r="A1781" s="1"/>
      <x:c r="B1781" s="1"/>
      <x:c r="C1781" s="1"/>
      <x:c r="D1781" s="1"/>
      <x:c r="E1781" s="1"/>
      <x:c r="F1781" s="1"/>
      <x:c r="G1781" s="1"/>
      <x:c r="H1781" s="1"/>
      <x:c r="I1781" s="1"/>
      <x:c r="J1781" s="1"/>
      <x:c r="K1781" s="1"/>
      <x:c r="L1781" s="1"/>
      <x:c r="M1781" s="1"/>
      <x:c r="N1781" s="1"/>
      <x:c r="O1781" s="1"/>
      <x:c r="P1781" s="1"/>
      <x:c r="Q1781" s="1"/>
      <x:c r="R1781" s="1"/>
      <x:c r="S1781" s="1"/>
      <x:c r="T1781" s="1"/>
      <x:c r="U1781" s="1"/>
      <x:c r="V1781" s="1"/>
    </x:row>
    <x:row r="1782">
      <x:c r="A1782" s="1"/>
      <x:c r="B1782" s="1"/>
      <x:c r="C1782" s="1"/>
      <x:c r="D1782" s="1"/>
      <x:c r="E1782" s="1"/>
      <x:c r="F1782" s="1"/>
      <x:c r="G1782" s="1"/>
      <x:c r="H1782" s="1"/>
      <x:c r="I1782" s="1"/>
      <x:c r="J1782" s="1"/>
      <x:c r="K1782" s="1"/>
      <x:c r="L1782" s="1"/>
      <x:c r="M1782" s="1"/>
      <x:c r="N1782" s="1"/>
      <x:c r="O1782" s="1"/>
      <x:c r="P1782" s="1"/>
      <x:c r="Q1782" s="1"/>
      <x:c r="R1782" s="1"/>
      <x:c r="S1782" s="1"/>
      <x:c r="T1782" s="1"/>
      <x:c r="U1782" s="1"/>
      <x:c r="V1782" s="1"/>
    </x:row>
    <x:row r="1783">
      <x:c r="A1783" s="1"/>
      <x:c r="B1783" s="1"/>
      <x:c r="C1783" s="1"/>
      <x:c r="D1783" s="1"/>
      <x:c r="E1783" s="1"/>
      <x:c r="F1783" s="1"/>
      <x:c r="G1783" s="1"/>
      <x:c r="H1783" s="1"/>
      <x:c r="I1783" s="1"/>
      <x:c r="J1783" s="1"/>
      <x:c r="K1783" s="1"/>
      <x:c r="L1783" s="1"/>
      <x:c r="M1783" s="1"/>
      <x:c r="N1783" s="1"/>
      <x:c r="O1783" s="1"/>
      <x:c r="P1783" s="1"/>
      <x:c r="Q1783" s="1"/>
      <x:c r="R1783" s="1"/>
      <x:c r="S1783" s="1"/>
      <x:c r="T1783" s="1"/>
      <x:c r="U1783" s="1"/>
      <x:c r="V1783" s="1"/>
    </x:row>
    <x:row r="1784">
      <x:c r="A1784" s="1"/>
      <x:c r="B1784" s="1"/>
      <x:c r="C1784" s="1"/>
      <x:c r="D1784" s="1"/>
      <x:c r="E1784" s="1"/>
      <x:c r="F1784" s="1"/>
      <x:c r="G1784" s="1"/>
      <x:c r="H1784" s="1"/>
      <x:c r="I1784" s="1"/>
      <x:c r="J1784" s="1"/>
      <x:c r="K1784" s="1"/>
      <x:c r="L1784" s="1"/>
      <x:c r="M1784" s="1"/>
      <x:c r="N1784" s="1"/>
      <x:c r="O1784" s="1"/>
      <x:c r="P1784" s="1"/>
      <x:c r="Q1784" s="1"/>
      <x:c r="R1784" s="1"/>
      <x:c r="S1784" s="1"/>
      <x:c r="T1784" s="1"/>
      <x:c r="U1784" s="1"/>
      <x:c r="V1784" s="1"/>
    </x:row>
    <x:row r="1785">
      <x:c r="A1785" s="1"/>
      <x:c r="B1785" s="1"/>
      <x:c r="C1785" s="1"/>
      <x:c r="D1785" s="1"/>
      <x:c r="E1785" s="1"/>
      <x:c r="F1785" s="1"/>
      <x:c r="G1785" s="1"/>
      <x:c r="H1785" s="1"/>
      <x:c r="I1785" s="1"/>
      <x:c r="J1785" s="1"/>
      <x:c r="K1785" s="1"/>
      <x:c r="L1785" s="1"/>
      <x:c r="M1785" s="1"/>
      <x:c r="N1785" s="1"/>
      <x:c r="O1785" s="1"/>
      <x:c r="P1785" s="1"/>
      <x:c r="Q1785" s="1"/>
      <x:c r="R1785" s="1"/>
      <x:c r="S1785" s="1"/>
      <x:c r="T1785" s="1"/>
      <x:c r="U1785" s="1"/>
      <x:c r="V1785" s="1"/>
    </x:row>
    <x:row r="1786">
      <x:c r="A1786" s="1"/>
      <x:c r="B1786" s="1"/>
      <x:c r="C1786" s="1"/>
      <x:c r="D1786" s="1"/>
      <x:c r="E1786" s="1"/>
      <x:c r="F1786" s="1"/>
      <x:c r="G1786" s="1"/>
      <x:c r="H1786" s="1"/>
      <x:c r="I1786" s="1"/>
      <x:c r="J1786" s="1"/>
      <x:c r="K1786" s="1"/>
      <x:c r="L1786" s="1"/>
      <x:c r="M1786" s="1"/>
      <x:c r="N1786" s="1"/>
      <x:c r="O1786" s="1"/>
      <x:c r="P1786" s="1"/>
      <x:c r="Q1786" s="1"/>
      <x:c r="R1786" s="1"/>
      <x:c r="S1786" s="1"/>
      <x:c r="T1786" s="1"/>
      <x:c r="U1786" s="1"/>
      <x:c r="V1786" s="1"/>
    </x:row>
    <x:row r="1787">
      <x:c r="A1787" s="1"/>
      <x:c r="B1787" s="1"/>
      <x:c r="C1787" s="1"/>
      <x:c r="D1787" s="1"/>
      <x:c r="E1787" s="1"/>
      <x:c r="F1787" s="1"/>
      <x:c r="G1787" s="1"/>
      <x:c r="H1787" s="1"/>
      <x:c r="I1787" s="1"/>
      <x:c r="J1787" s="1"/>
      <x:c r="K1787" s="1"/>
      <x:c r="L1787" s="1"/>
      <x:c r="M1787" s="1"/>
      <x:c r="N1787" s="1"/>
      <x:c r="O1787" s="1"/>
      <x:c r="P1787" s="1"/>
      <x:c r="Q1787" s="1"/>
      <x:c r="R1787" s="1"/>
      <x:c r="S1787" s="1"/>
      <x:c r="T1787" s="1"/>
      <x:c r="U1787" s="1"/>
      <x:c r="V1787" s="1"/>
    </x:row>
    <x:row r="1788">
      <x:c r="A1788" s="1"/>
      <x:c r="B1788" s="1"/>
      <x:c r="C1788" s="1"/>
      <x:c r="D1788" s="1"/>
      <x:c r="E1788" s="1"/>
      <x:c r="F1788" s="1"/>
      <x:c r="G1788" s="1"/>
      <x:c r="H1788" s="1"/>
      <x:c r="I1788" s="1"/>
      <x:c r="J1788" s="1"/>
      <x:c r="K1788" s="1"/>
      <x:c r="L1788" s="1"/>
      <x:c r="M1788" s="1"/>
      <x:c r="N1788" s="1"/>
      <x:c r="O1788" s="1"/>
      <x:c r="P1788" s="1"/>
      <x:c r="Q1788" s="1"/>
      <x:c r="R1788" s="1"/>
      <x:c r="S1788" s="1"/>
      <x:c r="T1788" s="1"/>
      <x:c r="U1788" s="1"/>
      <x:c r="V1788" s="1"/>
    </x:row>
    <x:row r="1789">
      <x:c r="A1789" s="1"/>
      <x:c r="B1789" s="1"/>
      <x:c r="C1789" s="1"/>
      <x:c r="D1789" s="1"/>
      <x:c r="E1789" s="1"/>
      <x:c r="F1789" s="1"/>
      <x:c r="G1789" s="1"/>
      <x:c r="H1789" s="1"/>
      <x:c r="I1789" s="1"/>
      <x:c r="J1789" s="1"/>
      <x:c r="K1789" s="1"/>
      <x:c r="L1789" s="1"/>
      <x:c r="M1789" s="1"/>
      <x:c r="N1789" s="1"/>
      <x:c r="O1789" s="1"/>
      <x:c r="P1789" s="1"/>
      <x:c r="Q1789" s="1"/>
      <x:c r="R1789" s="1"/>
      <x:c r="S1789" s="1"/>
      <x:c r="T1789" s="1"/>
      <x:c r="U1789" s="1"/>
      <x:c r="V1789" s="1"/>
    </x:row>
    <x:row r="1790">
      <x:c r="A1790" s="1"/>
      <x:c r="B1790" s="1"/>
      <x:c r="C1790" s="1"/>
      <x:c r="D1790" s="1"/>
      <x:c r="E1790" s="1"/>
      <x:c r="F1790" s="1"/>
      <x:c r="G1790" s="1"/>
      <x:c r="H1790" s="1"/>
      <x:c r="I1790" s="1"/>
      <x:c r="J1790" s="1"/>
      <x:c r="K1790" s="1"/>
      <x:c r="L1790" s="1"/>
      <x:c r="M1790" s="1"/>
      <x:c r="N1790" s="1"/>
      <x:c r="O1790" s="1"/>
      <x:c r="P1790" s="1"/>
      <x:c r="Q1790" s="1"/>
      <x:c r="R1790" s="1"/>
      <x:c r="S1790" s="1"/>
      <x:c r="T1790" s="1"/>
      <x:c r="U1790" s="1"/>
      <x:c r="V1790" s="1"/>
    </x:row>
    <x:row r="1791">
      <x:c r="A1791" s="1"/>
      <x:c r="B1791" s="1"/>
      <x:c r="C1791" s="1"/>
      <x:c r="D1791" s="1"/>
      <x:c r="E1791" s="1"/>
      <x:c r="F1791" s="1"/>
      <x:c r="G1791" s="1"/>
      <x:c r="H1791" s="1"/>
      <x:c r="I1791" s="1"/>
      <x:c r="J1791" s="1"/>
      <x:c r="K1791" s="1"/>
      <x:c r="L1791" s="1"/>
      <x:c r="M1791" s="1"/>
      <x:c r="N1791" s="1"/>
      <x:c r="O1791" s="1"/>
      <x:c r="P1791" s="1"/>
      <x:c r="Q1791" s="1"/>
      <x:c r="R1791" s="1"/>
      <x:c r="S1791" s="1"/>
      <x:c r="T1791" s="1"/>
      <x:c r="U1791" s="1"/>
      <x:c r="V1791" s="1"/>
    </x:row>
    <x:row r="1792">
      <x:c r="A1792" s="1"/>
      <x:c r="B1792" s="1"/>
      <x:c r="C1792" s="1"/>
      <x:c r="D1792" s="1"/>
      <x:c r="E1792" s="1"/>
      <x:c r="F1792" s="1"/>
      <x:c r="G1792" s="1"/>
      <x:c r="H1792" s="1"/>
      <x:c r="I1792" s="1"/>
      <x:c r="J1792" s="1"/>
      <x:c r="K1792" s="1"/>
      <x:c r="L1792" s="1"/>
      <x:c r="M1792" s="1"/>
      <x:c r="N1792" s="1"/>
      <x:c r="O1792" s="1"/>
      <x:c r="P1792" s="1"/>
      <x:c r="Q1792" s="1"/>
      <x:c r="R1792" s="1"/>
      <x:c r="S1792" s="1"/>
      <x:c r="T1792" s="1"/>
      <x:c r="U1792" s="1"/>
      <x:c r="V1792" s="1"/>
    </x:row>
    <x:row r="1793">
      <x:c r="A1793" s="1"/>
      <x:c r="B1793" s="1"/>
      <x:c r="C1793" s="1"/>
      <x:c r="D1793" s="1"/>
      <x:c r="E1793" s="1"/>
      <x:c r="F1793" s="1"/>
      <x:c r="G1793" s="1"/>
      <x:c r="H1793" s="1"/>
      <x:c r="I1793" s="1"/>
      <x:c r="J1793" s="1"/>
      <x:c r="K1793" s="1"/>
      <x:c r="L1793" s="1"/>
      <x:c r="M1793" s="1"/>
      <x:c r="N1793" s="1"/>
      <x:c r="O1793" s="1"/>
      <x:c r="P1793" s="1"/>
      <x:c r="Q1793" s="1"/>
      <x:c r="R1793" s="1"/>
      <x:c r="S1793" s="1"/>
      <x:c r="T1793" s="1"/>
      <x:c r="U1793" s="1"/>
      <x:c r="V1793" s="1"/>
    </x:row>
    <x:row r="1794">
      <x:c r="A1794" s="1"/>
      <x:c r="B1794" s="1"/>
      <x:c r="C1794" s="1"/>
      <x:c r="D1794" s="1"/>
      <x:c r="E1794" s="1"/>
      <x:c r="F1794" s="1"/>
      <x:c r="G1794" s="1"/>
      <x:c r="H1794" s="1"/>
      <x:c r="I1794" s="1"/>
      <x:c r="J1794" s="1"/>
      <x:c r="K1794" s="1"/>
      <x:c r="L1794" s="1"/>
      <x:c r="M1794" s="1"/>
      <x:c r="N1794" s="1"/>
      <x:c r="O1794" s="1"/>
      <x:c r="P1794" s="1"/>
      <x:c r="Q1794" s="1"/>
      <x:c r="R1794" s="1"/>
      <x:c r="S1794" s="1"/>
      <x:c r="T1794" s="1"/>
      <x:c r="U1794" s="1"/>
      <x:c r="V1794" s="1"/>
    </x:row>
    <x:row r="1795">
      <x:c r="A1795" s="1"/>
      <x:c r="B1795" s="1"/>
      <x:c r="C1795" s="1"/>
      <x:c r="D1795" s="1"/>
      <x:c r="E1795" s="1"/>
      <x:c r="F1795" s="1"/>
      <x:c r="G1795" s="1"/>
      <x:c r="H1795" s="1"/>
      <x:c r="I1795" s="1"/>
      <x:c r="J1795" s="1"/>
      <x:c r="K1795" s="1"/>
      <x:c r="L1795" s="1"/>
      <x:c r="M1795" s="1"/>
      <x:c r="N1795" s="1"/>
      <x:c r="O1795" s="1"/>
      <x:c r="P1795" s="1"/>
      <x:c r="Q1795" s="1"/>
      <x:c r="R1795" s="1"/>
      <x:c r="S1795" s="1"/>
      <x:c r="T1795" s="1"/>
      <x:c r="U1795" s="1"/>
      <x:c r="V1795" s="1"/>
    </x:row>
    <x:row r="1796">
      <x:c r="A1796" s="1"/>
      <x:c r="B1796" s="1"/>
      <x:c r="C1796" s="1"/>
      <x:c r="D1796" s="1"/>
      <x:c r="E1796" s="1"/>
      <x:c r="F1796" s="1"/>
      <x:c r="G1796" s="1"/>
      <x:c r="H1796" s="1"/>
      <x:c r="I1796" s="1"/>
      <x:c r="J1796" s="1"/>
      <x:c r="K1796" s="1"/>
      <x:c r="L1796" s="1"/>
      <x:c r="M1796" s="1"/>
      <x:c r="N1796" s="1"/>
      <x:c r="O1796" s="1"/>
      <x:c r="P1796" s="1"/>
      <x:c r="Q1796" s="1"/>
      <x:c r="R1796" s="1"/>
      <x:c r="S1796" s="1"/>
      <x:c r="T1796" s="1"/>
      <x:c r="U1796" s="1"/>
      <x:c r="V1796" s="1"/>
    </x:row>
    <x:row r="1797">
      <x:c r="A1797" s="1"/>
      <x:c r="B1797" s="1"/>
      <x:c r="C1797" s="1"/>
      <x:c r="D1797" s="1"/>
      <x:c r="E1797" s="1"/>
      <x:c r="F1797" s="1"/>
      <x:c r="G1797" s="1"/>
      <x:c r="H1797" s="1"/>
      <x:c r="I1797" s="1"/>
      <x:c r="J1797" s="1"/>
      <x:c r="K1797" s="1"/>
      <x:c r="L1797" s="1"/>
      <x:c r="M1797" s="1"/>
      <x:c r="N1797" s="1"/>
      <x:c r="O1797" s="1"/>
      <x:c r="P1797" s="1"/>
      <x:c r="Q1797" s="1"/>
      <x:c r="R1797" s="1"/>
      <x:c r="S1797" s="1"/>
      <x:c r="T1797" s="1"/>
      <x:c r="U1797" s="1"/>
      <x:c r="V1797" s="1"/>
    </x:row>
    <x:row r="1798">
      <x:c r="A1798" s="1"/>
      <x:c r="B1798" s="1"/>
      <x:c r="C1798" s="1"/>
      <x:c r="D1798" s="1"/>
      <x:c r="E1798" s="1"/>
      <x:c r="F1798" s="1"/>
      <x:c r="G1798" s="1"/>
      <x:c r="H1798" s="1"/>
      <x:c r="I1798" s="1"/>
      <x:c r="J1798" s="1"/>
      <x:c r="K1798" s="1"/>
      <x:c r="L1798" s="1"/>
      <x:c r="M1798" s="1"/>
      <x:c r="N1798" s="1"/>
      <x:c r="O1798" s="1"/>
      <x:c r="P1798" s="1"/>
      <x:c r="Q1798" s="1"/>
      <x:c r="R1798" s="1"/>
      <x:c r="S1798" s="1"/>
      <x:c r="T1798" s="1"/>
      <x:c r="U1798" s="1"/>
      <x:c r="V1798" s="1"/>
    </x:row>
    <x:row r="1799">
      <x:c r="A1799" s="1"/>
      <x:c r="B1799" s="1"/>
      <x:c r="C1799" s="1"/>
      <x:c r="D1799" s="1"/>
      <x:c r="E1799" s="1"/>
      <x:c r="F1799" s="1"/>
      <x:c r="G1799" s="1"/>
      <x:c r="H1799" s="1"/>
      <x:c r="I1799" s="1"/>
      <x:c r="J1799" s="1"/>
      <x:c r="K1799" s="1"/>
      <x:c r="L1799" s="1"/>
      <x:c r="M1799" s="1"/>
      <x:c r="N1799" s="1"/>
      <x:c r="O1799" s="1"/>
      <x:c r="P1799" s="1"/>
      <x:c r="Q1799" s="1"/>
      <x:c r="R1799" s="1"/>
      <x:c r="S1799" s="1"/>
      <x:c r="T1799" s="1"/>
      <x:c r="U1799" s="1"/>
      <x:c r="V1799" s="1"/>
    </x:row>
    <x:row r="1800">
      <x:c r="A1800" s="1"/>
      <x:c r="B1800" s="1"/>
      <x:c r="C1800" s="1"/>
      <x:c r="D1800" s="1"/>
      <x:c r="E1800" s="1"/>
      <x:c r="F1800" s="1"/>
      <x:c r="G1800" s="1"/>
      <x:c r="H1800" s="1"/>
      <x:c r="I1800" s="1"/>
      <x:c r="J1800" s="1"/>
      <x:c r="K1800" s="1"/>
      <x:c r="L1800" s="1"/>
      <x:c r="M1800" s="1"/>
      <x:c r="N1800" s="1"/>
      <x:c r="O1800" s="1"/>
      <x:c r="P1800" s="1"/>
      <x:c r="Q1800" s="1"/>
      <x:c r="R1800" s="1"/>
      <x:c r="S1800" s="1"/>
      <x:c r="T1800" s="1"/>
      <x:c r="U1800" s="1"/>
      <x:c r="V1800" s="1"/>
    </x:row>
    <x:row r="1801">
      <x:c r="A1801" s="1"/>
      <x:c r="B1801" s="1"/>
      <x:c r="C1801" s="1"/>
      <x:c r="D1801" s="1"/>
      <x:c r="E1801" s="1"/>
      <x:c r="F1801" s="1"/>
      <x:c r="G1801" s="1"/>
      <x:c r="H1801" s="1"/>
      <x:c r="I1801" s="1"/>
      <x:c r="J1801" s="1"/>
      <x:c r="K1801" s="1"/>
      <x:c r="L1801" s="1"/>
      <x:c r="M1801" s="1"/>
      <x:c r="N1801" s="1"/>
      <x:c r="O1801" s="1"/>
      <x:c r="P1801" s="1"/>
      <x:c r="Q1801" s="1"/>
      <x:c r="R1801" s="1"/>
      <x:c r="S1801" s="1"/>
      <x:c r="T1801" s="1"/>
      <x:c r="U1801" s="1"/>
      <x:c r="V1801" s="1"/>
    </x:row>
    <x:row r="1802">
      <x:c r="A1802" s="1"/>
      <x:c r="B1802" s="1"/>
      <x:c r="C1802" s="1"/>
      <x:c r="D1802" s="1"/>
      <x:c r="E1802" s="1"/>
      <x:c r="F1802" s="1"/>
      <x:c r="G1802" s="1"/>
      <x:c r="H1802" s="1"/>
      <x:c r="I1802" s="1"/>
      <x:c r="J1802" s="1"/>
      <x:c r="K1802" s="1"/>
      <x:c r="L1802" s="1"/>
      <x:c r="M1802" s="1"/>
      <x:c r="N1802" s="1"/>
      <x:c r="O1802" s="1"/>
      <x:c r="P1802" s="1"/>
      <x:c r="Q1802" s="1"/>
      <x:c r="R1802" s="1"/>
      <x:c r="S1802" s="1"/>
      <x:c r="T1802" s="1"/>
      <x:c r="U1802" s="1"/>
      <x:c r="V1802" s="1"/>
    </x:row>
    <x:row r="1803">
      <x:c r="A1803" s="1"/>
      <x:c r="B1803" s="1"/>
      <x:c r="C1803" s="1"/>
      <x:c r="D1803" s="1"/>
      <x:c r="E1803" s="1"/>
      <x:c r="F1803" s="1"/>
      <x:c r="G1803" s="1"/>
      <x:c r="H1803" s="1"/>
      <x:c r="I1803" s="1"/>
      <x:c r="J1803" s="1"/>
      <x:c r="K1803" s="1"/>
      <x:c r="L1803" s="1"/>
      <x:c r="M1803" s="1"/>
      <x:c r="N1803" s="1"/>
      <x:c r="O1803" s="1"/>
      <x:c r="P1803" s="1"/>
      <x:c r="Q1803" s="1"/>
      <x:c r="R1803" s="1"/>
      <x:c r="S1803" s="1"/>
      <x:c r="T1803" s="1"/>
      <x:c r="U1803" s="1"/>
      <x:c r="V1803" s="1"/>
    </x:row>
    <x:row r="1804">
      <x:c r="A1804" s="1"/>
      <x:c r="B1804" s="1"/>
      <x:c r="C1804" s="1"/>
      <x:c r="D1804" s="1"/>
      <x:c r="E1804" s="1"/>
      <x:c r="F1804" s="1"/>
      <x:c r="G1804" s="1"/>
      <x:c r="H1804" s="1"/>
      <x:c r="I1804" s="1"/>
      <x:c r="J1804" s="1"/>
      <x:c r="K1804" s="1"/>
      <x:c r="L1804" s="1"/>
      <x:c r="M1804" s="1"/>
      <x:c r="N1804" s="1"/>
      <x:c r="O1804" s="1"/>
      <x:c r="P1804" s="1"/>
      <x:c r="Q1804" s="1"/>
      <x:c r="R1804" s="1"/>
      <x:c r="S1804" s="1"/>
      <x:c r="T1804" s="1"/>
      <x:c r="U1804" s="1"/>
      <x:c r="V1804" s="1"/>
    </x:row>
    <x:row r="1805">
      <x:c r="A1805" s="1"/>
      <x:c r="B1805" s="1"/>
      <x:c r="C1805" s="1"/>
      <x:c r="D1805" s="1"/>
      <x:c r="E1805" s="1"/>
      <x:c r="F1805" s="1"/>
      <x:c r="G1805" s="1"/>
      <x:c r="H1805" s="1"/>
      <x:c r="I1805" s="1"/>
      <x:c r="J1805" s="1"/>
      <x:c r="K1805" s="1"/>
      <x:c r="L1805" s="1"/>
      <x:c r="M1805" s="1"/>
      <x:c r="N1805" s="1"/>
      <x:c r="O1805" s="1"/>
      <x:c r="P1805" s="1"/>
      <x:c r="Q1805" s="1"/>
      <x:c r="R1805" s="1"/>
      <x:c r="S1805" s="1"/>
      <x:c r="T1805" s="1"/>
      <x:c r="U1805" s="1"/>
      <x:c r="V1805" s="1"/>
    </x:row>
    <x:row r="1806">
      <x:c r="A1806" s="1"/>
      <x:c r="B1806" s="1"/>
      <x:c r="C1806" s="1"/>
      <x:c r="D1806" s="1"/>
      <x:c r="E1806" s="1"/>
      <x:c r="F1806" s="1"/>
      <x:c r="G1806" s="1"/>
      <x:c r="H1806" s="1"/>
      <x:c r="I1806" s="1"/>
      <x:c r="J1806" s="1"/>
      <x:c r="K1806" s="1"/>
      <x:c r="L1806" s="1"/>
      <x:c r="M1806" s="1"/>
      <x:c r="N1806" s="1"/>
      <x:c r="O1806" s="1"/>
      <x:c r="P1806" s="1"/>
      <x:c r="Q1806" s="1"/>
      <x:c r="R1806" s="1"/>
      <x:c r="S1806" s="1"/>
      <x:c r="T1806" s="1"/>
      <x:c r="U1806" s="1"/>
      <x:c r="V1806" s="1"/>
    </x:row>
    <x:row r="1807">
      <x:c r="A1807" s="1"/>
      <x:c r="B1807" s="1"/>
      <x:c r="C1807" s="1"/>
      <x:c r="D1807" s="1"/>
      <x:c r="E1807" s="1"/>
      <x:c r="F1807" s="1"/>
      <x:c r="G1807" s="1"/>
      <x:c r="H1807" s="1"/>
      <x:c r="I1807" s="1"/>
      <x:c r="J1807" s="1"/>
      <x:c r="K1807" s="1"/>
      <x:c r="L1807" s="1"/>
      <x:c r="M1807" s="1"/>
      <x:c r="N1807" s="1"/>
      <x:c r="O1807" s="1"/>
      <x:c r="P1807" s="1"/>
      <x:c r="Q1807" s="1"/>
      <x:c r="R1807" s="1"/>
      <x:c r="S1807" s="1"/>
      <x:c r="T1807" s="1"/>
      <x:c r="U1807" s="1"/>
      <x:c r="V1807" s="1"/>
    </x:row>
    <x:row r="1808">
      <x:c r="A1808" s="1"/>
      <x:c r="B1808" s="1"/>
      <x:c r="C1808" s="1"/>
      <x:c r="D1808" s="1"/>
      <x:c r="E1808" s="1"/>
      <x:c r="F1808" s="1"/>
      <x:c r="G1808" s="1"/>
      <x:c r="H1808" s="1"/>
      <x:c r="I1808" s="1"/>
      <x:c r="J1808" s="1"/>
      <x:c r="K1808" s="1"/>
      <x:c r="L1808" s="1"/>
      <x:c r="M1808" s="1"/>
      <x:c r="N1808" s="1"/>
      <x:c r="O1808" s="1"/>
      <x:c r="P1808" s="1"/>
      <x:c r="Q1808" s="1"/>
      <x:c r="R1808" s="1"/>
      <x:c r="S1808" s="1"/>
      <x:c r="T1808" s="1"/>
      <x:c r="U1808" s="1"/>
      <x:c r="V1808" s="1"/>
    </x:row>
    <x:row r="1809">
      <x:c r="A1809" s="1"/>
      <x:c r="B1809" s="1"/>
      <x:c r="C1809" s="1"/>
      <x:c r="D1809" s="1"/>
      <x:c r="E1809" s="1"/>
      <x:c r="F1809" s="1"/>
      <x:c r="G1809" s="1"/>
      <x:c r="H1809" s="1"/>
      <x:c r="I1809" s="1"/>
      <x:c r="J1809" s="1"/>
      <x:c r="K1809" s="1"/>
      <x:c r="L1809" s="1"/>
      <x:c r="M1809" s="1"/>
      <x:c r="N1809" s="1"/>
      <x:c r="O1809" s="1"/>
      <x:c r="P1809" s="1"/>
      <x:c r="Q1809" s="1"/>
      <x:c r="R1809" s="1"/>
      <x:c r="S1809" s="1"/>
      <x:c r="T1809" s="1"/>
      <x:c r="U1809" s="1"/>
      <x:c r="V1809" s="1"/>
    </x:row>
    <x:row r="1810">
      <x:c r="A1810" s="1"/>
      <x:c r="B1810" s="1"/>
      <x:c r="C1810" s="1"/>
      <x:c r="D1810" s="1"/>
      <x:c r="E1810" s="1"/>
      <x:c r="F1810" s="1"/>
      <x:c r="G1810" s="1"/>
      <x:c r="H1810" s="1"/>
      <x:c r="I1810" s="1"/>
      <x:c r="J1810" s="1"/>
      <x:c r="K1810" s="1"/>
      <x:c r="L1810" s="1"/>
      <x:c r="M1810" s="1"/>
      <x:c r="N1810" s="1"/>
      <x:c r="O1810" s="1"/>
      <x:c r="P1810" s="1"/>
      <x:c r="Q1810" s="1"/>
      <x:c r="R1810" s="1"/>
      <x:c r="S1810" s="1"/>
      <x:c r="T1810" s="1"/>
      <x:c r="U1810" s="1"/>
      <x:c r="V1810" s="1"/>
    </x:row>
    <x:row r="1811">
      <x:c r="A1811" s="1"/>
      <x:c r="B1811" s="1"/>
      <x:c r="C1811" s="1"/>
      <x:c r="D1811" s="1"/>
      <x:c r="E1811" s="1"/>
      <x:c r="F1811" s="1"/>
      <x:c r="G1811" s="1"/>
      <x:c r="H1811" s="1"/>
      <x:c r="I1811" s="1"/>
      <x:c r="J1811" s="1"/>
      <x:c r="K1811" s="1"/>
      <x:c r="L1811" s="1"/>
      <x:c r="M1811" s="1"/>
      <x:c r="N1811" s="1"/>
      <x:c r="O1811" s="1"/>
      <x:c r="P1811" s="1"/>
      <x:c r="Q1811" s="1"/>
      <x:c r="R1811" s="1"/>
      <x:c r="S1811" s="1"/>
      <x:c r="T1811" s="1"/>
      <x:c r="U1811" s="1"/>
      <x:c r="V1811" s="1"/>
    </x:row>
    <x:row r="1812">
      <x:c r="A1812" s="1"/>
      <x:c r="B1812" s="1"/>
      <x:c r="C1812" s="1"/>
      <x:c r="D1812" s="1"/>
      <x:c r="E1812" s="1"/>
      <x:c r="F1812" s="1"/>
      <x:c r="G1812" s="1"/>
      <x:c r="H1812" s="1"/>
      <x:c r="I1812" s="1"/>
      <x:c r="J1812" s="1"/>
      <x:c r="K1812" s="1"/>
      <x:c r="L1812" s="1"/>
      <x:c r="M1812" s="1"/>
      <x:c r="N1812" s="1"/>
      <x:c r="O1812" s="1"/>
      <x:c r="P1812" s="1"/>
      <x:c r="Q1812" s="1"/>
      <x:c r="R1812" s="1"/>
      <x:c r="S1812" s="1"/>
      <x:c r="T1812" s="1"/>
      <x:c r="U1812" s="1"/>
      <x:c r="V1812" s="1"/>
    </x:row>
    <x:row r="1813">
      <x:c r="A1813" s="1"/>
      <x:c r="B1813" s="1"/>
      <x:c r="C1813" s="1"/>
      <x:c r="D1813" s="1"/>
      <x:c r="E1813" s="1"/>
      <x:c r="F1813" s="1"/>
      <x:c r="G1813" s="1"/>
      <x:c r="H1813" s="1"/>
      <x:c r="I1813" s="1"/>
      <x:c r="J1813" s="1"/>
      <x:c r="K1813" s="1"/>
      <x:c r="L1813" s="1"/>
      <x:c r="M1813" s="1"/>
      <x:c r="N1813" s="1"/>
      <x:c r="O1813" s="1"/>
      <x:c r="P1813" s="1"/>
      <x:c r="Q1813" s="1"/>
      <x:c r="R1813" s="1"/>
      <x:c r="S1813" s="1"/>
      <x:c r="T1813" s="1"/>
      <x:c r="U1813" s="1"/>
      <x:c r="V1813" s="1"/>
    </x:row>
    <x:row r="1814">
      <x:c r="A1814" s="1"/>
      <x:c r="B1814" s="1"/>
      <x:c r="C1814" s="1"/>
      <x:c r="D1814" s="1"/>
      <x:c r="E1814" s="1"/>
      <x:c r="F1814" s="1"/>
      <x:c r="G1814" s="1"/>
      <x:c r="H1814" s="1"/>
      <x:c r="I1814" s="1"/>
      <x:c r="J1814" s="1"/>
      <x:c r="K1814" s="1"/>
      <x:c r="L1814" s="1"/>
      <x:c r="M1814" s="1"/>
      <x:c r="N1814" s="1"/>
      <x:c r="O1814" s="1"/>
      <x:c r="P1814" s="1"/>
      <x:c r="Q1814" s="1"/>
      <x:c r="R1814" s="1"/>
      <x:c r="S1814" s="1"/>
      <x:c r="T1814" s="1"/>
      <x:c r="U1814" s="1"/>
      <x:c r="V1814" s="1"/>
    </x:row>
    <x:row r="1815">
      <x:c r="A1815" s="1"/>
      <x:c r="B1815" s="1"/>
      <x:c r="C1815" s="1"/>
      <x:c r="D1815" s="1"/>
      <x:c r="E1815" s="1"/>
      <x:c r="F1815" s="1"/>
      <x:c r="G1815" s="1"/>
      <x:c r="H1815" s="1"/>
      <x:c r="I1815" s="1"/>
      <x:c r="J1815" s="1"/>
      <x:c r="K1815" s="1"/>
      <x:c r="L1815" s="1"/>
      <x:c r="M1815" s="1"/>
      <x:c r="N1815" s="1"/>
      <x:c r="O1815" s="1"/>
      <x:c r="P1815" s="1"/>
      <x:c r="Q1815" s="1"/>
      <x:c r="R1815" s="1"/>
      <x:c r="S1815" s="1"/>
      <x:c r="T1815" s="1"/>
      <x:c r="U1815" s="1"/>
      <x:c r="V1815" s="1"/>
    </x:row>
    <x:row r="1816">
      <x:c r="A1816" s="1"/>
      <x:c r="B1816" s="1"/>
      <x:c r="C1816" s="1"/>
      <x:c r="D1816" s="1"/>
      <x:c r="E1816" s="1"/>
      <x:c r="F1816" s="1"/>
      <x:c r="G1816" s="1"/>
      <x:c r="H1816" s="1"/>
      <x:c r="I1816" s="1"/>
      <x:c r="J1816" s="1"/>
      <x:c r="K1816" s="1"/>
      <x:c r="L1816" s="1"/>
      <x:c r="M1816" s="1"/>
      <x:c r="N1816" s="1"/>
      <x:c r="O1816" s="1"/>
      <x:c r="P1816" s="1"/>
      <x:c r="Q1816" s="1"/>
      <x:c r="R1816" s="1"/>
      <x:c r="S1816" s="1"/>
      <x:c r="T1816" s="1"/>
      <x:c r="U1816" s="1"/>
      <x:c r="V1816" s="1"/>
    </x:row>
    <x:row r="1817">
      <x:c r="A1817" s="1"/>
      <x:c r="B1817" s="1"/>
      <x:c r="C1817" s="1"/>
      <x:c r="D1817" s="1"/>
      <x:c r="E1817" s="1"/>
      <x:c r="F1817" s="1"/>
      <x:c r="G1817" s="1"/>
      <x:c r="H1817" s="1"/>
      <x:c r="I1817" s="1"/>
      <x:c r="J1817" s="1"/>
      <x:c r="K1817" s="1"/>
      <x:c r="L1817" s="1"/>
      <x:c r="M1817" s="1"/>
      <x:c r="N1817" s="1"/>
      <x:c r="O1817" s="1"/>
      <x:c r="P1817" s="1"/>
      <x:c r="Q1817" s="1"/>
      <x:c r="R1817" s="1"/>
      <x:c r="S1817" s="1"/>
      <x:c r="T1817" s="1"/>
      <x:c r="U1817" s="1"/>
      <x:c r="V1817" s="1"/>
    </x:row>
    <x:row r="1818">
      <x:c r="A1818" s="1"/>
      <x:c r="B1818" s="1"/>
      <x:c r="C1818" s="1"/>
      <x:c r="D1818" s="1"/>
      <x:c r="E1818" s="1"/>
      <x:c r="F1818" s="1"/>
      <x:c r="G1818" s="1"/>
      <x:c r="H1818" s="1"/>
      <x:c r="I1818" s="1"/>
      <x:c r="J1818" s="1"/>
      <x:c r="K1818" s="1"/>
      <x:c r="L1818" s="1"/>
      <x:c r="M1818" s="1"/>
      <x:c r="N1818" s="1"/>
      <x:c r="O1818" s="1"/>
      <x:c r="P1818" s="1"/>
      <x:c r="Q1818" s="1"/>
      <x:c r="R1818" s="1"/>
      <x:c r="S1818" s="1"/>
      <x:c r="T1818" s="1"/>
      <x:c r="U1818" s="1"/>
      <x:c r="V1818" s="1"/>
    </x:row>
    <x:row r="1819">
      <x:c r="A1819" s="1"/>
      <x:c r="B1819" s="1"/>
      <x:c r="C1819" s="1"/>
      <x:c r="D1819" s="1"/>
      <x:c r="E1819" s="1"/>
      <x:c r="F1819" s="1"/>
      <x:c r="G1819" s="1"/>
      <x:c r="H1819" s="1"/>
      <x:c r="I1819" s="1"/>
      <x:c r="J1819" s="1"/>
      <x:c r="K1819" s="1"/>
      <x:c r="L1819" s="1"/>
      <x:c r="M1819" s="1"/>
      <x:c r="N1819" s="1"/>
      <x:c r="O1819" s="1"/>
      <x:c r="P1819" s="1"/>
      <x:c r="Q1819" s="1"/>
      <x:c r="R1819" s="1"/>
      <x:c r="S1819" s="1"/>
      <x:c r="T1819" s="1"/>
      <x:c r="U1819" s="1"/>
      <x:c r="V1819" s="1"/>
    </x:row>
    <x:row r="1820">
      <x:c r="A1820" s="1"/>
      <x:c r="B1820" s="1"/>
      <x:c r="C1820" s="1"/>
      <x:c r="D1820" s="1"/>
      <x:c r="E1820" s="1"/>
      <x:c r="F1820" s="1"/>
      <x:c r="G1820" s="1"/>
      <x:c r="H1820" s="1"/>
      <x:c r="I1820" s="1"/>
      <x:c r="J1820" s="1"/>
      <x:c r="K1820" s="1"/>
      <x:c r="L1820" s="1"/>
      <x:c r="M1820" s="1"/>
      <x:c r="N1820" s="1"/>
      <x:c r="O1820" s="1"/>
      <x:c r="P1820" s="1"/>
      <x:c r="Q1820" s="1"/>
      <x:c r="R1820" s="1"/>
      <x:c r="S1820" s="1"/>
      <x:c r="T1820" s="1"/>
      <x:c r="U1820" s="1"/>
      <x:c r="V1820" s="1"/>
    </x:row>
    <x:row r="1821">
      <x:c r="A1821" s="1"/>
      <x:c r="B1821" s="1"/>
      <x:c r="C1821" s="1"/>
      <x:c r="D1821" s="1"/>
      <x:c r="E1821" s="1"/>
      <x:c r="F1821" s="1"/>
      <x:c r="G1821" s="1"/>
      <x:c r="H1821" s="1"/>
      <x:c r="I1821" s="1"/>
      <x:c r="J1821" s="1"/>
      <x:c r="K1821" s="1"/>
      <x:c r="L1821" s="1"/>
      <x:c r="M1821" s="1"/>
      <x:c r="N1821" s="1"/>
      <x:c r="O1821" s="1"/>
      <x:c r="P1821" s="1"/>
      <x:c r="Q1821" s="1"/>
      <x:c r="R1821" s="1"/>
      <x:c r="S1821" s="1"/>
      <x:c r="T1821" s="1"/>
      <x:c r="U1821" s="1"/>
      <x:c r="V1821" s="1"/>
    </x:row>
    <x:row r="1822">
      <x:c r="A1822" s="1"/>
      <x:c r="B1822" s="1"/>
      <x:c r="C1822" s="1"/>
      <x:c r="D1822" s="1"/>
      <x:c r="E1822" s="1"/>
      <x:c r="F1822" s="1"/>
      <x:c r="G1822" s="1"/>
      <x:c r="H1822" s="1"/>
      <x:c r="I1822" s="1"/>
      <x:c r="J1822" s="1"/>
      <x:c r="K1822" s="1"/>
      <x:c r="L1822" s="1"/>
      <x:c r="M1822" s="1"/>
      <x:c r="N1822" s="1"/>
      <x:c r="O1822" s="1"/>
      <x:c r="P1822" s="1"/>
      <x:c r="Q1822" s="1"/>
      <x:c r="R1822" s="1"/>
      <x:c r="S1822" s="1"/>
      <x:c r="T1822" s="1"/>
      <x:c r="U1822" s="1"/>
      <x:c r="V1822" s="1"/>
    </x:row>
    <x:row r="1823">
      <x:c r="A1823" s="1"/>
      <x:c r="B1823" s="1"/>
      <x:c r="C1823" s="1"/>
      <x:c r="D1823" s="1"/>
      <x:c r="E1823" s="1"/>
      <x:c r="F1823" s="1"/>
      <x:c r="G1823" s="1"/>
      <x:c r="H1823" s="1"/>
      <x:c r="I1823" s="1"/>
      <x:c r="J1823" s="1"/>
      <x:c r="K1823" s="1"/>
      <x:c r="L1823" s="1"/>
      <x:c r="M1823" s="1"/>
      <x:c r="N1823" s="1"/>
      <x:c r="O1823" s="1"/>
      <x:c r="P1823" s="1"/>
      <x:c r="Q1823" s="1"/>
      <x:c r="R1823" s="1"/>
      <x:c r="S1823" s="1"/>
      <x:c r="T1823" s="1"/>
      <x:c r="U1823" s="1"/>
      <x:c r="V1823" s="1"/>
    </x:row>
    <x:row r="1824">
      <x:c r="A1824" s="1"/>
      <x:c r="B1824" s="1"/>
      <x:c r="C1824" s="1"/>
      <x:c r="D1824" s="1"/>
      <x:c r="E1824" s="1"/>
      <x:c r="F1824" s="1"/>
      <x:c r="G1824" s="1"/>
      <x:c r="H1824" s="1"/>
      <x:c r="I1824" s="1"/>
      <x:c r="J1824" s="1"/>
      <x:c r="K1824" s="1"/>
      <x:c r="L1824" s="1"/>
      <x:c r="M1824" s="1"/>
      <x:c r="N1824" s="1"/>
      <x:c r="O1824" s="1"/>
      <x:c r="P1824" s="1"/>
      <x:c r="Q1824" s="1"/>
      <x:c r="R1824" s="1"/>
      <x:c r="S1824" s="1"/>
      <x:c r="T1824" s="1"/>
      <x:c r="U1824" s="1"/>
      <x:c r="V1824" s="1"/>
    </x:row>
    <x:row r="1825">
      <x:c r="A1825" s="1"/>
      <x:c r="B1825" s="1"/>
      <x:c r="C1825" s="1"/>
      <x:c r="D1825" s="1"/>
      <x:c r="E1825" s="1"/>
      <x:c r="F1825" s="1"/>
      <x:c r="G1825" s="1"/>
      <x:c r="H1825" s="1"/>
      <x:c r="I1825" s="1"/>
      <x:c r="J1825" s="1"/>
      <x:c r="K1825" s="1"/>
      <x:c r="L1825" s="1"/>
      <x:c r="M1825" s="1"/>
      <x:c r="N1825" s="1"/>
      <x:c r="O1825" s="1"/>
      <x:c r="P1825" s="1"/>
      <x:c r="Q1825" s="1"/>
      <x:c r="R1825" s="1"/>
      <x:c r="S1825" s="1"/>
      <x:c r="T1825" s="1"/>
      <x:c r="U1825" s="1"/>
      <x:c r="V1825" s="1"/>
    </x:row>
    <x:row r="1826">
      <x:c r="A1826" s="1"/>
      <x:c r="B1826" s="1"/>
      <x:c r="C1826" s="1"/>
      <x:c r="D1826" s="1"/>
      <x:c r="E1826" s="1"/>
      <x:c r="F1826" s="1"/>
      <x:c r="G1826" s="1"/>
      <x:c r="H1826" s="1"/>
      <x:c r="I1826" s="1"/>
      <x:c r="J1826" s="1"/>
      <x:c r="K1826" s="1"/>
      <x:c r="L1826" s="1"/>
      <x:c r="M1826" s="1"/>
      <x:c r="N1826" s="1"/>
      <x:c r="O1826" s="1"/>
      <x:c r="P1826" s="1"/>
      <x:c r="Q1826" s="1"/>
      <x:c r="R1826" s="1"/>
      <x:c r="S1826" s="1"/>
      <x:c r="T1826" s="1"/>
      <x:c r="U1826" s="1"/>
      <x:c r="V1826" s="1"/>
    </x:row>
    <x:row r="1827">
      <x:c r="A1827" s="1"/>
      <x:c r="B1827" s="1"/>
      <x:c r="C1827" s="1"/>
      <x:c r="D1827" s="1"/>
      <x:c r="E1827" s="1"/>
      <x:c r="F1827" s="1"/>
      <x:c r="G1827" s="1"/>
      <x:c r="H1827" s="1"/>
      <x:c r="I1827" s="1"/>
      <x:c r="J1827" s="1"/>
      <x:c r="K1827" s="1"/>
      <x:c r="L1827" s="1"/>
      <x:c r="M1827" s="1"/>
      <x:c r="N1827" s="1"/>
      <x:c r="O1827" s="1"/>
      <x:c r="P1827" s="1"/>
      <x:c r="Q1827" s="1"/>
      <x:c r="R1827" s="1"/>
      <x:c r="S1827" s="1"/>
      <x:c r="T1827" s="1"/>
      <x:c r="U1827" s="1"/>
      <x:c r="V1827" s="1"/>
    </x:row>
    <x:row r="1828">
      <x:c r="A1828" s="1"/>
      <x:c r="B1828" s="1"/>
      <x:c r="C1828" s="1"/>
      <x:c r="D1828" s="1"/>
      <x:c r="E1828" s="1"/>
      <x:c r="F1828" s="1"/>
      <x:c r="G1828" s="1"/>
      <x:c r="H1828" s="1"/>
      <x:c r="I1828" s="1"/>
      <x:c r="J1828" s="1"/>
      <x:c r="K1828" s="1"/>
      <x:c r="L1828" s="1"/>
      <x:c r="M1828" s="1"/>
      <x:c r="N1828" s="1"/>
      <x:c r="O1828" s="1"/>
      <x:c r="P1828" s="1"/>
      <x:c r="Q1828" s="1"/>
      <x:c r="R1828" s="1"/>
      <x:c r="S1828" s="1"/>
      <x:c r="T1828" s="1"/>
      <x:c r="U1828" s="1"/>
      <x:c r="V1828" s="1"/>
    </x:row>
    <x:row r="1829">
      <x:c r="A1829" s="1"/>
      <x:c r="B1829" s="1"/>
      <x:c r="C1829" s="1"/>
      <x:c r="D1829" s="1"/>
      <x:c r="E1829" s="1"/>
      <x:c r="F1829" s="1"/>
      <x:c r="G1829" s="1"/>
      <x:c r="H1829" s="1"/>
      <x:c r="I1829" s="1"/>
      <x:c r="J1829" s="1"/>
      <x:c r="K1829" s="1"/>
      <x:c r="L1829" s="1"/>
      <x:c r="M1829" s="1"/>
      <x:c r="N1829" s="1"/>
      <x:c r="O1829" s="1"/>
      <x:c r="P1829" s="1"/>
      <x:c r="Q1829" s="1"/>
      <x:c r="R1829" s="1"/>
      <x:c r="S1829" s="1"/>
      <x:c r="T1829" s="1"/>
      <x:c r="U1829" s="1"/>
      <x:c r="V1829" s="1"/>
    </x:row>
    <x:row r="1830">
      <x:c r="A1830" s="1"/>
      <x:c r="B1830" s="1"/>
      <x:c r="C1830" s="1"/>
      <x:c r="D1830" s="1"/>
      <x:c r="E1830" s="1"/>
      <x:c r="F1830" s="1"/>
      <x:c r="G1830" s="1"/>
      <x:c r="H1830" s="1"/>
      <x:c r="I1830" s="1"/>
      <x:c r="J1830" s="1"/>
      <x:c r="K1830" s="1"/>
      <x:c r="L1830" s="1"/>
      <x:c r="M1830" s="1"/>
      <x:c r="N1830" s="1"/>
      <x:c r="O1830" s="1"/>
      <x:c r="P1830" s="1"/>
      <x:c r="Q1830" s="1"/>
      <x:c r="R1830" s="1"/>
      <x:c r="S1830" s="1"/>
      <x:c r="T1830" s="1"/>
      <x:c r="U1830" s="1"/>
      <x:c r="V1830" s="1"/>
    </x:row>
    <x:row r="1831">
      <x:c r="A1831" s="1"/>
      <x:c r="B1831" s="1"/>
      <x:c r="C1831" s="1"/>
      <x:c r="D1831" s="1"/>
      <x:c r="E1831" s="1"/>
      <x:c r="F1831" s="1"/>
      <x:c r="G1831" s="1"/>
      <x:c r="H1831" s="1"/>
      <x:c r="I1831" s="1"/>
      <x:c r="J1831" s="1"/>
      <x:c r="K1831" s="1"/>
      <x:c r="L1831" s="1"/>
      <x:c r="M1831" s="1"/>
      <x:c r="N1831" s="1"/>
      <x:c r="O1831" s="1"/>
      <x:c r="P1831" s="1"/>
      <x:c r="Q1831" s="1"/>
      <x:c r="R1831" s="1"/>
      <x:c r="S1831" s="1"/>
      <x:c r="T1831" s="1"/>
      <x:c r="U1831" s="1"/>
      <x:c r="V1831" s="1"/>
    </x:row>
    <x:row r="1832">
      <x:c r="A1832" s="1"/>
      <x:c r="B1832" s="1"/>
      <x:c r="C1832" s="1"/>
      <x:c r="D1832" s="1"/>
      <x:c r="E1832" s="1"/>
      <x:c r="F1832" s="1"/>
      <x:c r="G1832" s="1"/>
      <x:c r="H1832" s="1"/>
      <x:c r="I1832" s="1"/>
      <x:c r="J1832" s="1"/>
      <x:c r="K1832" s="1"/>
      <x:c r="L1832" s="1"/>
      <x:c r="M1832" s="1"/>
      <x:c r="N1832" s="1"/>
      <x:c r="O1832" s="1"/>
      <x:c r="P1832" s="1"/>
      <x:c r="Q1832" s="1"/>
      <x:c r="R1832" s="1"/>
      <x:c r="S1832" s="1"/>
      <x:c r="T1832" s="1"/>
      <x:c r="U1832" s="1"/>
      <x:c r="V1832" s="1"/>
    </x:row>
    <x:row r="1833">
      <x:c r="A1833" s="1"/>
      <x:c r="B1833" s="1"/>
      <x:c r="C1833" s="1"/>
      <x:c r="D1833" s="1"/>
      <x:c r="E1833" s="1"/>
      <x:c r="F1833" s="1"/>
      <x:c r="G1833" s="1"/>
      <x:c r="H1833" s="1"/>
      <x:c r="I1833" s="1"/>
      <x:c r="J1833" s="1"/>
      <x:c r="K1833" s="1"/>
      <x:c r="L1833" s="1"/>
      <x:c r="M1833" s="1"/>
      <x:c r="N1833" s="1"/>
      <x:c r="O1833" s="1"/>
      <x:c r="P1833" s="1"/>
      <x:c r="Q1833" s="1"/>
      <x:c r="R1833" s="1"/>
      <x:c r="S1833" s="1"/>
      <x:c r="T1833" s="1"/>
      <x:c r="U1833" s="1"/>
      <x:c r="V1833" s="1"/>
    </x:row>
    <x:row r="1834">
      <x:c r="A1834" s="1"/>
      <x:c r="B1834" s="1"/>
      <x:c r="C1834" s="1"/>
      <x:c r="D1834" s="1"/>
      <x:c r="E1834" s="1"/>
      <x:c r="F1834" s="1"/>
      <x:c r="G1834" s="1"/>
      <x:c r="H1834" s="1"/>
      <x:c r="I1834" s="1"/>
      <x:c r="J1834" s="1"/>
      <x:c r="K1834" s="1"/>
      <x:c r="L1834" s="1"/>
      <x:c r="M1834" s="1"/>
      <x:c r="N1834" s="1"/>
      <x:c r="O1834" s="1"/>
      <x:c r="P1834" s="1"/>
      <x:c r="Q1834" s="1"/>
      <x:c r="R1834" s="1"/>
      <x:c r="S1834" s="1"/>
      <x:c r="T1834" s="1"/>
      <x:c r="U1834" s="1"/>
      <x:c r="V1834" s="1"/>
    </x:row>
    <x:row r="1835">
      <x:c r="A1835" s="1"/>
      <x:c r="B1835" s="1"/>
      <x:c r="C1835" s="1"/>
      <x:c r="D1835" s="1"/>
      <x:c r="E1835" s="1"/>
      <x:c r="F1835" s="1"/>
      <x:c r="G1835" s="1"/>
      <x:c r="H1835" s="1"/>
      <x:c r="I1835" s="1"/>
      <x:c r="J1835" s="1"/>
      <x:c r="K1835" s="1"/>
      <x:c r="L1835" s="1"/>
      <x:c r="M1835" s="1"/>
      <x:c r="N1835" s="1"/>
      <x:c r="O1835" s="1"/>
      <x:c r="P1835" s="1"/>
      <x:c r="Q1835" s="1"/>
      <x:c r="R1835" s="1"/>
      <x:c r="S1835" s="1"/>
      <x:c r="T1835" s="1"/>
      <x:c r="U1835" s="1"/>
      <x:c r="V1835" s="1"/>
    </x:row>
    <x:row r="1836">
      <x:c r="A1836" s="1"/>
      <x:c r="B1836" s="1"/>
      <x:c r="C1836" s="1"/>
      <x:c r="D1836" s="1"/>
      <x:c r="E1836" s="1"/>
      <x:c r="F1836" s="1"/>
      <x:c r="G1836" s="1"/>
      <x:c r="H1836" s="1"/>
      <x:c r="I1836" s="1"/>
      <x:c r="J1836" s="1"/>
      <x:c r="K1836" s="1"/>
      <x:c r="L1836" s="1"/>
      <x:c r="M1836" s="1"/>
      <x:c r="N1836" s="1"/>
      <x:c r="O1836" s="1"/>
      <x:c r="P1836" s="1"/>
      <x:c r="Q1836" s="1"/>
      <x:c r="R1836" s="1"/>
      <x:c r="S1836" s="1"/>
      <x:c r="T1836" s="1"/>
      <x:c r="U1836" s="1"/>
      <x:c r="V1836" s="1"/>
    </x:row>
    <x:row r="1837">
      <x:c r="A1837" s="1"/>
      <x:c r="B1837" s="1"/>
      <x:c r="C1837" s="1"/>
      <x:c r="D1837" s="1"/>
      <x:c r="E1837" s="1"/>
      <x:c r="F1837" s="1"/>
      <x:c r="G1837" s="1"/>
      <x:c r="H1837" s="1"/>
      <x:c r="I1837" s="1"/>
      <x:c r="J1837" s="1"/>
      <x:c r="K1837" s="1"/>
      <x:c r="L1837" s="1"/>
      <x:c r="M1837" s="1"/>
      <x:c r="N1837" s="1"/>
      <x:c r="O1837" s="1"/>
      <x:c r="P1837" s="1"/>
      <x:c r="Q1837" s="1"/>
      <x:c r="R1837" s="1"/>
      <x:c r="S1837" s="1"/>
      <x:c r="T1837" s="1"/>
      <x:c r="U1837" s="1"/>
      <x:c r="V1837" s="1"/>
    </x:row>
    <x:row r="1838">
      <x:c r="A1838" s="1"/>
      <x:c r="B1838" s="1"/>
      <x:c r="C1838" s="1"/>
      <x:c r="D1838" s="1"/>
      <x:c r="E1838" s="1"/>
      <x:c r="F1838" s="1"/>
      <x:c r="G1838" s="1"/>
      <x:c r="H1838" s="1"/>
      <x:c r="I1838" s="1"/>
      <x:c r="J1838" s="1"/>
      <x:c r="K1838" s="1"/>
      <x:c r="L1838" s="1"/>
      <x:c r="M1838" s="1"/>
      <x:c r="N1838" s="1"/>
      <x:c r="O1838" s="1"/>
      <x:c r="P1838" s="1"/>
      <x:c r="Q1838" s="1"/>
      <x:c r="R1838" s="1"/>
      <x:c r="S1838" s="1"/>
      <x:c r="T1838" s="1"/>
      <x:c r="U1838" s="1"/>
      <x:c r="V1838" s="1"/>
    </x:row>
    <x:row r="1839">
      <x:c r="A1839" s="1"/>
      <x:c r="B1839" s="1"/>
      <x:c r="C1839" s="1"/>
      <x:c r="D1839" s="1"/>
      <x:c r="E1839" s="1"/>
      <x:c r="F1839" s="1"/>
      <x:c r="G1839" s="1"/>
      <x:c r="H1839" s="1"/>
      <x:c r="I1839" s="1"/>
      <x:c r="J1839" s="1"/>
      <x:c r="K1839" s="1"/>
      <x:c r="L1839" s="1"/>
      <x:c r="M1839" s="1"/>
      <x:c r="N1839" s="1"/>
      <x:c r="O1839" s="1"/>
      <x:c r="P1839" s="1"/>
      <x:c r="Q1839" s="1"/>
      <x:c r="R1839" s="1"/>
      <x:c r="S1839" s="1"/>
      <x:c r="T1839" s="1"/>
      <x:c r="U1839" s="1"/>
      <x:c r="V1839" s="1"/>
    </x:row>
    <x:row r="1840">
      <x:c r="A1840" s="1"/>
      <x:c r="B1840" s="1"/>
      <x:c r="C1840" s="1"/>
      <x:c r="D1840" s="1"/>
      <x:c r="E1840" s="1"/>
      <x:c r="F1840" s="1"/>
      <x:c r="G1840" s="1"/>
      <x:c r="H1840" s="1"/>
      <x:c r="I1840" s="1"/>
      <x:c r="J1840" s="1"/>
      <x:c r="K1840" s="1"/>
      <x:c r="L1840" s="1"/>
      <x:c r="M1840" s="1"/>
      <x:c r="N1840" s="1"/>
      <x:c r="O1840" s="1"/>
      <x:c r="P1840" s="1"/>
      <x:c r="Q1840" s="1"/>
      <x:c r="R1840" s="1"/>
      <x:c r="S1840" s="1"/>
      <x:c r="T1840" s="1"/>
      <x:c r="U1840" s="1"/>
      <x:c r="V1840" s="1"/>
    </x:row>
    <x:row r="1841">
      <x:c r="A1841" s="1"/>
      <x:c r="B1841" s="1"/>
      <x:c r="C1841" s="1"/>
      <x:c r="D1841" s="1"/>
      <x:c r="E1841" s="1"/>
      <x:c r="F1841" s="1"/>
      <x:c r="G1841" s="1"/>
      <x:c r="H1841" s="1"/>
      <x:c r="I1841" s="1"/>
      <x:c r="J1841" s="1"/>
      <x:c r="K1841" s="1"/>
      <x:c r="L1841" s="1"/>
      <x:c r="M1841" s="1"/>
      <x:c r="N1841" s="1"/>
      <x:c r="O1841" s="1"/>
      <x:c r="P1841" s="1"/>
      <x:c r="Q1841" s="1"/>
      <x:c r="R1841" s="1"/>
      <x:c r="S1841" s="1"/>
      <x:c r="T1841" s="1"/>
      <x:c r="U1841" s="1"/>
      <x:c r="V1841" s="1"/>
    </x:row>
    <x:row r="1842">
      <x:c r="A1842" s="1"/>
      <x:c r="B1842" s="1"/>
      <x:c r="C1842" s="1"/>
      <x:c r="D1842" s="1"/>
      <x:c r="E1842" s="1"/>
      <x:c r="F1842" s="1"/>
      <x:c r="G1842" s="1"/>
      <x:c r="H1842" s="1"/>
      <x:c r="I1842" s="1"/>
      <x:c r="J1842" s="1"/>
      <x:c r="K1842" s="1"/>
      <x:c r="L1842" s="1"/>
      <x:c r="M1842" s="1"/>
      <x:c r="N1842" s="1"/>
      <x:c r="O1842" s="1"/>
      <x:c r="P1842" s="1"/>
      <x:c r="Q1842" s="1"/>
      <x:c r="R1842" s="1"/>
      <x:c r="S1842" s="1"/>
      <x:c r="T1842" s="1"/>
      <x:c r="U1842" s="1"/>
      <x:c r="V1842" s="1"/>
    </x:row>
    <x:row r="1843">
      <x:c r="A1843" s="1"/>
      <x:c r="B1843" s="1"/>
      <x:c r="C1843" s="1"/>
      <x:c r="D1843" s="1"/>
      <x:c r="E1843" s="1"/>
      <x:c r="F1843" s="1"/>
      <x:c r="G1843" s="1"/>
      <x:c r="H1843" s="1"/>
      <x:c r="I1843" s="1"/>
      <x:c r="J1843" s="1"/>
      <x:c r="K1843" s="1"/>
      <x:c r="L1843" s="1"/>
      <x:c r="M1843" s="1"/>
      <x:c r="N1843" s="1"/>
      <x:c r="O1843" s="1"/>
      <x:c r="P1843" s="1"/>
      <x:c r="Q1843" s="1"/>
      <x:c r="R1843" s="1"/>
      <x:c r="S1843" s="1"/>
      <x:c r="T1843" s="1"/>
      <x:c r="U1843" s="1"/>
      <x:c r="V1843" s="1"/>
    </x:row>
    <x:row r="1844">
      <x:c r="A1844" s="1"/>
      <x:c r="B1844" s="1"/>
      <x:c r="C1844" s="1"/>
      <x:c r="D1844" s="1"/>
      <x:c r="E1844" s="1"/>
      <x:c r="F1844" s="1"/>
      <x:c r="G1844" s="1"/>
      <x:c r="H1844" s="1"/>
      <x:c r="I1844" s="1"/>
      <x:c r="J1844" s="1"/>
      <x:c r="K1844" s="1"/>
      <x:c r="L1844" s="1"/>
      <x:c r="M1844" s="1"/>
      <x:c r="N1844" s="1"/>
      <x:c r="O1844" s="1"/>
      <x:c r="P1844" s="1"/>
      <x:c r="Q1844" s="1"/>
      <x:c r="R1844" s="1"/>
      <x:c r="S1844" s="1"/>
      <x:c r="T1844" s="1"/>
      <x:c r="U1844" s="1"/>
      <x:c r="V1844" s="1"/>
    </x:row>
    <x:row r="1845">
      <x:c r="A1845" s="1"/>
      <x:c r="B1845" s="1"/>
      <x:c r="C1845" s="1"/>
      <x:c r="D1845" s="1"/>
      <x:c r="E1845" s="1"/>
      <x:c r="F1845" s="1"/>
      <x:c r="G1845" s="1"/>
      <x:c r="H1845" s="1"/>
      <x:c r="I1845" s="1"/>
      <x:c r="J1845" s="1"/>
      <x:c r="K1845" s="1"/>
      <x:c r="L1845" s="1"/>
      <x:c r="M1845" s="1"/>
      <x:c r="N1845" s="1"/>
      <x:c r="O1845" s="1"/>
      <x:c r="P1845" s="1"/>
      <x:c r="Q1845" s="1"/>
      <x:c r="R1845" s="1"/>
      <x:c r="S1845" s="1"/>
      <x:c r="T1845" s="1"/>
      <x:c r="U1845" s="1"/>
      <x:c r="V1845" s="1"/>
    </x:row>
    <x:row r="1846">
      <x:c r="A1846" s="1"/>
      <x:c r="B1846" s="1"/>
      <x:c r="C1846" s="1"/>
      <x:c r="D1846" s="1"/>
      <x:c r="E1846" s="1"/>
      <x:c r="F1846" s="1"/>
      <x:c r="G1846" s="1"/>
      <x:c r="H1846" s="1"/>
      <x:c r="I1846" s="1"/>
      <x:c r="J1846" s="1"/>
      <x:c r="K1846" s="1"/>
      <x:c r="L1846" s="1"/>
      <x:c r="M1846" s="1"/>
      <x:c r="N1846" s="1"/>
      <x:c r="O1846" s="1"/>
      <x:c r="P1846" s="1"/>
      <x:c r="Q1846" s="1"/>
      <x:c r="R1846" s="1"/>
      <x:c r="S1846" s="1"/>
      <x:c r="T1846" s="1"/>
      <x:c r="U1846" s="1"/>
      <x:c r="V1846" s="1"/>
    </x:row>
    <x:row r="1847">
      <x:c r="A1847" s="1"/>
      <x:c r="B1847" s="1"/>
      <x:c r="C1847" s="1"/>
      <x:c r="D1847" s="1"/>
      <x:c r="E1847" s="1"/>
      <x:c r="F1847" s="1"/>
      <x:c r="G1847" s="1"/>
      <x:c r="H1847" s="1"/>
      <x:c r="I1847" s="1"/>
      <x:c r="J1847" s="1"/>
      <x:c r="K1847" s="1"/>
      <x:c r="L1847" s="1"/>
      <x:c r="M1847" s="1"/>
      <x:c r="N1847" s="1"/>
      <x:c r="O1847" s="1"/>
      <x:c r="P1847" s="1"/>
      <x:c r="Q1847" s="1"/>
      <x:c r="R1847" s="1"/>
      <x:c r="S1847" s="1"/>
      <x:c r="T1847" s="1"/>
      <x:c r="U1847" s="1"/>
      <x:c r="V1847" s="1"/>
    </x:row>
    <x:row r="1848">
      <x:c r="A1848" s="1"/>
      <x:c r="B1848" s="1"/>
      <x:c r="C1848" s="1"/>
      <x:c r="D1848" s="1"/>
      <x:c r="E1848" s="1"/>
      <x:c r="F1848" s="1"/>
      <x:c r="G1848" s="1"/>
      <x:c r="H1848" s="1"/>
      <x:c r="I1848" s="1"/>
      <x:c r="J1848" s="1"/>
      <x:c r="K1848" s="1"/>
      <x:c r="L1848" s="1"/>
      <x:c r="M1848" s="1"/>
      <x:c r="N1848" s="1"/>
      <x:c r="O1848" s="1"/>
      <x:c r="P1848" s="1"/>
      <x:c r="Q1848" s="1"/>
      <x:c r="R1848" s="1"/>
      <x:c r="S1848" s="1"/>
      <x:c r="T1848" s="1"/>
      <x:c r="U1848" s="1"/>
      <x:c r="V1848" s="1"/>
    </x:row>
    <x:row r="1849">
      <x:c r="A1849" s="1"/>
      <x:c r="B1849" s="1"/>
      <x:c r="C1849" s="1"/>
      <x:c r="D1849" s="1"/>
      <x:c r="E1849" s="1"/>
      <x:c r="F1849" s="1"/>
      <x:c r="G1849" s="1"/>
      <x:c r="H1849" s="1"/>
      <x:c r="I1849" s="1"/>
      <x:c r="J1849" s="1"/>
      <x:c r="K1849" s="1"/>
      <x:c r="L1849" s="1"/>
      <x:c r="M1849" s="1"/>
      <x:c r="N1849" s="1"/>
      <x:c r="O1849" s="1"/>
      <x:c r="P1849" s="1"/>
      <x:c r="Q1849" s="1"/>
      <x:c r="R1849" s="1"/>
      <x:c r="S1849" s="1"/>
      <x:c r="T1849" s="1"/>
      <x:c r="U1849" s="1"/>
      <x:c r="V1849" s="1"/>
    </x:row>
    <x:row r="1850">
      <x:c r="A1850" s="1"/>
      <x:c r="B1850" s="1"/>
      <x:c r="C1850" s="1"/>
      <x:c r="D1850" s="1"/>
      <x:c r="E1850" s="1"/>
      <x:c r="F1850" s="1"/>
      <x:c r="G1850" s="1"/>
      <x:c r="H1850" s="1"/>
      <x:c r="I1850" s="1"/>
      <x:c r="J1850" s="1"/>
      <x:c r="K1850" s="1"/>
      <x:c r="L1850" s="1"/>
      <x:c r="M1850" s="1"/>
      <x:c r="N1850" s="1"/>
      <x:c r="O1850" s="1"/>
      <x:c r="P1850" s="1"/>
      <x:c r="Q1850" s="1"/>
      <x:c r="R1850" s="1"/>
      <x:c r="S1850" s="1"/>
      <x:c r="T1850" s="1"/>
      <x:c r="U1850" s="1"/>
      <x:c r="V1850" s="1"/>
    </x:row>
    <x:row r="1851">
      <x:c r="A1851" s="1"/>
      <x:c r="B1851" s="1"/>
      <x:c r="C1851" s="1"/>
      <x:c r="D1851" s="1"/>
      <x:c r="E1851" s="1"/>
      <x:c r="F1851" s="1"/>
      <x:c r="G1851" s="1"/>
      <x:c r="H1851" s="1"/>
      <x:c r="I1851" s="1"/>
      <x:c r="J1851" s="1"/>
      <x:c r="K1851" s="1"/>
      <x:c r="L1851" s="1"/>
      <x:c r="M1851" s="1"/>
      <x:c r="N1851" s="1"/>
      <x:c r="O1851" s="1"/>
      <x:c r="P1851" s="1"/>
      <x:c r="Q1851" s="1"/>
      <x:c r="R1851" s="1"/>
      <x:c r="S1851" s="1"/>
      <x:c r="T1851" s="1"/>
      <x:c r="U1851" s="1"/>
      <x:c r="V1851" s="1"/>
    </x:row>
    <x:row r="1852">
      <x:c r="A1852" s="1"/>
      <x:c r="B1852" s="1"/>
      <x:c r="C1852" s="1"/>
      <x:c r="D1852" s="1"/>
      <x:c r="E1852" s="1"/>
      <x:c r="F1852" s="1"/>
      <x:c r="G1852" s="1"/>
      <x:c r="H1852" s="1"/>
      <x:c r="I1852" s="1"/>
      <x:c r="J1852" s="1"/>
      <x:c r="K1852" s="1"/>
      <x:c r="L1852" s="1"/>
      <x:c r="M1852" s="1"/>
      <x:c r="N1852" s="1"/>
      <x:c r="O1852" s="1"/>
      <x:c r="P1852" s="1"/>
      <x:c r="Q1852" s="1"/>
      <x:c r="R1852" s="1"/>
      <x:c r="S1852" s="1"/>
      <x:c r="T1852" s="1"/>
      <x:c r="U1852" s="1"/>
      <x:c r="V1852" s="1"/>
    </x:row>
    <x:row r="1853">
      <x:c r="A1853" s="1"/>
      <x:c r="B1853" s="1"/>
      <x:c r="C1853" s="1"/>
      <x:c r="D1853" s="1"/>
      <x:c r="E1853" s="1"/>
      <x:c r="F1853" s="1"/>
      <x:c r="G1853" s="1"/>
      <x:c r="H1853" s="1"/>
      <x:c r="I1853" s="1"/>
      <x:c r="J1853" s="1"/>
      <x:c r="K1853" s="1"/>
      <x:c r="L1853" s="1"/>
      <x:c r="M1853" s="1"/>
      <x:c r="N1853" s="1"/>
      <x:c r="O1853" s="1"/>
      <x:c r="P1853" s="1"/>
      <x:c r="Q1853" s="1"/>
      <x:c r="R1853" s="1"/>
      <x:c r="S1853" s="1"/>
      <x:c r="T1853" s="1"/>
      <x:c r="U1853" s="1"/>
      <x:c r="V1853" s="1"/>
    </x:row>
    <x:row r="1854">
      <x:c r="A1854" s="1"/>
      <x:c r="B1854" s="1"/>
      <x:c r="C1854" s="1"/>
      <x:c r="D1854" s="1"/>
      <x:c r="E1854" s="1"/>
      <x:c r="F1854" s="1"/>
      <x:c r="G1854" s="1"/>
      <x:c r="H1854" s="1"/>
      <x:c r="I1854" s="1"/>
      <x:c r="J1854" s="1"/>
      <x:c r="K1854" s="1"/>
      <x:c r="L1854" s="1"/>
      <x:c r="M1854" s="1"/>
      <x:c r="N1854" s="1"/>
      <x:c r="O1854" s="1"/>
      <x:c r="P1854" s="1"/>
      <x:c r="Q1854" s="1"/>
      <x:c r="R1854" s="1"/>
      <x:c r="S1854" s="1"/>
      <x:c r="T1854" s="1"/>
      <x:c r="U1854" s="1"/>
      <x:c r="V1854" s="1"/>
    </x:row>
    <x:row r="1855">
      <x:c r="A1855" s="1"/>
      <x:c r="B1855" s="1"/>
      <x:c r="C1855" s="1"/>
      <x:c r="D1855" s="1"/>
      <x:c r="E1855" s="1"/>
      <x:c r="F1855" s="1"/>
      <x:c r="G1855" s="1"/>
      <x:c r="H1855" s="1"/>
      <x:c r="I1855" s="1"/>
      <x:c r="J1855" s="1"/>
      <x:c r="K1855" s="1"/>
      <x:c r="L1855" s="1"/>
      <x:c r="M1855" s="1"/>
      <x:c r="N1855" s="1"/>
      <x:c r="O1855" s="1"/>
      <x:c r="P1855" s="1"/>
      <x:c r="Q1855" s="1"/>
      <x:c r="R1855" s="1"/>
      <x:c r="S1855" s="1"/>
      <x:c r="T1855" s="1"/>
      <x:c r="U1855" s="1"/>
      <x:c r="V1855" s="1"/>
    </x:row>
    <x:row r="1856">
      <x:c r="A1856" s="1"/>
      <x:c r="B1856" s="1"/>
      <x:c r="C1856" s="1"/>
      <x:c r="D1856" s="1"/>
      <x:c r="E1856" s="1"/>
      <x:c r="F1856" s="1"/>
      <x:c r="G1856" s="1"/>
      <x:c r="H1856" s="1"/>
      <x:c r="I1856" s="1"/>
      <x:c r="J1856" s="1"/>
      <x:c r="K1856" s="1"/>
      <x:c r="L1856" s="1"/>
      <x:c r="M1856" s="1"/>
      <x:c r="N1856" s="1"/>
      <x:c r="O1856" s="1"/>
      <x:c r="P1856" s="1"/>
      <x:c r="Q1856" s="1"/>
      <x:c r="R1856" s="1"/>
      <x:c r="S1856" s="1"/>
      <x:c r="T1856" s="1"/>
      <x:c r="U1856" s="1"/>
      <x:c r="V1856" s="1"/>
    </x:row>
    <x:row r="1857">
      <x:c r="A1857" s="1"/>
      <x:c r="B1857" s="1"/>
      <x:c r="C1857" s="1"/>
      <x:c r="D1857" s="1"/>
      <x:c r="E1857" s="1"/>
      <x:c r="F1857" s="1"/>
      <x:c r="G1857" s="1"/>
      <x:c r="H1857" s="1"/>
      <x:c r="I1857" s="1"/>
      <x:c r="J1857" s="1"/>
      <x:c r="K1857" s="1"/>
      <x:c r="L1857" s="1"/>
      <x:c r="M1857" s="1"/>
      <x:c r="N1857" s="1"/>
      <x:c r="O1857" s="1"/>
      <x:c r="P1857" s="1"/>
      <x:c r="Q1857" s="1"/>
      <x:c r="R1857" s="1"/>
      <x:c r="S1857" s="1"/>
      <x:c r="T1857" s="1"/>
      <x:c r="U1857" s="1"/>
      <x:c r="V1857" s="1"/>
    </x:row>
    <x:row r="1858">
      <x:c r="A1858" s="1"/>
      <x:c r="B1858" s="1"/>
      <x:c r="C1858" s="1"/>
      <x:c r="D1858" s="1"/>
      <x:c r="E1858" s="1"/>
      <x:c r="F1858" s="1"/>
      <x:c r="G1858" s="1"/>
      <x:c r="H1858" s="1"/>
      <x:c r="I1858" s="1"/>
      <x:c r="J1858" s="1"/>
      <x:c r="K1858" s="1"/>
      <x:c r="L1858" s="1"/>
      <x:c r="M1858" s="1"/>
      <x:c r="N1858" s="1"/>
      <x:c r="O1858" s="1"/>
      <x:c r="P1858" s="1"/>
      <x:c r="Q1858" s="1"/>
      <x:c r="R1858" s="1"/>
      <x:c r="S1858" s="1"/>
      <x:c r="T1858" s="1"/>
      <x:c r="U1858" s="1"/>
      <x:c r="V1858" s="1"/>
    </x:row>
    <x:row r="1859">
      <x:c r="A1859" s="1"/>
      <x:c r="B1859" s="1"/>
      <x:c r="C1859" s="1"/>
      <x:c r="D1859" s="1"/>
      <x:c r="E1859" s="1"/>
      <x:c r="F1859" s="1"/>
      <x:c r="G1859" s="1"/>
      <x:c r="H1859" s="1"/>
      <x:c r="I1859" s="1"/>
      <x:c r="J1859" s="1"/>
      <x:c r="K1859" s="1"/>
      <x:c r="L1859" s="1"/>
      <x:c r="M1859" s="1"/>
      <x:c r="N1859" s="1"/>
      <x:c r="O1859" s="1"/>
      <x:c r="P1859" s="1"/>
      <x:c r="Q1859" s="1"/>
      <x:c r="R1859" s="1"/>
      <x:c r="S1859" s="1"/>
      <x:c r="T1859" s="1"/>
      <x:c r="U1859" s="1"/>
      <x:c r="V1859" s="1"/>
    </x:row>
    <x:row r="1860">
      <x:c r="A1860" s="1"/>
      <x:c r="B1860" s="1"/>
      <x:c r="C1860" s="1"/>
      <x:c r="D1860" s="1"/>
      <x:c r="E1860" s="1"/>
      <x:c r="F1860" s="1"/>
      <x:c r="G1860" s="1"/>
      <x:c r="H1860" s="1"/>
      <x:c r="I1860" s="1"/>
      <x:c r="J1860" s="1"/>
      <x:c r="K1860" s="1"/>
      <x:c r="L1860" s="1"/>
      <x:c r="M1860" s="1"/>
      <x:c r="N1860" s="1"/>
      <x:c r="O1860" s="1"/>
      <x:c r="P1860" s="1"/>
      <x:c r="Q1860" s="1"/>
      <x:c r="R1860" s="1"/>
      <x:c r="S1860" s="1"/>
      <x:c r="T1860" s="1"/>
      <x:c r="U1860" s="1"/>
      <x:c r="V1860" s="1"/>
    </x:row>
    <x:row r="1861">
      <x:c r="A1861" s="1"/>
      <x:c r="B1861" s="1"/>
      <x:c r="C1861" s="1"/>
      <x:c r="D1861" s="1"/>
      <x:c r="E1861" s="1"/>
      <x:c r="F1861" s="1"/>
      <x:c r="G1861" s="1"/>
      <x:c r="H1861" s="1"/>
      <x:c r="I1861" s="1"/>
      <x:c r="J1861" s="1"/>
      <x:c r="K1861" s="1"/>
      <x:c r="L1861" s="1"/>
      <x:c r="M1861" s="1"/>
      <x:c r="N1861" s="1"/>
      <x:c r="O1861" s="1"/>
      <x:c r="P1861" s="1"/>
      <x:c r="Q1861" s="1"/>
      <x:c r="R1861" s="1"/>
      <x:c r="S1861" s="1"/>
      <x:c r="T1861" s="1"/>
      <x:c r="U1861" s="1"/>
      <x:c r="V1861" s="1"/>
    </x:row>
    <x:row r="1862">
      <x:c r="A1862" s="1"/>
      <x:c r="B1862" s="1"/>
      <x:c r="C1862" s="1"/>
      <x:c r="D1862" s="1"/>
      <x:c r="E1862" s="1"/>
      <x:c r="F1862" s="1"/>
      <x:c r="G1862" s="1"/>
      <x:c r="H1862" s="1"/>
      <x:c r="I1862" s="1"/>
      <x:c r="J1862" s="1"/>
      <x:c r="K1862" s="1"/>
      <x:c r="L1862" s="1"/>
      <x:c r="M1862" s="1"/>
      <x:c r="N1862" s="1"/>
      <x:c r="O1862" s="1"/>
      <x:c r="P1862" s="1"/>
      <x:c r="Q1862" s="1"/>
      <x:c r="R1862" s="1"/>
      <x:c r="S1862" s="1"/>
      <x:c r="T1862" s="1"/>
      <x:c r="U1862" s="1"/>
      <x:c r="V1862" s="1"/>
    </x:row>
    <x:row r="1863">
      <x:c r="A1863" s="1"/>
      <x:c r="B1863" s="1"/>
      <x:c r="C1863" s="1"/>
      <x:c r="D1863" s="1"/>
      <x:c r="E1863" s="1"/>
      <x:c r="F1863" s="1"/>
      <x:c r="G1863" s="1"/>
      <x:c r="H1863" s="1"/>
      <x:c r="I1863" s="1"/>
      <x:c r="J1863" s="1"/>
      <x:c r="K1863" s="1"/>
      <x:c r="L1863" s="1"/>
      <x:c r="M1863" s="1"/>
      <x:c r="N1863" s="1"/>
      <x:c r="O1863" s="1"/>
      <x:c r="P1863" s="1"/>
      <x:c r="Q1863" s="1"/>
      <x:c r="R1863" s="1"/>
      <x:c r="S1863" s="1"/>
      <x:c r="T1863" s="1"/>
      <x:c r="U1863" s="1"/>
      <x:c r="V1863" s="1"/>
    </x:row>
    <x:row r="1864">
      <x:c r="A1864" s="1"/>
      <x:c r="B1864" s="1"/>
      <x:c r="C1864" s="1"/>
      <x:c r="D1864" s="1"/>
      <x:c r="E1864" s="1"/>
      <x:c r="F1864" s="1"/>
      <x:c r="G1864" s="1"/>
      <x:c r="H1864" s="1"/>
      <x:c r="I1864" s="1"/>
      <x:c r="J1864" s="1"/>
      <x:c r="K1864" s="1"/>
      <x:c r="L1864" s="1"/>
      <x:c r="M1864" s="1"/>
      <x:c r="N1864" s="1"/>
      <x:c r="O1864" s="1"/>
      <x:c r="P1864" s="1"/>
      <x:c r="Q1864" s="1"/>
      <x:c r="R1864" s="1"/>
      <x:c r="S1864" s="1"/>
      <x:c r="T1864" s="1"/>
      <x:c r="U1864" s="1"/>
      <x:c r="V1864" s="1"/>
    </x:row>
    <x:row r="1865">
      <x:c r="A1865" s="1"/>
      <x:c r="B1865" s="1"/>
      <x:c r="C1865" s="1"/>
      <x:c r="D1865" s="1"/>
      <x:c r="E1865" s="1"/>
      <x:c r="F1865" s="1"/>
      <x:c r="G1865" s="1"/>
      <x:c r="H1865" s="1"/>
      <x:c r="I1865" s="1"/>
      <x:c r="J1865" s="1"/>
      <x:c r="K1865" s="1"/>
      <x:c r="L1865" s="1"/>
      <x:c r="M1865" s="1"/>
      <x:c r="N1865" s="1"/>
      <x:c r="O1865" s="1"/>
      <x:c r="P1865" s="1"/>
      <x:c r="Q1865" s="1"/>
      <x:c r="R1865" s="1"/>
      <x:c r="S1865" s="1"/>
      <x:c r="T1865" s="1"/>
      <x:c r="U1865" s="1"/>
      <x:c r="V1865" s="1"/>
    </x:row>
    <x:row r="1866">
      <x:c r="A1866" s="1"/>
      <x:c r="B1866" s="1"/>
      <x:c r="C1866" s="1"/>
      <x:c r="D1866" s="1"/>
      <x:c r="E1866" s="1"/>
      <x:c r="F1866" s="1"/>
      <x:c r="G1866" s="1"/>
      <x:c r="H1866" s="1"/>
      <x:c r="I1866" s="1"/>
      <x:c r="J1866" s="1"/>
      <x:c r="K1866" s="1"/>
      <x:c r="L1866" s="1"/>
      <x:c r="M1866" s="1"/>
      <x:c r="N1866" s="1"/>
      <x:c r="O1866" s="1"/>
      <x:c r="P1866" s="1"/>
      <x:c r="Q1866" s="1"/>
      <x:c r="R1866" s="1"/>
      <x:c r="S1866" s="1"/>
      <x:c r="T1866" s="1"/>
      <x:c r="U1866" s="1"/>
      <x:c r="V1866" s="1"/>
    </x:row>
    <x:row r="1867">
      <x:c r="A1867" s="1"/>
      <x:c r="B1867" s="1"/>
      <x:c r="C1867" s="1"/>
      <x:c r="D1867" s="1"/>
      <x:c r="E1867" s="1"/>
      <x:c r="F1867" s="1"/>
      <x:c r="G1867" s="1"/>
      <x:c r="H1867" s="1"/>
      <x:c r="I1867" s="1"/>
      <x:c r="J1867" s="1"/>
      <x:c r="K1867" s="1"/>
      <x:c r="L1867" s="1"/>
      <x:c r="M1867" s="1"/>
      <x:c r="N1867" s="1"/>
      <x:c r="O1867" s="1"/>
      <x:c r="P1867" s="1"/>
      <x:c r="Q1867" s="1"/>
      <x:c r="R1867" s="1"/>
      <x:c r="S1867" s="1"/>
      <x:c r="T1867" s="1"/>
      <x:c r="U1867" s="1"/>
      <x:c r="V1867" s="1"/>
    </x:row>
    <x:row r="1868">
      <x:c r="A1868" s="1"/>
      <x:c r="B1868" s="1"/>
      <x:c r="C1868" s="1"/>
      <x:c r="D1868" s="1"/>
      <x:c r="E1868" s="1"/>
      <x:c r="F1868" s="1"/>
      <x:c r="G1868" s="1"/>
      <x:c r="H1868" s="1"/>
      <x:c r="I1868" s="1"/>
      <x:c r="J1868" s="1"/>
      <x:c r="K1868" s="1"/>
      <x:c r="L1868" s="1"/>
      <x:c r="M1868" s="1"/>
      <x:c r="N1868" s="1"/>
      <x:c r="O1868" s="1"/>
      <x:c r="P1868" s="1"/>
      <x:c r="Q1868" s="1"/>
      <x:c r="R1868" s="1"/>
      <x:c r="S1868" s="1"/>
      <x:c r="T1868" s="1"/>
      <x:c r="U1868" s="1"/>
      <x:c r="V1868" s="1"/>
    </x:row>
    <x:row r="1869">
      <x:c r="A1869" s="1"/>
      <x:c r="B1869" s="1"/>
      <x:c r="C1869" s="1"/>
      <x:c r="D1869" s="1"/>
      <x:c r="E1869" s="1"/>
      <x:c r="F1869" s="1"/>
      <x:c r="G1869" s="1"/>
      <x:c r="H1869" s="1"/>
      <x:c r="I1869" s="1"/>
      <x:c r="J1869" s="1"/>
      <x:c r="K1869" s="1"/>
      <x:c r="L1869" s="1"/>
      <x:c r="M1869" s="1"/>
      <x:c r="N1869" s="1"/>
      <x:c r="O1869" s="1"/>
      <x:c r="P1869" s="1"/>
      <x:c r="Q1869" s="1"/>
      <x:c r="R1869" s="1"/>
      <x:c r="S1869" s="1"/>
      <x:c r="T1869" s="1"/>
      <x:c r="U1869" s="1"/>
      <x:c r="V1869" s="1"/>
    </x:row>
    <x:row r="1870">
      <x:c r="A1870" s="1"/>
      <x:c r="B1870" s="1"/>
      <x:c r="C1870" s="1"/>
      <x:c r="D1870" s="1"/>
      <x:c r="E1870" s="1"/>
      <x:c r="F1870" s="1"/>
      <x:c r="G1870" s="1"/>
      <x:c r="H1870" s="1"/>
      <x:c r="I1870" s="1"/>
      <x:c r="J1870" s="1"/>
      <x:c r="K1870" s="1"/>
      <x:c r="L1870" s="1"/>
      <x:c r="M1870" s="1"/>
      <x:c r="N1870" s="1"/>
      <x:c r="O1870" s="1"/>
      <x:c r="P1870" s="1"/>
      <x:c r="Q1870" s="1"/>
      <x:c r="R1870" s="1"/>
      <x:c r="S1870" s="1"/>
      <x:c r="T1870" s="1"/>
      <x:c r="U1870" s="1"/>
      <x:c r="V1870" s="1"/>
    </x:row>
    <x:row r="1871">
      <x:c r="A1871" s="1"/>
      <x:c r="B1871" s="1"/>
      <x:c r="C1871" s="1"/>
      <x:c r="D1871" s="1"/>
      <x:c r="E1871" s="1"/>
      <x:c r="F1871" s="1"/>
      <x:c r="G1871" s="1"/>
      <x:c r="H1871" s="1"/>
      <x:c r="I1871" s="1"/>
      <x:c r="J1871" s="1"/>
      <x:c r="K1871" s="1"/>
      <x:c r="L1871" s="1"/>
      <x:c r="M1871" s="1"/>
      <x:c r="N1871" s="1"/>
      <x:c r="O1871" s="1"/>
      <x:c r="P1871" s="1"/>
      <x:c r="Q1871" s="1"/>
      <x:c r="R1871" s="1"/>
      <x:c r="S1871" s="1"/>
      <x:c r="T1871" s="1"/>
      <x:c r="U1871" s="1"/>
      <x:c r="V1871" s="1"/>
    </x:row>
    <x:row r="1872">
      <x:c r="A1872" s="1"/>
      <x:c r="B1872" s="1"/>
      <x:c r="C1872" s="1"/>
      <x:c r="D1872" s="1"/>
      <x:c r="E1872" s="1"/>
      <x:c r="F1872" s="1"/>
      <x:c r="G1872" s="1"/>
      <x:c r="H1872" s="1"/>
      <x:c r="I1872" s="1"/>
      <x:c r="J1872" s="1"/>
      <x:c r="K1872" s="1"/>
      <x:c r="L1872" s="1"/>
      <x:c r="M1872" s="1"/>
      <x:c r="N1872" s="1"/>
      <x:c r="O1872" s="1"/>
      <x:c r="P1872" s="1"/>
      <x:c r="Q1872" s="1"/>
      <x:c r="R1872" s="1"/>
      <x:c r="S1872" s="1"/>
      <x:c r="T1872" s="1"/>
      <x:c r="U1872" s="1"/>
      <x:c r="V1872" s="1"/>
    </x:row>
    <x:row r="1873">
      <x:c r="A1873" s="1"/>
      <x:c r="B1873" s="1"/>
      <x:c r="C1873" s="1"/>
      <x:c r="D1873" s="1"/>
      <x:c r="E1873" s="1"/>
      <x:c r="F1873" s="1"/>
      <x:c r="G1873" s="1"/>
      <x:c r="H1873" s="1"/>
      <x:c r="I1873" s="1"/>
      <x:c r="J1873" s="1"/>
      <x:c r="K1873" s="1"/>
      <x:c r="L1873" s="1"/>
      <x:c r="M1873" s="1"/>
      <x:c r="N1873" s="1"/>
      <x:c r="O1873" s="1"/>
      <x:c r="P1873" s="1"/>
      <x:c r="Q1873" s="1"/>
      <x:c r="R1873" s="1"/>
      <x:c r="S1873" s="1"/>
      <x:c r="T1873" s="1"/>
      <x:c r="U1873" s="1"/>
      <x:c r="V1873" s="1"/>
    </x:row>
    <x:row r="1874">
      <x:c r="A1874" s="1"/>
      <x:c r="B1874" s="1"/>
      <x:c r="C1874" s="1"/>
      <x:c r="D1874" s="1"/>
      <x:c r="E1874" s="1"/>
      <x:c r="F1874" s="1"/>
      <x:c r="G1874" s="1"/>
      <x:c r="H1874" s="1"/>
      <x:c r="I1874" s="1"/>
      <x:c r="J1874" s="1"/>
      <x:c r="K1874" s="1"/>
      <x:c r="L1874" s="1"/>
      <x:c r="M1874" s="1"/>
      <x:c r="N1874" s="1"/>
      <x:c r="O1874" s="1"/>
      <x:c r="P1874" s="1"/>
      <x:c r="Q1874" s="1"/>
      <x:c r="R1874" s="1"/>
      <x:c r="S1874" s="1"/>
      <x:c r="T1874" s="1"/>
      <x:c r="U1874" s="1"/>
      <x:c r="V1874" s="1"/>
    </x:row>
    <x:row r="1875">
      <x:c r="A1875" s="1"/>
      <x:c r="B1875" s="1"/>
      <x:c r="C1875" s="1"/>
      <x:c r="D1875" s="1"/>
      <x:c r="E1875" s="1"/>
      <x:c r="F1875" s="1"/>
      <x:c r="G1875" s="1"/>
      <x:c r="H1875" s="1"/>
      <x:c r="I1875" s="1"/>
      <x:c r="J1875" s="1"/>
      <x:c r="K1875" s="1"/>
      <x:c r="L1875" s="1"/>
      <x:c r="M1875" s="1"/>
      <x:c r="N1875" s="1"/>
      <x:c r="O1875" s="1"/>
      <x:c r="P1875" s="1"/>
      <x:c r="Q1875" s="1"/>
      <x:c r="R1875" s="1"/>
      <x:c r="S1875" s="1"/>
      <x:c r="T1875" s="1"/>
      <x:c r="U1875" s="1"/>
      <x:c r="V1875" s="1"/>
    </x:row>
    <x:row r="1876">
      <x:c r="A1876" s="1"/>
      <x:c r="B1876" s="1"/>
      <x:c r="C1876" s="1"/>
      <x:c r="D1876" s="1"/>
      <x:c r="E1876" s="1"/>
      <x:c r="F1876" s="1"/>
      <x:c r="G1876" s="1"/>
      <x:c r="H1876" s="1"/>
      <x:c r="I1876" s="1"/>
      <x:c r="J1876" s="1"/>
      <x:c r="K1876" s="1"/>
      <x:c r="L1876" s="1"/>
      <x:c r="M1876" s="1"/>
      <x:c r="N1876" s="1"/>
      <x:c r="O1876" s="1"/>
      <x:c r="P1876" s="1"/>
      <x:c r="Q1876" s="1"/>
      <x:c r="R1876" s="1"/>
      <x:c r="S1876" s="1"/>
      <x:c r="T1876" s="1"/>
      <x:c r="U1876" s="1"/>
      <x:c r="V1876" s="1"/>
    </x:row>
    <x:row r="1877">
      <x:c r="A1877" s="1"/>
      <x:c r="B1877" s="1"/>
      <x:c r="C1877" s="1"/>
      <x:c r="D1877" s="1"/>
      <x:c r="E1877" s="1"/>
      <x:c r="F1877" s="1"/>
      <x:c r="G1877" s="1"/>
      <x:c r="H1877" s="1"/>
      <x:c r="I1877" s="1"/>
      <x:c r="J1877" s="1"/>
      <x:c r="K1877" s="1"/>
      <x:c r="L1877" s="1"/>
      <x:c r="M1877" s="1"/>
      <x:c r="N1877" s="1"/>
      <x:c r="O1877" s="1"/>
      <x:c r="P1877" s="1"/>
      <x:c r="Q1877" s="1"/>
      <x:c r="R1877" s="1"/>
      <x:c r="S1877" s="1"/>
      <x:c r="T1877" s="1"/>
      <x:c r="U1877" s="1"/>
      <x:c r="V1877" s="1"/>
    </x:row>
    <x:row r="1878">
      <x:c r="A1878" s="1"/>
      <x:c r="B1878" s="1"/>
      <x:c r="C1878" s="1"/>
      <x:c r="D1878" s="1"/>
      <x:c r="E1878" s="1"/>
      <x:c r="F1878" s="1"/>
      <x:c r="G1878" s="1"/>
      <x:c r="H1878" s="1"/>
      <x:c r="I1878" s="1"/>
      <x:c r="J1878" s="1"/>
      <x:c r="K1878" s="1"/>
      <x:c r="L1878" s="1"/>
      <x:c r="M1878" s="1"/>
      <x:c r="N1878" s="1"/>
      <x:c r="O1878" s="1"/>
      <x:c r="P1878" s="1"/>
      <x:c r="Q1878" s="1"/>
      <x:c r="R1878" s="1"/>
      <x:c r="S1878" s="1"/>
      <x:c r="T1878" s="1"/>
      <x:c r="U1878" s="1"/>
      <x:c r="V1878" s="1"/>
    </x:row>
    <x:row r="1879">
      <x:c r="A1879" s="1"/>
      <x:c r="B1879" s="1"/>
      <x:c r="C1879" s="1"/>
      <x:c r="D1879" s="1"/>
      <x:c r="E1879" s="1"/>
      <x:c r="F1879" s="1"/>
      <x:c r="G1879" s="1"/>
      <x:c r="H1879" s="1"/>
      <x:c r="I1879" s="1"/>
      <x:c r="J1879" s="1"/>
      <x:c r="K1879" s="1"/>
      <x:c r="L1879" s="1"/>
      <x:c r="M1879" s="1"/>
      <x:c r="N1879" s="1"/>
      <x:c r="O1879" s="1"/>
      <x:c r="P1879" s="1"/>
      <x:c r="Q1879" s="1"/>
      <x:c r="R1879" s="1"/>
      <x:c r="S1879" s="1"/>
      <x:c r="T1879" s="1"/>
      <x:c r="U1879" s="1"/>
      <x:c r="V1879" s="1"/>
    </x:row>
    <x:row r="1880">
      <x:c r="A1880" s="1"/>
      <x:c r="B1880" s="1"/>
      <x:c r="C1880" s="1"/>
      <x:c r="D1880" s="1"/>
      <x:c r="E1880" s="1"/>
      <x:c r="F1880" s="1"/>
      <x:c r="G1880" s="1"/>
      <x:c r="H1880" s="1"/>
      <x:c r="I1880" s="1"/>
      <x:c r="J1880" s="1"/>
      <x:c r="K1880" s="1"/>
      <x:c r="L1880" s="1"/>
      <x:c r="M1880" s="1"/>
      <x:c r="N1880" s="1"/>
      <x:c r="O1880" s="1"/>
      <x:c r="P1880" s="1"/>
      <x:c r="Q1880" s="1"/>
      <x:c r="R1880" s="1"/>
      <x:c r="S1880" s="1"/>
      <x:c r="T1880" s="1"/>
      <x:c r="U1880" s="1"/>
      <x:c r="V1880" s="1"/>
    </x:row>
    <x:row r="1881">
      <x:c r="A1881" s="1"/>
      <x:c r="B1881" s="1"/>
      <x:c r="C1881" s="1"/>
      <x:c r="D1881" s="1"/>
      <x:c r="E1881" s="1"/>
      <x:c r="F1881" s="1"/>
      <x:c r="G1881" s="1"/>
      <x:c r="H1881" s="1"/>
      <x:c r="I1881" s="1"/>
      <x:c r="J1881" s="1"/>
      <x:c r="K1881" s="1"/>
      <x:c r="L1881" s="1"/>
      <x:c r="M1881" s="1"/>
      <x:c r="N1881" s="1"/>
      <x:c r="O1881" s="1"/>
      <x:c r="P1881" s="1"/>
      <x:c r="Q1881" s="1"/>
      <x:c r="R1881" s="1"/>
      <x:c r="S1881" s="1"/>
      <x:c r="T1881" s="1"/>
      <x:c r="U1881" s="1"/>
      <x:c r="V1881" s="1"/>
    </x:row>
    <x:row r="1882">
      <x:c r="A1882" s="1"/>
      <x:c r="B1882" s="1"/>
      <x:c r="C1882" s="1"/>
      <x:c r="D1882" s="1"/>
      <x:c r="E1882" s="1"/>
      <x:c r="F1882" s="1"/>
      <x:c r="G1882" s="1"/>
      <x:c r="H1882" s="1"/>
      <x:c r="I1882" s="1"/>
      <x:c r="J1882" s="1"/>
      <x:c r="K1882" s="1"/>
      <x:c r="L1882" s="1"/>
      <x:c r="M1882" s="1"/>
      <x:c r="N1882" s="1"/>
      <x:c r="O1882" s="1"/>
      <x:c r="P1882" s="1"/>
      <x:c r="Q1882" s="1"/>
      <x:c r="R1882" s="1"/>
      <x:c r="S1882" s="1"/>
      <x:c r="T1882" s="1"/>
      <x:c r="U1882" s="1"/>
      <x:c r="V1882" s="1"/>
    </x:row>
    <x:row r="1883">
      <x:c r="A1883" s="1"/>
      <x:c r="B1883" s="1"/>
      <x:c r="C1883" s="1"/>
      <x:c r="D1883" s="1"/>
      <x:c r="E1883" s="1"/>
      <x:c r="F1883" s="1"/>
      <x:c r="G1883" s="1"/>
      <x:c r="H1883" s="1"/>
      <x:c r="I1883" s="1"/>
      <x:c r="J1883" s="1"/>
      <x:c r="K1883" s="1"/>
      <x:c r="L1883" s="1"/>
      <x:c r="M1883" s="1"/>
      <x:c r="N1883" s="1"/>
      <x:c r="O1883" s="1"/>
      <x:c r="P1883" s="1"/>
      <x:c r="Q1883" s="1"/>
      <x:c r="R1883" s="1"/>
      <x:c r="S1883" s="1"/>
      <x:c r="T1883" s="1"/>
      <x:c r="U1883" s="1"/>
      <x:c r="V1883" s="1"/>
    </x:row>
    <x:row r="1884">
      <x:c r="A1884" s="1"/>
      <x:c r="B1884" s="1"/>
      <x:c r="C1884" s="1"/>
      <x:c r="D1884" s="1"/>
      <x:c r="E1884" s="1"/>
      <x:c r="F1884" s="1"/>
      <x:c r="G1884" s="1"/>
      <x:c r="H1884" s="1"/>
      <x:c r="I1884" s="1"/>
      <x:c r="J1884" s="1"/>
      <x:c r="K1884" s="1"/>
      <x:c r="L1884" s="1"/>
      <x:c r="M1884" s="1"/>
      <x:c r="N1884" s="1"/>
      <x:c r="O1884" s="1"/>
      <x:c r="P1884" s="1"/>
      <x:c r="Q1884" s="1"/>
      <x:c r="R1884" s="1"/>
      <x:c r="S1884" s="1"/>
      <x:c r="T1884" s="1"/>
      <x:c r="U1884" s="1"/>
      <x:c r="V1884" s="1"/>
    </x:row>
    <x:row r="1885">
      <x:c r="A1885" s="1"/>
      <x:c r="B1885" s="1"/>
      <x:c r="C1885" s="1"/>
      <x:c r="D1885" s="1"/>
      <x:c r="E1885" s="1"/>
      <x:c r="F1885" s="1"/>
      <x:c r="G1885" s="1"/>
      <x:c r="H1885" s="1"/>
      <x:c r="I1885" s="1"/>
      <x:c r="J1885" s="1"/>
      <x:c r="K1885" s="1"/>
      <x:c r="L1885" s="1"/>
      <x:c r="M1885" s="1"/>
      <x:c r="N1885" s="1"/>
      <x:c r="O1885" s="1"/>
      <x:c r="P1885" s="1"/>
      <x:c r="Q1885" s="1"/>
      <x:c r="R1885" s="1"/>
      <x:c r="S1885" s="1"/>
      <x:c r="T1885" s="1"/>
      <x:c r="U1885" s="1"/>
      <x:c r="V1885" s="1"/>
    </x:row>
    <x:row r="1886">
      <x:c r="A1886" s="1"/>
      <x:c r="B1886" s="1"/>
      <x:c r="C1886" s="1"/>
      <x:c r="D1886" s="1"/>
      <x:c r="E1886" s="1"/>
      <x:c r="F1886" s="1"/>
      <x:c r="G1886" s="1"/>
      <x:c r="H1886" s="1"/>
      <x:c r="I1886" s="1"/>
      <x:c r="J1886" s="1"/>
      <x:c r="K1886" s="1"/>
      <x:c r="L1886" s="1"/>
      <x:c r="M1886" s="1"/>
      <x:c r="N1886" s="1"/>
      <x:c r="O1886" s="1"/>
      <x:c r="P1886" s="1"/>
      <x:c r="Q1886" s="1"/>
      <x:c r="R1886" s="1"/>
      <x:c r="S1886" s="1"/>
      <x:c r="T1886" s="1"/>
      <x:c r="U1886" s="1"/>
      <x:c r="V1886" s="1"/>
    </x:row>
    <x:row r="1887">
      <x:c r="A1887" s="1"/>
      <x:c r="B1887" s="1"/>
      <x:c r="C1887" s="1"/>
      <x:c r="D1887" s="1"/>
      <x:c r="E1887" s="1"/>
      <x:c r="F1887" s="1"/>
      <x:c r="G1887" s="1"/>
      <x:c r="H1887" s="1"/>
      <x:c r="I1887" s="1"/>
      <x:c r="J1887" s="1"/>
      <x:c r="K1887" s="1"/>
      <x:c r="L1887" s="1"/>
      <x:c r="M1887" s="1"/>
      <x:c r="N1887" s="1"/>
      <x:c r="O1887" s="1"/>
      <x:c r="P1887" s="1"/>
      <x:c r="Q1887" s="1"/>
      <x:c r="R1887" s="1"/>
      <x:c r="S1887" s="1"/>
      <x:c r="T1887" s="1"/>
      <x:c r="U1887" s="1"/>
      <x:c r="V1887" s="1"/>
    </x:row>
    <x:row r="1888">
      <x:c r="A1888" s="1"/>
      <x:c r="B1888" s="1"/>
      <x:c r="C1888" s="1"/>
      <x:c r="D1888" s="1"/>
      <x:c r="E1888" s="1"/>
      <x:c r="F1888" s="1"/>
      <x:c r="G1888" s="1"/>
      <x:c r="H1888" s="1"/>
      <x:c r="I1888" s="1"/>
      <x:c r="J1888" s="1"/>
      <x:c r="K1888" s="1"/>
      <x:c r="L1888" s="1"/>
      <x:c r="M1888" s="1"/>
      <x:c r="N1888" s="1"/>
      <x:c r="O1888" s="1"/>
      <x:c r="P1888" s="1"/>
      <x:c r="Q1888" s="1"/>
      <x:c r="R1888" s="1"/>
      <x:c r="S1888" s="1"/>
      <x:c r="T1888" s="1"/>
      <x:c r="U1888" s="1"/>
      <x:c r="V1888" s="1"/>
    </x:row>
    <x:row r="1889">
      <x:c r="A1889" s="1"/>
      <x:c r="B1889" s="1"/>
      <x:c r="C1889" s="1"/>
      <x:c r="D1889" s="1"/>
      <x:c r="E1889" s="1"/>
      <x:c r="F1889" s="1"/>
      <x:c r="G1889" s="1"/>
      <x:c r="H1889" s="1"/>
      <x:c r="I1889" s="1"/>
      <x:c r="J1889" s="1"/>
      <x:c r="K1889" s="1"/>
      <x:c r="L1889" s="1"/>
      <x:c r="M1889" s="1"/>
      <x:c r="N1889" s="1"/>
      <x:c r="O1889" s="1"/>
      <x:c r="P1889" s="1"/>
      <x:c r="Q1889" s="1"/>
      <x:c r="R1889" s="1"/>
      <x:c r="S1889" s="1"/>
      <x:c r="T1889" s="1"/>
      <x:c r="U1889" s="1"/>
      <x:c r="V1889" s="1"/>
    </x:row>
    <x:row r="1890">
      <x:c r="A1890" s="1"/>
      <x:c r="B1890" s="1"/>
      <x:c r="C1890" s="1"/>
      <x:c r="D1890" s="1"/>
      <x:c r="E1890" s="1"/>
      <x:c r="F1890" s="1"/>
      <x:c r="G1890" s="1"/>
      <x:c r="H1890" s="1"/>
      <x:c r="I1890" s="1"/>
      <x:c r="J1890" s="1"/>
      <x:c r="K1890" s="1"/>
      <x:c r="L1890" s="1"/>
      <x:c r="M1890" s="1"/>
      <x:c r="N1890" s="1"/>
      <x:c r="O1890" s="1"/>
      <x:c r="P1890" s="1"/>
      <x:c r="Q1890" s="1"/>
      <x:c r="R1890" s="1"/>
      <x:c r="S1890" s="1"/>
      <x:c r="T1890" s="1"/>
      <x:c r="U1890" s="1"/>
      <x:c r="V1890" s="1"/>
    </x:row>
    <x:row r="1891">
      <x:c r="A1891" s="1"/>
      <x:c r="B1891" s="1"/>
      <x:c r="C1891" s="1"/>
      <x:c r="D1891" s="1"/>
      <x:c r="E1891" s="1"/>
      <x:c r="F1891" s="1"/>
      <x:c r="G1891" s="1"/>
      <x:c r="H1891" s="1"/>
      <x:c r="I1891" s="1"/>
      <x:c r="J1891" s="1"/>
      <x:c r="K1891" s="1"/>
      <x:c r="L1891" s="1"/>
      <x:c r="M1891" s="1"/>
      <x:c r="N1891" s="1"/>
      <x:c r="O1891" s="1"/>
      <x:c r="P1891" s="1"/>
      <x:c r="Q1891" s="1"/>
      <x:c r="R1891" s="1"/>
      <x:c r="S1891" s="1"/>
      <x:c r="T1891" s="1"/>
      <x:c r="U1891" s="1"/>
      <x:c r="V1891" s="1"/>
    </x:row>
    <x:row r="1892">
      <x:c r="A1892" s="1"/>
      <x:c r="B1892" s="1"/>
      <x:c r="C1892" s="1"/>
      <x:c r="D1892" s="1"/>
      <x:c r="E1892" s="1"/>
      <x:c r="F1892" s="1"/>
      <x:c r="G1892" s="1"/>
      <x:c r="H1892" s="1"/>
      <x:c r="I1892" s="1"/>
      <x:c r="J1892" s="1"/>
      <x:c r="K1892" s="1"/>
      <x:c r="L1892" s="1"/>
      <x:c r="M1892" s="1"/>
      <x:c r="N1892" s="1"/>
      <x:c r="O1892" s="1"/>
      <x:c r="P1892" s="1"/>
      <x:c r="Q1892" s="1"/>
      <x:c r="R1892" s="1"/>
      <x:c r="S1892" s="1"/>
      <x:c r="T1892" s="1"/>
      <x:c r="U1892" s="1"/>
      <x:c r="V1892" s="1"/>
    </x:row>
    <x:row r="1893">
      <x:c r="A1893" s="1"/>
      <x:c r="B1893" s="1"/>
      <x:c r="C1893" s="1"/>
      <x:c r="D1893" s="1"/>
      <x:c r="E1893" s="1"/>
      <x:c r="F1893" s="1"/>
      <x:c r="G1893" s="1"/>
      <x:c r="H1893" s="1"/>
      <x:c r="I1893" s="1"/>
      <x:c r="J1893" s="1"/>
      <x:c r="K1893" s="1"/>
      <x:c r="L1893" s="1"/>
      <x:c r="M1893" s="1"/>
      <x:c r="N1893" s="1"/>
      <x:c r="O1893" s="1"/>
      <x:c r="P1893" s="1"/>
      <x:c r="Q1893" s="1"/>
      <x:c r="R1893" s="1"/>
      <x:c r="S1893" s="1"/>
      <x:c r="T1893" s="1"/>
      <x:c r="U1893" s="1"/>
      <x:c r="V1893" s="1"/>
    </x:row>
    <x:row r="1894">
      <x:c r="A1894" s="1"/>
      <x:c r="B1894" s="1"/>
      <x:c r="C1894" s="1"/>
      <x:c r="D1894" s="1"/>
      <x:c r="E1894" s="1"/>
      <x:c r="F1894" s="1"/>
      <x:c r="G1894" s="1"/>
      <x:c r="H1894" s="1"/>
      <x:c r="I1894" s="1"/>
      <x:c r="J1894" s="1"/>
      <x:c r="K1894" s="1"/>
      <x:c r="L1894" s="1"/>
      <x:c r="M1894" s="1"/>
      <x:c r="N1894" s="1"/>
      <x:c r="O1894" s="1"/>
      <x:c r="P1894" s="1"/>
      <x:c r="Q1894" s="1"/>
      <x:c r="R1894" s="1"/>
      <x:c r="S1894" s="1"/>
      <x:c r="T1894" s="1"/>
      <x:c r="U1894" s="1"/>
      <x:c r="V1894" s="1"/>
    </x:row>
    <x:row r="1895">
      <x:c r="A1895" s="1"/>
      <x:c r="B1895" s="1"/>
      <x:c r="C1895" s="1"/>
      <x:c r="D1895" s="1"/>
      <x:c r="E1895" s="1"/>
      <x:c r="F1895" s="1"/>
      <x:c r="G1895" s="1"/>
      <x:c r="H1895" s="1"/>
      <x:c r="I1895" s="1"/>
      <x:c r="J1895" s="1"/>
      <x:c r="K1895" s="1"/>
      <x:c r="L1895" s="1"/>
      <x:c r="M1895" s="1"/>
      <x:c r="N1895" s="1"/>
      <x:c r="O1895" s="1"/>
      <x:c r="P1895" s="1"/>
      <x:c r="Q1895" s="1"/>
      <x:c r="R1895" s="1"/>
      <x:c r="S1895" s="1"/>
      <x:c r="T1895" s="1"/>
      <x:c r="U1895" s="1"/>
      <x:c r="V1895" s="1"/>
    </x:row>
    <x:row r="1896">
      <x:c r="A1896" s="1"/>
      <x:c r="B1896" s="1"/>
      <x:c r="C1896" s="1"/>
      <x:c r="D1896" s="1"/>
      <x:c r="E1896" s="1"/>
      <x:c r="F1896" s="1"/>
      <x:c r="G1896" s="1"/>
      <x:c r="H1896" s="1"/>
      <x:c r="I1896" s="1"/>
      <x:c r="J1896" s="1"/>
      <x:c r="K1896" s="1"/>
      <x:c r="L1896" s="1"/>
      <x:c r="M1896" s="1"/>
      <x:c r="N1896" s="1"/>
      <x:c r="O1896" s="1"/>
      <x:c r="P1896" s="1"/>
      <x:c r="Q1896" s="1"/>
      <x:c r="R1896" s="1"/>
      <x:c r="S1896" s="1"/>
      <x:c r="T1896" s="1"/>
      <x:c r="U1896" s="1"/>
      <x:c r="V1896" s="1"/>
    </x:row>
    <x:row r="1897">
      <x:c r="A1897" s="1"/>
      <x:c r="B1897" s="1"/>
      <x:c r="C1897" s="1"/>
      <x:c r="D1897" s="1"/>
      <x:c r="E1897" s="1"/>
      <x:c r="F1897" s="1"/>
      <x:c r="G1897" s="1"/>
      <x:c r="H1897" s="1"/>
      <x:c r="I1897" s="1"/>
      <x:c r="J1897" s="1"/>
      <x:c r="K1897" s="1"/>
      <x:c r="L1897" s="1"/>
      <x:c r="M1897" s="1"/>
      <x:c r="N1897" s="1"/>
      <x:c r="O1897" s="1"/>
      <x:c r="P1897" s="1"/>
      <x:c r="Q1897" s="1"/>
      <x:c r="R1897" s="1"/>
      <x:c r="S1897" s="1"/>
      <x:c r="T1897" s="1"/>
      <x:c r="U1897" s="1"/>
      <x:c r="V1897" s="1"/>
    </x:row>
    <x:row r="1898">
      <x:c r="A1898" s="1"/>
      <x:c r="B1898" s="1"/>
      <x:c r="C1898" s="1"/>
      <x:c r="D1898" s="1"/>
      <x:c r="E1898" s="1"/>
      <x:c r="F1898" s="1"/>
      <x:c r="G1898" s="1"/>
      <x:c r="H1898" s="1"/>
      <x:c r="I1898" s="1"/>
      <x:c r="J1898" s="1"/>
      <x:c r="K1898" s="1"/>
      <x:c r="L1898" s="1"/>
      <x:c r="M1898" s="1"/>
      <x:c r="N1898" s="1"/>
      <x:c r="O1898" s="1"/>
      <x:c r="P1898" s="1"/>
      <x:c r="Q1898" s="1"/>
      <x:c r="R1898" s="1"/>
      <x:c r="S1898" s="1"/>
      <x:c r="T1898" s="1"/>
      <x:c r="U1898" s="1"/>
      <x:c r="V1898" s="1"/>
    </x:row>
    <x:row r="1899">
      <x:c r="A1899" s="1"/>
      <x:c r="B1899" s="1"/>
      <x:c r="C1899" s="1"/>
      <x:c r="D1899" s="1"/>
      <x:c r="E1899" s="1"/>
      <x:c r="F1899" s="1"/>
      <x:c r="G1899" s="1"/>
      <x:c r="H1899" s="1"/>
      <x:c r="I1899" s="1"/>
      <x:c r="J1899" s="1"/>
      <x:c r="K1899" s="1"/>
      <x:c r="L1899" s="1"/>
      <x:c r="M1899" s="1"/>
      <x:c r="N1899" s="1"/>
      <x:c r="O1899" s="1"/>
      <x:c r="P1899" s="1"/>
      <x:c r="Q1899" s="1"/>
      <x:c r="R1899" s="1"/>
      <x:c r="S1899" s="1"/>
      <x:c r="T1899" s="1"/>
      <x:c r="U1899" s="1"/>
      <x:c r="V1899" s="1"/>
    </x:row>
    <x:row r="1900">
      <x:c r="A1900" s="1"/>
      <x:c r="B1900" s="1"/>
      <x:c r="C1900" s="1"/>
      <x:c r="D1900" s="1"/>
      <x:c r="E1900" s="1"/>
      <x:c r="F1900" s="1"/>
      <x:c r="G1900" s="1"/>
      <x:c r="H1900" s="1"/>
      <x:c r="I1900" s="1"/>
      <x:c r="J1900" s="1"/>
      <x:c r="K1900" s="1"/>
      <x:c r="L1900" s="1"/>
      <x:c r="M1900" s="1"/>
      <x:c r="N1900" s="1"/>
      <x:c r="O1900" s="1"/>
      <x:c r="P1900" s="1"/>
      <x:c r="Q1900" s="1"/>
      <x:c r="R1900" s="1"/>
      <x:c r="S1900" s="1"/>
      <x:c r="T1900" s="1"/>
      <x:c r="U1900" s="1"/>
      <x:c r="V1900" s="1"/>
    </x:row>
    <x:row r="1901">
      <x:c r="A1901" s="1"/>
      <x:c r="B1901" s="1"/>
      <x:c r="C1901" s="1"/>
      <x:c r="D1901" s="1"/>
      <x:c r="E1901" s="1"/>
      <x:c r="F1901" s="1"/>
      <x:c r="G1901" s="1"/>
      <x:c r="H1901" s="1"/>
      <x:c r="I1901" s="1"/>
      <x:c r="J1901" s="1"/>
      <x:c r="K1901" s="1"/>
      <x:c r="L1901" s="1"/>
      <x:c r="M1901" s="1"/>
      <x:c r="N1901" s="1"/>
      <x:c r="O1901" s="1"/>
      <x:c r="P1901" s="1"/>
      <x:c r="Q1901" s="1"/>
      <x:c r="R1901" s="1"/>
      <x:c r="S1901" s="1"/>
      <x:c r="T1901" s="1"/>
      <x:c r="U1901" s="1"/>
      <x:c r="V1901" s="1"/>
    </x:row>
    <x:row r="1902">
      <x:c r="A1902" s="1"/>
      <x:c r="B1902" s="1"/>
      <x:c r="C1902" s="1"/>
      <x:c r="D1902" s="1"/>
      <x:c r="E1902" s="1"/>
      <x:c r="F1902" s="1"/>
      <x:c r="G1902" s="1"/>
      <x:c r="H1902" s="1"/>
      <x:c r="I1902" s="1"/>
      <x:c r="J1902" s="1"/>
      <x:c r="K1902" s="1"/>
      <x:c r="L1902" s="1"/>
      <x:c r="M1902" s="1"/>
      <x:c r="N1902" s="1"/>
      <x:c r="O1902" s="1"/>
      <x:c r="P1902" s="1"/>
      <x:c r="Q1902" s="1"/>
      <x:c r="R1902" s="1"/>
      <x:c r="S1902" s="1"/>
      <x:c r="T1902" s="1"/>
      <x:c r="U1902" s="1"/>
      <x:c r="V1902" s="1"/>
    </x:row>
    <x:row r="1903">
      <x:c r="A1903" s="1"/>
      <x:c r="B1903" s="1"/>
      <x:c r="C1903" s="1"/>
      <x:c r="D1903" s="1"/>
      <x:c r="E1903" s="1"/>
      <x:c r="F1903" s="1"/>
      <x:c r="G1903" s="1"/>
      <x:c r="H1903" s="1"/>
      <x:c r="I1903" s="1"/>
      <x:c r="J1903" s="1"/>
      <x:c r="K1903" s="1"/>
      <x:c r="L1903" s="1"/>
      <x:c r="M1903" s="1"/>
      <x:c r="N1903" s="1"/>
      <x:c r="O1903" s="1"/>
      <x:c r="P1903" s="1"/>
      <x:c r="Q1903" s="1"/>
      <x:c r="R1903" s="1"/>
      <x:c r="S1903" s="1"/>
      <x:c r="T1903" s="1"/>
      <x:c r="U1903" s="1"/>
      <x:c r="V1903" s="1"/>
    </x:row>
    <x:row r="1904">
      <x:c r="A1904" s="1"/>
      <x:c r="B1904" s="1"/>
      <x:c r="C1904" s="1"/>
      <x:c r="D1904" s="1"/>
      <x:c r="E1904" s="1"/>
      <x:c r="F1904" s="1"/>
      <x:c r="G1904" s="1"/>
      <x:c r="H1904" s="1"/>
      <x:c r="I1904" s="1"/>
      <x:c r="J1904" s="1"/>
      <x:c r="K1904" s="1"/>
      <x:c r="L1904" s="1"/>
      <x:c r="M1904" s="1"/>
      <x:c r="N1904" s="1"/>
      <x:c r="O1904" s="1"/>
      <x:c r="P1904" s="1"/>
      <x:c r="Q1904" s="1"/>
      <x:c r="R1904" s="1"/>
      <x:c r="S1904" s="1"/>
      <x:c r="T1904" s="1"/>
      <x:c r="U1904" s="1"/>
      <x:c r="V1904" s="1"/>
    </x:row>
    <x:row r="1905">
      <x:c r="A1905" s="1"/>
      <x:c r="B1905" s="1"/>
      <x:c r="C1905" s="1"/>
      <x:c r="D1905" s="1"/>
      <x:c r="E1905" s="1"/>
      <x:c r="F1905" s="1"/>
      <x:c r="G1905" s="1"/>
      <x:c r="H1905" s="1"/>
      <x:c r="I1905" s="1"/>
      <x:c r="J1905" s="1"/>
      <x:c r="K1905" s="1"/>
      <x:c r="L1905" s="1"/>
      <x:c r="M1905" s="1"/>
      <x:c r="N1905" s="1"/>
      <x:c r="O1905" s="1"/>
      <x:c r="P1905" s="1"/>
      <x:c r="Q1905" s="1"/>
      <x:c r="R1905" s="1"/>
      <x:c r="S1905" s="1"/>
      <x:c r="T1905" s="1"/>
      <x:c r="U1905" s="1"/>
      <x:c r="V1905" s="1"/>
    </x:row>
    <x:row r="1906">
      <x:c r="A1906" s="1"/>
      <x:c r="B1906" s="1"/>
      <x:c r="C1906" s="1"/>
      <x:c r="D1906" s="1"/>
      <x:c r="E1906" s="1"/>
      <x:c r="F1906" s="1"/>
      <x:c r="G1906" s="1"/>
      <x:c r="H1906" s="1"/>
      <x:c r="I1906" s="1"/>
      <x:c r="J1906" s="1"/>
      <x:c r="K1906" s="1"/>
      <x:c r="L1906" s="1"/>
      <x:c r="M1906" s="1"/>
      <x:c r="N1906" s="1"/>
      <x:c r="O1906" s="1"/>
      <x:c r="P1906" s="1"/>
      <x:c r="Q1906" s="1"/>
      <x:c r="R1906" s="1"/>
      <x:c r="S1906" s="1"/>
      <x:c r="T1906" s="1"/>
      <x:c r="U1906" s="1"/>
      <x:c r="V1906" s="1"/>
    </x:row>
    <x:row r="1907">
      <x:c r="A1907" s="1"/>
      <x:c r="B1907" s="1"/>
      <x:c r="C1907" s="1"/>
      <x:c r="D1907" s="1"/>
      <x:c r="E1907" s="1"/>
      <x:c r="F1907" s="1"/>
      <x:c r="G1907" s="1"/>
      <x:c r="H1907" s="1"/>
      <x:c r="I1907" s="1"/>
      <x:c r="J1907" s="1"/>
      <x:c r="K1907" s="1"/>
      <x:c r="L1907" s="1"/>
      <x:c r="M1907" s="1"/>
      <x:c r="N1907" s="1"/>
      <x:c r="O1907" s="1"/>
      <x:c r="P1907" s="1"/>
      <x:c r="Q1907" s="1"/>
      <x:c r="R1907" s="1"/>
      <x:c r="S1907" s="1"/>
      <x:c r="T1907" s="1"/>
      <x:c r="U1907" s="1"/>
      <x:c r="V1907" s="1"/>
    </x:row>
    <x:row r="1908">
      <x:c r="A1908" s="1"/>
      <x:c r="B1908" s="1"/>
      <x:c r="C1908" s="1"/>
      <x:c r="D1908" s="1"/>
      <x:c r="E1908" s="1"/>
      <x:c r="F1908" s="1"/>
      <x:c r="G1908" s="1"/>
      <x:c r="H1908" s="1"/>
      <x:c r="I1908" s="1"/>
      <x:c r="J1908" s="1"/>
      <x:c r="K1908" s="1"/>
      <x:c r="L1908" s="1"/>
      <x:c r="M1908" s="1"/>
      <x:c r="N1908" s="1"/>
      <x:c r="O1908" s="1"/>
      <x:c r="P1908" s="1"/>
      <x:c r="Q1908" s="1"/>
      <x:c r="R1908" s="1"/>
      <x:c r="S1908" s="1"/>
      <x:c r="T1908" s="1"/>
      <x:c r="U1908" s="1"/>
      <x:c r="V1908" s="1"/>
    </x:row>
    <x:row r="1909">
      <x:c r="A1909" s="1"/>
      <x:c r="B1909" s="1"/>
      <x:c r="C1909" s="1"/>
      <x:c r="D1909" s="1"/>
      <x:c r="E1909" s="1"/>
      <x:c r="F1909" s="1"/>
      <x:c r="G1909" s="1"/>
      <x:c r="H1909" s="1"/>
      <x:c r="I1909" s="1"/>
      <x:c r="J1909" s="1"/>
      <x:c r="K1909" s="1"/>
      <x:c r="L1909" s="1"/>
      <x:c r="M1909" s="1"/>
      <x:c r="N1909" s="1"/>
      <x:c r="O1909" s="1"/>
      <x:c r="P1909" s="1"/>
      <x:c r="Q1909" s="1"/>
      <x:c r="R1909" s="1"/>
      <x:c r="S1909" s="1"/>
      <x:c r="T1909" s="1"/>
      <x:c r="U1909" s="1"/>
      <x:c r="V1909" s="1"/>
    </x:row>
    <x:row r="1910">
      <x:c r="A1910" s="1"/>
      <x:c r="B1910" s="1"/>
      <x:c r="C1910" s="1"/>
      <x:c r="D1910" s="1"/>
      <x:c r="E1910" s="1"/>
      <x:c r="F1910" s="1"/>
      <x:c r="G1910" s="1"/>
      <x:c r="H1910" s="1"/>
      <x:c r="I1910" s="1"/>
      <x:c r="J1910" s="1"/>
      <x:c r="K1910" s="1"/>
      <x:c r="L1910" s="1"/>
      <x:c r="M1910" s="1"/>
      <x:c r="N1910" s="1"/>
      <x:c r="O1910" s="1"/>
      <x:c r="P1910" s="1"/>
      <x:c r="Q1910" s="1"/>
      <x:c r="R1910" s="1"/>
      <x:c r="S1910" s="1"/>
      <x:c r="T1910" s="1"/>
      <x:c r="U1910" s="1"/>
      <x:c r="V1910" s="1"/>
    </x:row>
    <x:row r="1911">
      <x:c r="A1911" s="1"/>
      <x:c r="B1911" s="1"/>
      <x:c r="C1911" s="1"/>
      <x:c r="D1911" s="1"/>
      <x:c r="E1911" s="1"/>
      <x:c r="F1911" s="1"/>
      <x:c r="G1911" s="1"/>
      <x:c r="H1911" s="1"/>
      <x:c r="I1911" s="1"/>
      <x:c r="J1911" s="1"/>
      <x:c r="K1911" s="1"/>
      <x:c r="L1911" s="1"/>
      <x:c r="M1911" s="1"/>
      <x:c r="N1911" s="1"/>
      <x:c r="O1911" s="1"/>
      <x:c r="P1911" s="1"/>
      <x:c r="Q1911" s="1"/>
      <x:c r="R1911" s="1"/>
      <x:c r="S1911" s="1"/>
      <x:c r="T1911" s="1"/>
      <x:c r="U1911" s="1"/>
      <x:c r="V1911" s="1"/>
    </x:row>
    <x:row r="1912">
      <x:c r="A1912" s="1"/>
      <x:c r="B1912" s="1"/>
      <x:c r="C1912" s="1"/>
      <x:c r="D1912" s="1"/>
      <x:c r="E1912" s="1"/>
      <x:c r="F1912" s="1"/>
      <x:c r="G1912" s="1"/>
      <x:c r="H1912" s="1"/>
      <x:c r="I1912" s="1"/>
      <x:c r="J1912" s="1"/>
      <x:c r="K1912" s="1"/>
      <x:c r="L1912" s="1"/>
      <x:c r="M1912" s="1"/>
      <x:c r="N1912" s="1"/>
      <x:c r="O1912" s="1"/>
      <x:c r="P1912" s="1"/>
      <x:c r="Q1912" s="1"/>
      <x:c r="R1912" s="1"/>
      <x:c r="S1912" s="1"/>
      <x:c r="T1912" s="1"/>
      <x:c r="U1912" s="1"/>
      <x:c r="V1912" s="1"/>
    </x:row>
    <x:row r="1913">
      <x:c r="A1913" s="1"/>
      <x:c r="B1913" s="1"/>
      <x:c r="C1913" s="1"/>
      <x:c r="D1913" s="1"/>
      <x:c r="E1913" s="1"/>
      <x:c r="F1913" s="1"/>
      <x:c r="G1913" s="1"/>
      <x:c r="H1913" s="1"/>
      <x:c r="I1913" s="1"/>
      <x:c r="J1913" s="1"/>
      <x:c r="K1913" s="1"/>
      <x:c r="L1913" s="1"/>
      <x:c r="M1913" s="1"/>
      <x:c r="N1913" s="1"/>
      <x:c r="O1913" s="1"/>
      <x:c r="P1913" s="1"/>
      <x:c r="Q1913" s="1"/>
      <x:c r="R1913" s="1"/>
      <x:c r="S1913" s="1"/>
      <x:c r="T1913" s="1"/>
      <x:c r="U1913" s="1"/>
      <x:c r="V1913" s="1"/>
    </x:row>
    <x:row r="1914">
      <x:c r="A1914" s="1"/>
      <x:c r="B1914" s="1"/>
      <x:c r="C1914" s="1"/>
      <x:c r="D1914" s="1"/>
      <x:c r="E1914" s="1"/>
      <x:c r="F1914" s="1"/>
      <x:c r="G1914" s="1"/>
      <x:c r="H1914" s="1"/>
      <x:c r="I1914" s="1"/>
      <x:c r="J1914" s="1"/>
      <x:c r="K1914" s="1"/>
      <x:c r="L1914" s="1"/>
      <x:c r="M1914" s="1"/>
      <x:c r="N1914" s="1"/>
      <x:c r="O1914" s="1"/>
      <x:c r="P1914" s="1"/>
      <x:c r="Q1914" s="1"/>
      <x:c r="R1914" s="1"/>
      <x:c r="S1914" s="1"/>
      <x:c r="T1914" s="1"/>
      <x:c r="U1914" s="1"/>
      <x:c r="V1914" s="1"/>
    </x:row>
    <x:row r="1915">
      <x:c r="A1915" s="1"/>
      <x:c r="B1915" s="1"/>
      <x:c r="C1915" s="1"/>
      <x:c r="D1915" s="1"/>
      <x:c r="E1915" s="1"/>
      <x:c r="F1915" s="1"/>
      <x:c r="G1915" s="1"/>
      <x:c r="H1915" s="1"/>
      <x:c r="I1915" s="1"/>
      <x:c r="J1915" s="1"/>
      <x:c r="K1915" s="1"/>
      <x:c r="L1915" s="1"/>
      <x:c r="M1915" s="1"/>
      <x:c r="N1915" s="1"/>
      <x:c r="O1915" s="1"/>
      <x:c r="P1915" s="1"/>
      <x:c r="Q1915" s="1"/>
      <x:c r="R1915" s="1"/>
      <x:c r="S1915" s="1"/>
      <x:c r="T1915" s="1"/>
      <x:c r="U1915" s="1"/>
      <x:c r="V1915" s="1"/>
    </x:row>
    <x:row r="1916">
      <x:c r="A1916" s="1"/>
      <x:c r="B1916" s="1"/>
      <x:c r="C1916" s="1"/>
      <x:c r="D1916" s="1"/>
      <x:c r="E1916" s="1"/>
      <x:c r="F1916" s="1"/>
      <x:c r="G1916" s="1"/>
      <x:c r="H1916" s="1"/>
      <x:c r="I1916" s="1"/>
      <x:c r="J1916" s="1"/>
      <x:c r="K1916" s="1"/>
      <x:c r="L1916" s="1"/>
      <x:c r="M1916" s="1"/>
      <x:c r="N1916" s="1"/>
      <x:c r="O1916" s="1"/>
      <x:c r="P1916" s="1"/>
      <x:c r="Q1916" s="1"/>
      <x:c r="R1916" s="1"/>
      <x:c r="S1916" s="1"/>
      <x:c r="T1916" s="1"/>
      <x:c r="U1916" s="1"/>
      <x:c r="V1916" s="1"/>
    </x:row>
    <x:row r="1917">
      <x:c r="A1917" s="1"/>
      <x:c r="B1917" s="1"/>
      <x:c r="C1917" s="1"/>
      <x:c r="D1917" s="1"/>
      <x:c r="E1917" s="1"/>
      <x:c r="F1917" s="1"/>
      <x:c r="G1917" s="1"/>
      <x:c r="H1917" s="1"/>
      <x:c r="I1917" s="1"/>
      <x:c r="J1917" s="1"/>
      <x:c r="K1917" s="1"/>
      <x:c r="L1917" s="1"/>
      <x:c r="M1917" s="1"/>
      <x:c r="N1917" s="1"/>
      <x:c r="O1917" s="1"/>
      <x:c r="P1917" s="1"/>
      <x:c r="Q1917" s="1"/>
      <x:c r="R1917" s="1"/>
      <x:c r="S1917" s="1"/>
      <x:c r="T1917" s="1"/>
      <x:c r="U1917" s="1"/>
      <x:c r="V1917" s="1"/>
    </x:row>
    <x:row r="1918">
      <x:c r="A1918" s="1"/>
      <x:c r="B1918" s="1"/>
      <x:c r="C1918" s="1"/>
      <x:c r="D1918" s="1"/>
      <x:c r="E1918" s="1"/>
      <x:c r="F1918" s="1"/>
      <x:c r="G1918" s="1"/>
      <x:c r="H1918" s="1"/>
      <x:c r="I1918" s="1"/>
      <x:c r="J1918" s="1"/>
      <x:c r="K1918" s="1"/>
      <x:c r="L1918" s="1"/>
      <x:c r="M1918" s="1"/>
      <x:c r="N1918" s="1"/>
      <x:c r="O1918" s="1"/>
      <x:c r="P1918" s="1"/>
      <x:c r="Q1918" s="1"/>
      <x:c r="R1918" s="1"/>
      <x:c r="S1918" s="1"/>
      <x:c r="T1918" s="1"/>
      <x:c r="U1918" s="1"/>
      <x:c r="V1918" s="1"/>
    </x:row>
    <x:row r="1919">
      <x:c r="A1919" s="1"/>
      <x:c r="B1919" s="1"/>
      <x:c r="C1919" s="1"/>
      <x:c r="D1919" s="1"/>
      <x:c r="E1919" s="1"/>
      <x:c r="F1919" s="1"/>
      <x:c r="G1919" s="1"/>
      <x:c r="H1919" s="1"/>
      <x:c r="I1919" s="1"/>
      <x:c r="J1919" s="1"/>
      <x:c r="K1919" s="1"/>
      <x:c r="L1919" s="1"/>
      <x:c r="M1919" s="1"/>
      <x:c r="N1919" s="1"/>
      <x:c r="O1919" s="1"/>
      <x:c r="P1919" s="1"/>
      <x:c r="Q1919" s="1"/>
      <x:c r="R1919" s="1"/>
      <x:c r="S1919" s="1"/>
      <x:c r="T1919" s="1"/>
      <x:c r="U1919" s="1"/>
      <x:c r="V1919" s="1"/>
    </x:row>
    <x:row r="1920">
      <x:c r="A1920" s="1"/>
      <x:c r="B1920" s="1"/>
      <x:c r="C1920" s="1"/>
      <x:c r="D1920" s="1"/>
      <x:c r="E1920" s="1"/>
      <x:c r="F1920" s="1"/>
      <x:c r="G1920" s="1"/>
      <x:c r="H1920" s="1"/>
      <x:c r="I1920" s="1"/>
      <x:c r="J1920" s="1"/>
      <x:c r="K1920" s="1"/>
      <x:c r="L1920" s="1"/>
      <x:c r="M1920" s="1"/>
      <x:c r="N1920" s="1"/>
      <x:c r="O1920" s="1"/>
      <x:c r="P1920" s="1"/>
      <x:c r="Q1920" s="1"/>
      <x:c r="R1920" s="1"/>
      <x:c r="S1920" s="1"/>
      <x:c r="T1920" s="1"/>
      <x:c r="U1920" s="1"/>
      <x:c r="V1920" s="1"/>
    </x:row>
    <x:row r="1921">
      <x:c r="A1921" s="1"/>
      <x:c r="B1921" s="1"/>
      <x:c r="C1921" s="1"/>
      <x:c r="D1921" s="1"/>
      <x:c r="E1921" s="1"/>
      <x:c r="F1921" s="1"/>
      <x:c r="G1921" s="1"/>
      <x:c r="H1921" s="1"/>
      <x:c r="I1921" s="1"/>
      <x:c r="J1921" s="1"/>
      <x:c r="K1921" s="1"/>
      <x:c r="L1921" s="1"/>
      <x:c r="M1921" s="1"/>
      <x:c r="N1921" s="1"/>
      <x:c r="O1921" s="1"/>
      <x:c r="P1921" s="1"/>
      <x:c r="Q1921" s="1"/>
      <x:c r="R1921" s="1"/>
      <x:c r="S1921" s="1"/>
      <x:c r="T1921" s="1"/>
      <x:c r="U1921" s="1"/>
      <x:c r="V1921" s="1"/>
    </x:row>
    <x:row r="1922">
      <x:c r="A1922" s="1"/>
      <x:c r="B1922" s="1"/>
      <x:c r="C1922" s="1"/>
      <x:c r="D1922" s="1"/>
      <x:c r="E1922" s="1"/>
      <x:c r="F1922" s="1"/>
      <x:c r="G1922" s="1"/>
      <x:c r="H1922" s="1"/>
      <x:c r="I1922" s="1"/>
      <x:c r="J1922" s="1"/>
      <x:c r="K1922" s="1"/>
      <x:c r="L1922" s="1"/>
      <x:c r="M1922" s="1"/>
      <x:c r="N1922" s="1"/>
      <x:c r="O1922" s="1"/>
      <x:c r="P1922" s="1"/>
      <x:c r="Q1922" s="1"/>
      <x:c r="R1922" s="1"/>
      <x:c r="S1922" s="1"/>
      <x:c r="T1922" s="1"/>
      <x:c r="U1922" s="1"/>
      <x:c r="V1922" s="1"/>
    </x:row>
    <x:row r="1923">
      <x:c r="A1923" s="1"/>
      <x:c r="B1923" s="1"/>
      <x:c r="C1923" s="1"/>
      <x:c r="D1923" s="1"/>
      <x:c r="E1923" s="1"/>
      <x:c r="F1923" s="1"/>
      <x:c r="G1923" s="1"/>
      <x:c r="H1923" s="1"/>
      <x:c r="I1923" s="1"/>
      <x:c r="J1923" s="1"/>
      <x:c r="K1923" s="1"/>
      <x:c r="L1923" s="1"/>
      <x:c r="M1923" s="1"/>
      <x:c r="N1923" s="1"/>
      <x:c r="O1923" s="1"/>
      <x:c r="P1923" s="1"/>
      <x:c r="Q1923" s="1"/>
      <x:c r="R1923" s="1"/>
      <x:c r="S1923" s="1"/>
      <x:c r="T1923" s="1"/>
      <x:c r="U1923" s="1"/>
      <x:c r="V1923" s="1"/>
    </x:row>
    <x:row r="1924">
      <x:c r="A1924" s="1"/>
      <x:c r="B1924" s="1"/>
      <x:c r="C1924" s="1"/>
      <x:c r="D1924" s="1"/>
      <x:c r="E1924" s="1"/>
      <x:c r="F1924" s="1"/>
      <x:c r="G1924" s="1"/>
      <x:c r="H1924" s="1"/>
      <x:c r="I1924" s="1"/>
      <x:c r="J1924" s="1"/>
      <x:c r="K1924" s="1"/>
      <x:c r="L1924" s="1"/>
      <x:c r="M1924" s="1"/>
      <x:c r="N1924" s="1"/>
      <x:c r="O1924" s="1"/>
      <x:c r="P1924" s="1"/>
      <x:c r="Q1924" s="1"/>
      <x:c r="R1924" s="1"/>
      <x:c r="S1924" s="1"/>
      <x:c r="T1924" s="1"/>
      <x:c r="U1924" s="1"/>
      <x:c r="V1924" s="1"/>
    </x:row>
    <x:row r="1925">
      <x:c r="A1925" s="1"/>
      <x:c r="B1925" s="1"/>
      <x:c r="C1925" s="1"/>
      <x:c r="D1925" s="1"/>
      <x:c r="E1925" s="1"/>
      <x:c r="F1925" s="1"/>
      <x:c r="G1925" s="1"/>
      <x:c r="H1925" s="1"/>
      <x:c r="I1925" s="1"/>
      <x:c r="J1925" s="1"/>
      <x:c r="K1925" s="1"/>
      <x:c r="L1925" s="1"/>
      <x:c r="M1925" s="1"/>
      <x:c r="N1925" s="1"/>
      <x:c r="O1925" s="1"/>
      <x:c r="P1925" s="1"/>
      <x:c r="Q1925" s="1"/>
      <x:c r="R1925" s="1"/>
      <x:c r="S1925" s="1"/>
      <x:c r="T1925" s="1"/>
      <x:c r="U1925" s="1"/>
      <x:c r="V1925" s="1"/>
    </x:row>
    <x:row r="1926">
      <x:c r="A1926" s="1"/>
      <x:c r="B1926" s="1"/>
      <x:c r="C1926" s="1"/>
      <x:c r="D1926" s="1"/>
      <x:c r="E1926" s="1"/>
      <x:c r="F1926" s="1"/>
      <x:c r="G1926" s="1"/>
      <x:c r="H1926" s="1"/>
      <x:c r="I1926" s="1"/>
      <x:c r="J1926" s="1"/>
      <x:c r="K1926" s="1"/>
      <x:c r="L1926" s="1"/>
      <x:c r="M1926" s="1"/>
      <x:c r="N1926" s="1"/>
      <x:c r="O1926" s="1"/>
      <x:c r="P1926" s="1"/>
      <x:c r="Q1926" s="1"/>
      <x:c r="R1926" s="1"/>
      <x:c r="S1926" s="1"/>
      <x:c r="T1926" s="1"/>
      <x:c r="U1926" s="1"/>
      <x:c r="V1926" s="1"/>
    </x:row>
    <x:row r="1927">
      <x:c r="A1927" s="1"/>
      <x:c r="B1927" s="1"/>
      <x:c r="C1927" s="1"/>
      <x:c r="D1927" s="1"/>
      <x:c r="E1927" s="1"/>
      <x:c r="F1927" s="1"/>
      <x:c r="G1927" s="1"/>
      <x:c r="H1927" s="1"/>
      <x:c r="I1927" s="1"/>
      <x:c r="J1927" s="1"/>
      <x:c r="K1927" s="1"/>
      <x:c r="L1927" s="1"/>
      <x:c r="M1927" s="1"/>
      <x:c r="N1927" s="1"/>
      <x:c r="O1927" s="1"/>
      <x:c r="P1927" s="1"/>
      <x:c r="Q1927" s="1"/>
      <x:c r="R1927" s="1"/>
      <x:c r="S1927" s="1"/>
      <x:c r="T1927" s="1"/>
      <x:c r="U1927" s="1"/>
      <x:c r="V1927" s="1"/>
    </x:row>
    <x:row r="1928">
      <x:c r="A1928" s="1"/>
      <x:c r="B1928" s="1"/>
      <x:c r="C1928" s="1"/>
      <x:c r="D1928" s="1"/>
      <x:c r="E1928" s="1"/>
      <x:c r="F1928" s="1"/>
      <x:c r="G1928" s="1"/>
      <x:c r="H1928" s="1"/>
      <x:c r="I1928" s="1"/>
      <x:c r="J1928" s="1"/>
      <x:c r="K1928" s="1"/>
      <x:c r="L1928" s="1"/>
      <x:c r="M1928" s="1"/>
      <x:c r="N1928" s="1"/>
      <x:c r="O1928" s="1"/>
      <x:c r="P1928" s="1"/>
      <x:c r="Q1928" s="1"/>
      <x:c r="R1928" s="1"/>
      <x:c r="S1928" s="1"/>
      <x:c r="T1928" s="1"/>
      <x:c r="U1928" s="1"/>
      <x:c r="V1928" s="1"/>
    </x:row>
    <x:row r="1929">
      <x:c r="A1929" s="1"/>
      <x:c r="B1929" s="1"/>
      <x:c r="C1929" s="1"/>
      <x:c r="D1929" s="1"/>
      <x:c r="E1929" s="1"/>
      <x:c r="F1929" s="1"/>
      <x:c r="G1929" s="1"/>
      <x:c r="H1929" s="1"/>
      <x:c r="I1929" s="1"/>
      <x:c r="J1929" s="1"/>
      <x:c r="K1929" s="1"/>
      <x:c r="L1929" s="1"/>
      <x:c r="M1929" s="1"/>
      <x:c r="N1929" s="1"/>
      <x:c r="O1929" s="1"/>
      <x:c r="P1929" s="1"/>
      <x:c r="Q1929" s="1"/>
      <x:c r="R1929" s="1"/>
      <x:c r="S1929" s="1"/>
      <x:c r="T1929" s="1"/>
      <x:c r="U1929" s="1"/>
      <x:c r="V1929" s="1"/>
    </x:row>
    <x:row r="1930">
      <x:c r="A1930" s="1"/>
      <x:c r="B1930" s="1"/>
      <x:c r="C1930" s="1"/>
      <x:c r="D1930" s="1"/>
      <x:c r="E1930" s="1"/>
      <x:c r="F1930" s="1"/>
      <x:c r="G1930" s="1"/>
      <x:c r="H1930" s="1"/>
      <x:c r="I1930" s="1"/>
      <x:c r="J1930" s="1"/>
      <x:c r="K1930" s="1"/>
      <x:c r="L1930" s="1"/>
      <x:c r="M1930" s="1"/>
      <x:c r="N1930" s="1"/>
      <x:c r="O1930" s="1"/>
      <x:c r="P1930" s="1"/>
      <x:c r="Q1930" s="1"/>
      <x:c r="R1930" s="1"/>
      <x:c r="S1930" s="1"/>
      <x:c r="T1930" s="1"/>
      <x:c r="U1930" s="1"/>
      <x:c r="V1930" s="1"/>
    </x:row>
    <x:row r="1931">
      <x:c r="A1931" s="1"/>
      <x:c r="B1931" s="1"/>
      <x:c r="C1931" s="1"/>
      <x:c r="D1931" s="1"/>
      <x:c r="E1931" s="1"/>
      <x:c r="F1931" s="1"/>
      <x:c r="G1931" s="1"/>
      <x:c r="H1931" s="1"/>
      <x:c r="I1931" s="1"/>
      <x:c r="J1931" s="1"/>
      <x:c r="K1931" s="1"/>
      <x:c r="L1931" s="1"/>
      <x:c r="M1931" s="1"/>
      <x:c r="N1931" s="1"/>
      <x:c r="O1931" s="1"/>
      <x:c r="P1931" s="1"/>
      <x:c r="Q1931" s="1"/>
      <x:c r="R1931" s="1"/>
      <x:c r="S1931" s="1"/>
      <x:c r="T1931" s="1"/>
      <x:c r="U1931" s="1"/>
      <x:c r="V1931" s="1"/>
    </x:row>
    <x:row r="1932">
      <x:c r="A1932" s="1"/>
      <x:c r="B1932" s="1"/>
      <x:c r="C1932" s="1"/>
      <x:c r="D1932" s="1"/>
      <x:c r="E1932" s="1"/>
      <x:c r="F1932" s="1"/>
      <x:c r="G1932" s="1"/>
      <x:c r="H1932" s="1"/>
      <x:c r="I1932" s="1"/>
      <x:c r="J1932" s="1"/>
      <x:c r="K1932" s="1"/>
      <x:c r="L1932" s="1"/>
      <x:c r="M1932" s="1"/>
      <x:c r="N1932" s="1"/>
      <x:c r="O1932" s="1"/>
      <x:c r="P1932" s="1"/>
      <x:c r="Q1932" s="1"/>
      <x:c r="R1932" s="1"/>
      <x:c r="S1932" s="1"/>
      <x:c r="T1932" s="1"/>
      <x:c r="U1932" s="1"/>
      <x:c r="V1932" s="1"/>
    </x:row>
    <x:row r="1933">
      <x:c r="A1933" s="1"/>
      <x:c r="B1933" s="1"/>
      <x:c r="C1933" s="1"/>
      <x:c r="D1933" s="1"/>
      <x:c r="E1933" s="1"/>
      <x:c r="F1933" s="1"/>
      <x:c r="G1933" s="1"/>
      <x:c r="H1933" s="1"/>
      <x:c r="I1933" s="1"/>
      <x:c r="J1933" s="1"/>
      <x:c r="K1933" s="1"/>
      <x:c r="L1933" s="1"/>
      <x:c r="M1933" s="1"/>
      <x:c r="N1933" s="1"/>
      <x:c r="O1933" s="1"/>
      <x:c r="P1933" s="1"/>
      <x:c r="Q1933" s="1"/>
      <x:c r="R1933" s="1"/>
      <x:c r="S1933" s="1"/>
      <x:c r="T1933" s="1"/>
      <x:c r="U1933" s="1"/>
      <x:c r="V1933" s="1"/>
    </x:row>
    <x:row r="1934">
      <x:c r="A1934" s="1"/>
      <x:c r="B1934" s="1"/>
      <x:c r="C1934" s="1"/>
      <x:c r="D1934" s="1"/>
      <x:c r="E1934" s="1"/>
      <x:c r="F1934" s="1"/>
      <x:c r="G1934" s="1"/>
      <x:c r="H1934" s="1"/>
      <x:c r="I1934" s="1"/>
      <x:c r="J1934" s="1"/>
      <x:c r="K1934" s="1"/>
      <x:c r="L1934" s="1"/>
      <x:c r="M1934" s="1"/>
      <x:c r="N1934" s="1"/>
      <x:c r="O1934" s="1"/>
      <x:c r="P1934" s="1"/>
      <x:c r="Q1934" s="1"/>
      <x:c r="R1934" s="1"/>
      <x:c r="S1934" s="1"/>
      <x:c r="T1934" s="1"/>
      <x:c r="U1934" s="1"/>
      <x:c r="V1934" s="1"/>
    </x:row>
    <x:row r="1935">
      <x:c r="A1935" s="1"/>
      <x:c r="B1935" s="1"/>
      <x:c r="C1935" s="1"/>
      <x:c r="D1935" s="1"/>
      <x:c r="E1935" s="1"/>
      <x:c r="F1935" s="1"/>
      <x:c r="G1935" s="1"/>
      <x:c r="H1935" s="1"/>
      <x:c r="I1935" s="1"/>
      <x:c r="J1935" s="1"/>
      <x:c r="K1935" s="1"/>
      <x:c r="L1935" s="1"/>
      <x:c r="M1935" s="1"/>
      <x:c r="N1935" s="1"/>
      <x:c r="O1935" s="1"/>
      <x:c r="P1935" s="1"/>
      <x:c r="Q1935" s="1"/>
      <x:c r="R1935" s="1"/>
      <x:c r="S1935" s="1"/>
      <x:c r="T1935" s="1"/>
      <x:c r="U1935" s="1"/>
      <x:c r="V1935" s="1"/>
    </x:row>
    <x:row r="1936">
      <x:c r="A1936" s="1"/>
      <x:c r="B1936" s="1"/>
      <x:c r="C1936" s="1"/>
      <x:c r="D1936" s="1"/>
      <x:c r="E1936" s="1"/>
      <x:c r="F1936" s="1"/>
      <x:c r="G1936" s="1"/>
      <x:c r="H1936" s="1"/>
      <x:c r="I1936" s="1"/>
      <x:c r="J1936" s="1"/>
      <x:c r="K1936" s="1"/>
      <x:c r="L1936" s="1"/>
      <x:c r="M1936" s="1"/>
      <x:c r="N1936" s="1"/>
      <x:c r="O1936" s="1"/>
      <x:c r="P1936" s="1"/>
      <x:c r="Q1936" s="1"/>
      <x:c r="R1936" s="1"/>
      <x:c r="S1936" s="1"/>
      <x:c r="T1936" s="1"/>
      <x:c r="U1936" s="1"/>
      <x:c r="V1936" s="1"/>
    </x:row>
    <x:row r="1937">
      <x:c r="A1937" s="1"/>
      <x:c r="B1937" s="1"/>
      <x:c r="C1937" s="1"/>
      <x:c r="D1937" s="1"/>
      <x:c r="E1937" s="1"/>
      <x:c r="F1937" s="1"/>
      <x:c r="G1937" s="1"/>
      <x:c r="H1937" s="1"/>
      <x:c r="I1937" s="1"/>
      <x:c r="J1937" s="1"/>
      <x:c r="K1937" s="1"/>
      <x:c r="L1937" s="1"/>
      <x:c r="M1937" s="1"/>
      <x:c r="N1937" s="1"/>
      <x:c r="O1937" s="1"/>
      <x:c r="P1937" s="1"/>
      <x:c r="Q1937" s="1"/>
      <x:c r="R1937" s="1"/>
      <x:c r="S1937" s="1"/>
      <x:c r="T1937" s="1"/>
      <x:c r="U1937" s="1"/>
      <x:c r="V1937" s="1"/>
    </x:row>
    <x:row r="1938">
      <x:c r="A1938" s="1"/>
      <x:c r="B1938" s="1"/>
      <x:c r="C1938" s="1"/>
      <x:c r="D1938" s="1"/>
      <x:c r="E1938" s="1"/>
      <x:c r="F1938" s="1"/>
      <x:c r="G1938" s="1"/>
      <x:c r="H1938" s="1"/>
      <x:c r="I1938" s="1"/>
      <x:c r="J1938" s="1"/>
      <x:c r="K1938" s="1"/>
      <x:c r="L1938" s="1"/>
      <x:c r="M1938" s="1"/>
      <x:c r="N1938" s="1"/>
      <x:c r="O1938" s="1"/>
      <x:c r="P1938" s="1"/>
      <x:c r="Q1938" s="1"/>
      <x:c r="R1938" s="1"/>
      <x:c r="S1938" s="1"/>
      <x:c r="T1938" s="1"/>
      <x:c r="U1938" s="1"/>
      <x:c r="V1938" s="1"/>
    </x:row>
    <x:row r="1939">
      <x:c r="A1939" s="1"/>
      <x:c r="B1939" s="1"/>
      <x:c r="C1939" s="1"/>
      <x:c r="D1939" s="1"/>
      <x:c r="E1939" s="1"/>
      <x:c r="F1939" s="1"/>
      <x:c r="G1939" s="1"/>
      <x:c r="H1939" s="1"/>
      <x:c r="I1939" s="1"/>
      <x:c r="J1939" s="1"/>
      <x:c r="K1939" s="1"/>
      <x:c r="L1939" s="1"/>
      <x:c r="M1939" s="1"/>
      <x:c r="N1939" s="1"/>
      <x:c r="O1939" s="1"/>
      <x:c r="P1939" s="1"/>
      <x:c r="Q1939" s="1"/>
      <x:c r="R1939" s="1"/>
      <x:c r="S1939" s="1"/>
      <x:c r="T1939" s="1"/>
      <x:c r="U1939" s="1"/>
      <x:c r="V1939" s="1"/>
    </x:row>
    <x:row r="1940">
      <x:c r="A1940" s="1"/>
      <x:c r="B1940" s="1"/>
      <x:c r="C1940" s="1"/>
      <x:c r="D1940" s="1"/>
      <x:c r="E1940" s="1"/>
      <x:c r="F1940" s="1"/>
      <x:c r="G1940" s="1"/>
      <x:c r="H1940" s="1"/>
      <x:c r="I1940" s="1"/>
      <x:c r="J1940" s="1"/>
      <x:c r="K1940" s="1"/>
      <x:c r="L1940" s="1"/>
      <x:c r="M1940" s="1"/>
      <x:c r="N1940" s="1"/>
      <x:c r="O1940" s="1"/>
      <x:c r="P1940" s="1"/>
      <x:c r="Q1940" s="1"/>
      <x:c r="R1940" s="1"/>
      <x:c r="S1940" s="1"/>
      <x:c r="T1940" s="1"/>
      <x:c r="U1940" s="1"/>
      <x:c r="V1940" s="1"/>
    </x:row>
    <x:row r="1941">
      <x:c r="A1941" s="1"/>
      <x:c r="B1941" s="1"/>
      <x:c r="C1941" s="1"/>
      <x:c r="D1941" s="1"/>
      <x:c r="E1941" s="1"/>
      <x:c r="F1941" s="1"/>
      <x:c r="G1941" s="1"/>
      <x:c r="H1941" s="1"/>
      <x:c r="I1941" s="1"/>
      <x:c r="J1941" s="1"/>
      <x:c r="K1941" s="1"/>
      <x:c r="L1941" s="1"/>
      <x:c r="M1941" s="1"/>
      <x:c r="N1941" s="1"/>
      <x:c r="O1941" s="1"/>
      <x:c r="P1941" s="1"/>
      <x:c r="Q1941" s="1"/>
      <x:c r="R1941" s="1"/>
      <x:c r="S1941" s="1"/>
      <x:c r="T1941" s="1"/>
      <x:c r="U1941" s="1"/>
      <x:c r="V1941" s="1"/>
    </x:row>
    <x:row r="1942">
      <x:c r="A1942" s="1"/>
      <x:c r="B1942" s="1"/>
      <x:c r="C1942" s="1"/>
      <x:c r="D1942" s="1"/>
      <x:c r="E1942" s="1"/>
      <x:c r="F1942" s="1"/>
      <x:c r="G1942" s="1"/>
      <x:c r="H1942" s="1"/>
      <x:c r="I1942" s="1"/>
      <x:c r="J1942" s="1"/>
      <x:c r="K1942" s="1"/>
      <x:c r="L1942" s="1"/>
      <x:c r="M1942" s="1"/>
      <x:c r="N1942" s="1"/>
      <x:c r="O1942" s="1"/>
      <x:c r="P1942" s="1"/>
      <x:c r="Q1942" s="1"/>
      <x:c r="R1942" s="1"/>
      <x:c r="S1942" s="1"/>
      <x:c r="T1942" s="1"/>
      <x:c r="U1942" s="1"/>
      <x:c r="V1942" s="1"/>
    </x:row>
    <x:row r="1943">
      <x:c r="A1943" s="1"/>
      <x:c r="B1943" s="1"/>
      <x:c r="C1943" s="1"/>
      <x:c r="D1943" s="1"/>
      <x:c r="E1943" s="1"/>
      <x:c r="F1943" s="1"/>
      <x:c r="G1943" s="1"/>
      <x:c r="H1943" s="1"/>
      <x:c r="I1943" s="1"/>
      <x:c r="J1943" s="1"/>
      <x:c r="K1943" s="1"/>
      <x:c r="L1943" s="1"/>
      <x:c r="M1943" s="1"/>
      <x:c r="N1943" s="1"/>
      <x:c r="O1943" s="1"/>
      <x:c r="P1943" s="1"/>
      <x:c r="Q1943" s="1"/>
      <x:c r="R1943" s="1"/>
      <x:c r="S1943" s="1"/>
      <x:c r="T1943" s="1"/>
      <x:c r="U1943" s="1"/>
      <x:c r="V1943" s="1"/>
    </x:row>
    <x:row r="1944">
      <x:c r="A1944" s="1"/>
      <x:c r="B1944" s="1"/>
      <x:c r="C1944" s="1"/>
      <x:c r="D1944" s="1"/>
      <x:c r="E1944" s="1"/>
      <x:c r="F1944" s="1"/>
      <x:c r="G1944" s="1"/>
      <x:c r="H1944" s="1"/>
      <x:c r="I1944" s="1"/>
      <x:c r="J1944" s="1"/>
      <x:c r="K1944" s="1"/>
      <x:c r="L1944" s="1"/>
      <x:c r="M1944" s="1"/>
      <x:c r="N1944" s="1"/>
      <x:c r="O1944" s="1"/>
      <x:c r="P1944" s="1"/>
      <x:c r="Q1944" s="1"/>
      <x:c r="R1944" s="1"/>
      <x:c r="S1944" s="1"/>
      <x:c r="T1944" s="1"/>
      <x:c r="U1944" s="1"/>
      <x:c r="V1944" s="1"/>
    </x:row>
    <x:row r="1945">
      <x:c r="A1945" s="1"/>
      <x:c r="B1945" s="1"/>
      <x:c r="C1945" s="1"/>
      <x:c r="D1945" s="1"/>
      <x:c r="E1945" s="1"/>
      <x:c r="F1945" s="1"/>
      <x:c r="G1945" s="1"/>
      <x:c r="H1945" s="1"/>
      <x:c r="I1945" s="1"/>
      <x:c r="J1945" s="1"/>
      <x:c r="K1945" s="1"/>
      <x:c r="L1945" s="1"/>
      <x:c r="M1945" s="1"/>
      <x:c r="N1945" s="1"/>
      <x:c r="O1945" s="1"/>
      <x:c r="P1945" s="1"/>
      <x:c r="Q1945" s="1"/>
      <x:c r="R1945" s="1"/>
      <x:c r="S1945" s="1"/>
      <x:c r="T1945" s="1"/>
      <x:c r="U1945" s="1"/>
      <x:c r="V1945" s="1"/>
    </x:row>
    <x:row r="1946">
      <x:c r="A1946" s="1"/>
      <x:c r="B1946" s="1"/>
      <x:c r="C1946" s="1"/>
      <x:c r="D1946" s="1"/>
      <x:c r="E1946" s="1"/>
      <x:c r="F1946" s="1"/>
      <x:c r="G1946" s="1"/>
      <x:c r="H1946" s="1"/>
      <x:c r="I1946" s="1"/>
      <x:c r="J1946" s="1"/>
      <x:c r="K1946" s="1"/>
      <x:c r="L1946" s="1"/>
      <x:c r="M1946" s="1"/>
      <x:c r="N1946" s="1"/>
      <x:c r="O1946" s="1"/>
      <x:c r="P1946" s="1"/>
      <x:c r="Q1946" s="1"/>
      <x:c r="R1946" s="1"/>
      <x:c r="S1946" s="1"/>
      <x:c r="T1946" s="1"/>
      <x:c r="U1946" s="1"/>
      <x:c r="V1946" s="1"/>
    </x:row>
    <x:row r="1947">
      <x:c r="A1947" s="1"/>
      <x:c r="B1947" s="1"/>
      <x:c r="C1947" s="1"/>
      <x:c r="D1947" s="1"/>
      <x:c r="E1947" s="1"/>
      <x:c r="F1947" s="1"/>
      <x:c r="G1947" s="1"/>
      <x:c r="H1947" s="1"/>
      <x:c r="I1947" s="1"/>
      <x:c r="J1947" s="1"/>
      <x:c r="K1947" s="1"/>
      <x:c r="L1947" s="1"/>
      <x:c r="M1947" s="1"/>
      <x:c r="N1947" s="1"/>
      <x:c r="O1947" s="1"/>
      <x:c r="P1947" s="1"/>
      <x:c r="Q1947" s="1"/>
      <x:c r="R1947" s="1"/>
      <x:c r="S1947" s="1"/>
      <x:c r="T1947" s="1"/>
      <x:c r="U1947" s="1"/>
      <x:c r="V1947" s="1"/>
    </x:row>
    <x:row r="1948">
      <x:c r="A1948" s="1"/>
      <x:c r="B1948" s="1"/>
      <x:c r="C1948" s="1"/>
      <x:c r="D1948" s="1"/>
      <x:c r="E1948" s="1"/>
      <x:c r="F1948" s="1"/>
      <x:c r="G1948" s="1"/>
      <x:c r="H1948" s="1"/>
      <x:c r="I1948" s="1"/>
      <x:c r="J1948" s="1"/>
      <x:c r="K1948" s="1"/>
      <x:c r="L1948" s="1"/>
      <x:c r="M1948" s="1"/>
      <x:c r="N1948" s="1"/>
      <x:c r="O1948" s="1"/>
      <x:c r="P1948" s="1"/>
      <x:c r="Q1948" s="1"/>
      <x:c r="R1948" s="1"/>
      <x:c r="S1948" s="1"/>
      <x:c r="T1948" s="1"/>
      <x:c r="U1948" s="1"/>
      <x:c r="V1948" s="1"/>
    </x:row>
    <x:row r="1949">
      <x:c r="A1949" s="1"/>
      <x:c r="B1949" s="1"/>
      <x:c r="C1949" s="1"/>
      <x:c r="D1949" s="1"/>
      <x:c r="E1949" s="1"/>
      <x:c r="F1949" s="1"/>
      <x:c r="G1949" s="1"/>
      <x:c r="H1949" s="1"/>
      <x:c r="I1949" s="1"/>
      <x:c r="J1949" s="1"/>
      <x:c r="K1949" s="1"/>
      <x:c r="L1949" s="1"/>
      <x:c r="M1949" s="1"/>
      <x:c r="N1949" s="1"/>
      <x:c r="O1949" s="1"/>
      <x:c r="P1949" s="1"/>
      <x:c r="Q1949" s="1"/>
      <x:c r="R1949" s="1"/>
      <x:c r="S1949" s="1"/>
      <x:c r="T1949" s="1"/>
      <x:c r="U1949" s="1"/>
      <x:c r="V1949" s="1"/>
    </x:row>
    <x:row r="1950">
      <x:c r="A1950" s="1"/>
      <x:c r="B1950" s="1"/>
      <x:c r="C1950" s="1"/>
      <x:c r="D1950" s="1"/>
      <x:c r="E1950" s="1"/>
      <x:c r="F1950" s="1"/>
      <x:c r="G1950" s="1"/>
      <x:c r="H1950" s="1"/>
      <x:c r="I1950" s="1"/>
      <x:c r="J1950" s="1"/>
      <x:c r="K1950" s="1"/>
      <x:c r="L1950" s="1"/>
      <x:c r="M1950" s="1"/>
      <x:c r="N1950" s="1"/>
      <x:c r="O1950" s="1"/>
      <x:c r="P1950" s="1"/>
      <x:c r="Q1950" s="1"/>
      <x:c r="R1950" s="1"/>
      <x:c r="S1950" s="1"/>
      <x:c r="T1950" s="1"/>
      <x:c r="U1950" s="1"/>
      <x:c r="V1950" s="1"/>
    </x:row>
    <x:row r="1951">
      <x:c r="A1951" s="1"/>
      <x:c r="B1951" s="1"/>
      <x:c r="C1951" s="1"/>
      <x:c r="D1951" s="1"/>
      <x:c r="E1951" s="1"/>
      <x:c r="F1951" s="1"/>
      <x:c r="G1951" s="1"/>
      <x:c r="H1951" s="1"/>
      <x:c r="I1951" s="1"/>
      <x:c r="J1951" s="1"/>
      <x:c r="K1951" s="1"/>
      <x:c r="L1951" s="1"/>
      <x:c r="M1951" s="1"/>
      <x:c r="N1951" s="1"/>
      <x:c r="O1951" s="1"/>
      <x:c r="P1951" s="1"/>
      <x:c r="Q1951" s="1"/>
      <x:c r="R1951" s="1"/>
      <x:c r="S1951" s="1"/>
      <x:c r="T1951" s="1"/>
      <x:c r="U1951" s="1"/>
      <x:c r="V1951" s="1"/>
    </x:row>
    <x:row r="1952">
      <x:c r="A1952" s="1"/>
      <x:c r="B1952" s="1"/>
      <x:c r="C1952" s="1"/>
      <x:c r="D1952" s="1"/>
      <x:c r="E1952" s="1"/>
      <x:c r="F1952" s="1"/>
      <x:c r="G1952" s="1"/>
      <x:c r="H1952" s="1"/>
      <x:c r="I1952" s="1"/>
      <x:c r="J1952" s="1"/>
      <x:c r="K1952" s="1"/>
      <x:c r="L1952" s="1"/>
      <x:c r="M1952" s="1"/>
      <x:c r="N1952" s="1"/>
      <x:c r="O1952" s="1"/>
      <x:c r="P1952" s="1"/>
      <x:c r="Q1952" s="1"/>
      <x:c r="R1952" s="1"/>
      <x:c r="S1952" s="1"/>
      <x:c r="T1952" s="1"/>
      <x:c r="U1952" s="1"/>
      <x:c r="V1952" s="1"/>
    </x:row>
    <x:row r="1953">
      <x:c r="A1953" s="1"/>
      <x:c r="B1953" s="1"/>
      <x:c r="C1953" s="1"/>
      <x:c r="D1953" s="1"/>
      <x:c r="E1953" s="1"/>
      <x:c r="F1953" s="1"/>
      <x:c r="G1953" s="1"/>
      <x:c r="H1953" s="1"/>
      <x:c r="I1953" s="1"/>
      <x:c r="J1953" s="1"/>
      <x:c r="K1953" s="1"/>
      <x:c r="L1953" s="1"/>
      <x:c r="M1953" s="1"/>
      <x:c r="N1953" s="1"/>
      <x:c r="O1953" s="1"/>
      <x:c r="P1953" s="1"/>
      <x:c r="Q1953" s="1"/>
      <x:c r="R1953" s="1"/>
      <x:c r="S1953" s="1"/>
      <x:c r="T1953" s="1"/>
      <x:c r="U1953" s="1"/>
      <x:c r="V1953" s="1"/>
    </x:row>
    <x:row r="1954">
      <x:c r="A1954" s="1"/>
      <x:c r="B1954" s="1"/>
      <x:c r="C1954" s="1"/>
      <x:c r="D1954" s="1"/>
      <x:c r="E1954" s="1"/>
      <x:c r="F1954" s="1"/>
      <x:c r="G1954" s="1"/>
      <x:c r="H1954" s="1"/>
      <x:c r="I1954" s="1"/>
      <x:c r="J1954" s="1"/>
      <x:c r="K1954" s="1"/>
      <x:c r="L1954" s="1"/>
      <x:c r="M1954" s="1"/>
      <x:c r="N1954" s="1"/>
      <x:c r="O1954" s="1"/>
      <x:c r="P1954" s="1"/>
      <x:c r="Q1954" s="1"/>
      <x:c r="R1954" s="1"/>
      <x:c r="S1954" s="1"/>
      <x:c r="T1954" s="1"/>
      <x:c r="U1954" s="1"/>
      <x:c r="V1954" s="1"/>
    </x:row>
    <x:row r="1955">
      <x:c r="A1955" s="1"/>
      <x:c r="B1955" s="1"/>
      <x:c r="C1955" s="1"/>
      <x:c r="D1955" s="1"/>
      <x:c r="E1955" s="1"/>
      <x:c r="F1955" s="1"/>
      <x:c r="G1955" s="1"/>
      <x:c r="H1955" s="1"/>
      <x:c r="I1955" s="1"/>
      <x:c r="J1955" s="1"/>
      <x:c r="K1955" s="1"/>
      <x:c r="L1955" s="1"/>
      <x:c r="M1955" s="1"/>
      <x:c r="N1955" s="1"/>
      <x:c r="O1955" s="1"/>
      <x:c r="P1955" s="1"/>
      <x:c r="Q1955" s="1"/>
      <x:c r="R1955" s="1"/>
      <x:c r="S1955" s="1"/>
      <x:c r="T1955" s="1"/>
      <x:c r="U1955" s="1"/>
      <x:c r="V1955" s="1"/>
    </x:row>
    <x:row r="1956">
      <x:c r="A1956" s="1"/>
      <x:c r="B1956" s="1"/>
      <x:c r="C1956" s="1"/>
      <x:c r="D1956" s="1"/>
      <x:c r="E1956" s="1"/>
      <x:c r="F1956" s="1"/>
      <x:c r="G1956" s="1"/>
      <x:c r="H1956" s="1"/>
      <x:c r="I1956" s="1"/>
      <x:c r="J1956" s="1"/>
      <x:c r="K1956" s="1"/>
      <x:c r="L1956" s="1"/>
      <x:c r="M1956" s="1"/>
      <x:c r="N1956" s="1"/>
      <x:c r="O1956" s="1"/>
      <x:c r="P1956" s="1"/>
      <x:c r="Q1956" s="1"/>
      <x:c r="R1956" s="1"/>
      <x:c r="S1956" s="1"/>
      <x:c r="T1956" s="1"/>
      <x:c r="U1956" s="1"/>
      <x:c r="V1956" s="1"/>
    </x:row>
    <x:row r="1957">
      <x:c r="A1957" s="1"/>
      <x:c r="B1957" s="1"/>
      <x:c r="C1957" s="1"/>
      <x:c r="D1957" s="1"/>
      <x:c r="E1957" s="1"/>
      <x:c r="F1957" s="1"/>
      <x:c r="G1957" s="1"/>
      <x:c r="H1957" s="1"/>
      <x:c r="I1957" s="1"/>
      <x:c r="J1957" s="1"/>
      <x:c r="K1957" s="1"/>
      <x:c r="L1957" s="1"/>
      <x:c r="M1957" s="1"/>
      <x:c r="N1957" s="1"/>
      <x:c r="O1957" s="1"/>
      <x:c r="P1957" s="1"/>
      <x:c r="Q1957" s="1"/>
      <x:c r="R1957" s="1"/>
      <x:c r="S1957" s="1"/>
      <x:c r="T1957" s="1"/>
      <x:c r="U1957" s="1"/>
      <x:c r="V1957" s="1"/>
    </x:row>
    <x:row r="1958">
      <x:c r="A1958" s="1"/>
      <x:c r="B1958" s="1"/>
      <x:c r="C1958" s="1"/>
      <x:c r="D1958" s="1"/>
      <x:c r="E1958" s="1"/>
      <x:c r="F1958" s="1"/>
      <x:c r="G1958" s="1"/>
      <x:c r="H1958" s="1"/>
      <x:c r="I1958" s="1"/>
      <x:c r="J1958" s="1"/>
      <x:c r="K1958" s="1"/>
      <x:c r="L1958" s="1"/>
      <x:c r="M1958" s="1"/>
      <x:c r="N1958" s="1"/>
      <x:c r="O1958" s="1"/>
      <x:c r="P1958" s="1"/>
      <x:c r="Q1958" s="1"/>
      <x:c r="R1958" s="1"/>
      <x:c r="S1958" s="1"/>
      <x:c r="T1958" s="1"/>
      <x:c r="U1958" s="1"/>
      <x:c r="V1958" s="1"/>
    </x:row>
    <x:row r="1959">
      <x:c r="A1959" s="1"/>
      <x:c r="B1959" s="1"/>
      <x:c r="C1959" s="1"/>
      <x:c r="D1959" s="1"/>
      <x:c r="E1959" s="1"/>
      <x:c r="F1959" s="1"/>
      <x:c r="G1959" s="1"/>
      <x:c r="H1959" s="1"/>
      <x:c r="I1959" s="1"/>
      <x:c r="J1959" s="1"/>
      <x:c r="K1959" s="1"/>
      <x:c r="L1959" s="1"/>
      <x:c r="M1959" s="1"/>
      <x:c r="N1959" s="1"/>
      <x:c r="O1959" s="1"/>
      <x:c r="P1959" s="1"/>
      <x:c r="Q1959" s="1"/>
      <x:c r="R1959" s="1"/>
      <x:c r="S1959" s="1"/>
      <x:c r="T1959" s="1"/>
      <x:c r="U1959" s="1"/>
      <x:c r="V1959" s="1"/>
    </x:row>
    <x:row r="1960">
      <x:c r="A1960" s="1"/>
      <x:c r="B1960" s="1"/>
      <x:c r="C1960" s="1"/>
      <x:c r="D1960" s="1"/>
      <x:c r="E1960" s="1"/>
      <x:c r="F1960" s="1"/>
      <x:c r="G1960" s="1"/>
      <x:c r="H1960" s="1"/>
      <x:c r="I1960" s="1"/>
      <x:c r="J1960" s="1"/>
      <x:c r="K1960" s="1"/>
      <x:c r="L1960" s="1"/>
      <x:c r="M1960" s="1"/>
      <x:c r="N1960" s="1"/>
      <x:c r="O1960" s="1"/>
      <x:c r="P1960" s="1"/>
      <x:c r="Q1960" s="1"/>
      <x:c r="R1960" s="1"/>
      <x:c r="S1960" s="1"/>
      <x:c r="T1960" s="1"/>
      <x:c r="U1960" s="1"/>
      <x:c r="V1960" s="1"/>
    </x:row>
    <x:row r="1961">
      <x:c r="A1961" s="1"/>
      <x:c r="B1961" s="1"/>
      <x:c r="C1961" s="1"/>
      <x:c r="D1961" s="1"/>
      <x:c r="E1961" s="1"/>
      <x:c r="F1961" s="1"/>
      <x:c r="G1961" s="1"/>
      <x:c r="H1961" s="1"/>
      <x:c r="I1961" s="1"/>
      <x:c r="J1961" s="1"/>
      <x:c r="K1961" s="1"/>
      <x:c r="L1961" s="1"/>
      <x:c r="M1961" s="1"/>
      <x:c r="N1961" s="1"/>
      <x:c r="O1961" s="1"/>
      <x:c r="P1961" s="1"/>
      <x:c r="Q1961" s="1"/>
      <x:c r="R1961" s="1"/>
      <x:c r="S1961" s="1"/>
      <x:c r="T1961" s="1"/>
      <x:c r="U1961" s="1"/>
      <x:c r="V1961" s="1"/>
    </x:row>
    <x:row r="1962">
      <x:c r="A1962" s="1"/>
      <x:c r="B1962" s="1"/>
      <x:c r="C1962" s="1"/>
      <x:c r="D1962" s="1"/>
      <x:c r="E1962" s="1"/>
      <x:c r="F1962" s="1"/>
      <x:c r="G1962" s="1"/>
      <x:c r="H1962" s="1"/>
      <x:c r="I1962" s="1"/>
      <x:c r="J1962" s="1"/>
      <x:c r="K1962" s="1"/>
      <x:c r="L1962" s="1"/>
      <x:c r="M1962" s="1"/>
      <x:c r="N1962" s="1"/>
      <x:c r="O1962" s="1"/>
      <x:c r="P1962" s="1"/>
      <x:c r="Q1962" s="1"/>
      <x:c r="R1962" s="1"/>
      <x:c r="S1962" s="1"/>
      <x:c r="T1962" s="1"/>
      <x:c r="U1962" s="1"/>
      <x:c r="V1962" s="1"/>
    </x:row>
    <x:row r="1963">
      <x:c r="A1963" s="1"/>
      <x:c r="B1963" s="1"/>
      <x:c r="C1963" s="1"/>
      <x:c r="D1963" s="1"/>
      <x:c r="E1963" s="1"/>
      <x:c r="F1963" s="1"/>
      <x:c r="G1963" s="1"/>
      <x:c r="H1963" s="1"/>
      <x:c r="I1963" s="1"/>
      <x:c r="J1963" s="1"/>
      <x:c r="K1963" s="1"/>
      <x:c r="L1963" s="1"/>
      <x:c r="M1963" s="1"/>
      <x:c r="N1963" s="1"/>
      <x:c r="O1963" s="1"/>
      <x:c r="P1963" s="1"/>
      <x:c r="Q1963" s="1"/>
      <x:c r="R1963" s="1"/>
      <x:c r="S1963" s="1"/>
      <x:c r="T1963" s="1"/>
      <x:c r="U1963" s="1"/>
      <x:c r="V1963" s="1"/>
    </x:row>
    <x:row r="1964">
      <x:c r="A1964" s="1"/>
      <x:c r="B1964" s="1"/>
      <x:c r="C1964" s="1"/>
      <x:c r="D1964" s="1"/>
      <x:c r="E1964" s="1"/>
      <x:c r="F1964" s="1"/>
      <x:c r="G1964" s="1"/>
      <x:c r="H1964" s="1"/>
      <x:c r="I1964" s="1"/>
      <x:c r="J1964" s="1"/>
      <x:c r="K1964" s="1"/>
      <x:c r="L1964" s="1"/>
      <x:c r="M1964" s="1"/>
      <x:c r="N1964" s="1"/>
      <x:c r="O1964" s="1"/>
      <x:c r="P1964" s="1"/>
      <x:c r="Q1964" s="1"/>
      <x:c r="R1964" s="1"/>
      <x:c r="S1964" s="1"/>
      <x:c r="T1964" s="1"/>
      <x:c r="U1964" s="1"/>
      <x:c r="V1964" s="1"/>
    </x:row>
    <x:row r="1965">
      <x:c r="A1965" s="1"/>
      <x:c r="B1965" s="1"/>
      <x:c r="C1965" s="1"/>
      <x:c r="D1965" s="1"/>
      <x:c r="E1965" s="1"/>
      <x:c r="F1965" s="1"/>
      <x:c r="G1965" s="1"/>
      <x:c r="H1965" s="1"/>
      <x:c r="I1965" s="1"/>
      <x:c r="J1965" s="1"/>
      <x:c r="K1965" s="1"/>
      <x:c r="L1965" s="1"/>
      <x:c r="M1965" s="1"/>
      <x:c r="N1965" s="1"/>
      <x:c r="O1965" s="1"/>
      <x:c r="P1965" s="1"/>
      <x:c r="Q1965" s="1"/>
      <x:c r="R1965" s="1"/>
      <x:c r="S1965" s="1"/>
      <x:c r="T1965" s="1"/>
      <x:c r="U1965" s="1"/>
      <x:c r="V1965" s="1"/>
    </x:row>
    <x:row r="1966">
      <x:c r="A1966" s="1"/>
      <x:c r="B1966" s="1"/>
      <x:c r="C1966" s="1"/>
      <x:c r="D1966" s="1"/>
      <x:c r="E1966" s="1"/>
      <x:c r="F1966" s="1"/>
      <x:c r="G1966" s="1"/>
      <x:c r="H1966" s="1"/>
      <x:c r="I1966" s="1"/>
      <x:c r="J1966" s="1"/>
      <x:c r="K1966" s="1"/>
      <x:c r="L1966" s="1"/>
      <x:c r="M1966" s="1"/>
      <x:c r="N1966" s="1"/>
      <x:c r="O1966" s="1"/>
      <x:c r="P1966" s="1"/>
      <x:c r="Q1966" s="1"/>
      <x:c r="R1966" s="1"/>
      <x:c r="S1966" s="1"/>
      <x:c r="T1966" s="1"/>
      <x:c r="U1966" s="1"/>
      <x:c r="V1966" s="1"/>
    </x:row>
    <x:row r="1967">
      <x:c r="A1967" s="1"/>
      <x:c r="B1967" s="1"/>
      <x:c r="C1967" s="1"/>
      <x:c r="D1967" s="1"/>
      <x:c r="E1967" s="1"/>
      <x:c r="F1967" s="1"/>
      <x:c r="G1967" s="1"/>
      <x:c r="H1967" s="1"/>
      <x:c r="I1967" s="1"/>
      <x:c r="J1967" s="1"/>
      <x:c r="K1967" s="1"/>
      <x:c r="L1967" s="1"/>
      <x:c r="M1967" s="1"/>
      <x:c r="N1967" s="1"/>
      <x:c r="O1967" s="1"/>
      <x:c r="P1967" s="1"/>
      <x:c r="Q1967" s="1"/>
      <x:c r="R1967" s="1"/>
      <x:c r="S1967" s="1"/>
      <x:c r="T1967" s="1"/>
      <x:c r="U1967" s="1"/>
      <x:c r="V1967" s="1"/>
    </x:row>
    <x:row r="1968">
      <x:c r="A1968" s="1"/>
      <x:c r="B1968" s="1"/>
      <x:c r="C1968" s="1"/>
      <x:c r="D1968" s="1"/>
      <x:c r="E1968" s="1"/>
      <x:c r="F1968" s="1"/>
      <x:c r="G1968" s="1"/>
      <x:c r="H1968" s="1"/>
      <x:c r="I1968" s="1"/>
      <x:c r="J1968" s="1"/>
      <x:c r="K1968" s="1"/>
      <x:c r="L1968" s="1"/>
      <x:c r="M1968" s="1"/>
      <x:c r="N1968" s="1"/>
      <x:c r="O1968" s="1"/>
      <x:c r="P1968" s="1"/>
      <x:c r="Q1968" s="1"/>
      <x:c r="R1968" s="1"/>
      <x:c r="S1968" s="1"/>
      <x:c r="T1968" s="1"/>
      <x:c r="U1968" s="1"/>
      <x:c r="V1968" s="1"/>
    </x:row>
    <x:row r="1969">
      <x:c r="A1969" s="1"/>
      <x:c r="B1969" s="1"/>
      <x:c r="C1969" s="1"/>
      <x:c r="D1969" s="1"/>
      <x:c r="E1969" s="1"/>
      <x:c r="F1969" s="1"/>
      <x:c r="G1969" s="1"/>
      <x:c r="H1969" s="1"/>
      <x:c r="I1969" s="1"/>
      <x:c r="J1969" s="1"/>
      <x:c r="K1969" s="1"/>
      <x:c r="L1969" s="1"/>
      <x:c r="M1969" s="1"/>
      <x:c r="N1969" s="1"/>
      <x:c r="O1969" s="1"/>
      <x:c r="P1969" s="1"/>
      <x:c r="Q1969" s="1"/>
      <x:c r="R1969" s="1"/>
      <x:c r="S1969" s="1"/>
      <x:c r="T1969" s="1"/>
      <x:c r="U1969" s="1"/>
      <x:c r="V1969" s="1"/>
    </x:row>
    <x:row r="1970">
      <x:c r="A1970" s="1"/>
      <x:c r="B1970" s="1"/>
      <x:c r="C1970" s="1"/>
      <x:c r="D1970" s="1"/>
      <x:c r="E1970" s="1"/>
      <x:c r="F1970" s="1"/>
      <x:c r="G1970" s="1"/>
      <x:c r="H1970" s="1"/>
      <x:c r="I1970" s="1"/>
      <x:c r="J1970" s="1"/>
      <x:c r="K1970" s="1"/>
      <x:c r="L1970" s="1"/>
      <x:c r="M1970" s="1"/>
      <x:c r="N1970" s="1"/>
      <x:c r="O1970" s="1"/>
      <x:c r="P1970" s="1"/>
      <x:c r="Q1970" s="1"/>
      <x:c r="R1970" s="1"/>
      <x:c r="S1970" s="1"/>
      <x:c r="T1970" s="1"/>
      <x:c r="U1970" s="1"/>
      <x:c r="V1970" s="1"/>
    </x:row>
    <x:row r="1971">
      <x:c r="A1971" s="1"/>
      <x:c r="B1971" s="1"/>
      <x:c r="C1971" s="1"/>
      <x:c r="D1971" s="1"/>
      <x:c r="E1971" s="1"/>
      <x:c r="F1971" s="1"/>
      <x:c r="G1971" s="1"/>
      <x:c r="H1971" s="1"/>
      <x:c r="I1971" s="1"/>
      <x:c r="J1971" s="1"/>
      <x:c r="K1971" s="1"/>
      <x:c r="L1971" s="1"/>
      <x:c r="M1971" s="1"/>
      <x:c r="N1971" s="1"/>
      <x:c r="O1971" s="1"/>
      <x:c r="P1971" s="1"/>
      <x:c r="Q1971" s="1"/>
      <x:c r="R1971" s="1"/>
      <x:c r="S1971" s="1"/>
      <x:c r="T1971" s="1"/>
      <x:c r="U1971" s="1"/>
      <x:c r="V1971" s="1"/>
    </x:row>
    <x:row r="1972">
      <x:c r="A1972" s="1"/>
      <x:c r="B1972" s="1"/>
      <x:c r="C1972" s="1"/>
      <x:c r="D1972" s="1"/>
      <x:c r="E1972" s="1"/>
      <x:c r="F1972" s="1"/>
      <x:c r="G1972" s="1"/>
      <x:c r="H1972" s="1"/>
      <x:c r="I1972" s="1"/>
      <x:c r="J1972" s="1"/>
      <x:c r="K1972" s="1"/>
      <x:c r="L1972" s="1"/>
      <x:c r="M1972" s="1"/>
      <x:c r="N1972" s="1"/>
      <x:c r="O1972" s="1"/>
      <x:c r="P1972" s="1"/>
      <x:c r="Q1972" s="1"/>
      <x:c r="R1972" s="1"/>
      <x:c r="S1972" s="1"/>
      <x:c r="T1972" s="1"/>
      <x:c r="U1972" s="1"/>
      <x:c r="V1972" s="1"/>
    </x:row>
    <x:row r="1973">
      <x:c r="A1973" s="1"/>
      <x:c r="B1973" s="1"/>
      <x:c r="C1973" s="1"/>
      <x:c r="D1973" s="1"/>
      <x:c r="E1973" s="1"/>
      <x:c r="F1973" s="1"/>
      <x:c r="G1973" s="1"/>
      <x:c r="H1973" s="1"/>
      <x:c r="I1973" s="1"/>
      <x:c r="J1973" s="1"/>
      <x:c r="K1973" s="1"/>
      <x:c r="L1973" s="1"/>
      <x:c r="M1973" s="1"/>
      <x:c r="N1973" s="1"/>
      <x:c r="O1973" s="1"/>
      <x:c r="P1973" s="1"/>
      <x:c r="Q1973" s="1"/>
      <x:c r="R1973" s="1"/>
      <x:c r="S1973" s="1"/>
      <x:c r="T1973" s="1"/>
      <x:c r="U1973" s="1"/>
      <x:c r="V1973" s="1"/>
    </x:row>
    <x:row r="1974">
      <x:c r="A1974" s="1"/>
      <x:c r="B1974" s="1"/>
      <x:c r="C1974" s="1"/>
      <x:c r="D1974" s="1"/>
      <x:c r="E1974" s="1"/>
      <x:c r="F1974" s="1"/>
      <x:c r="G1974" s="1"/>
      <x:c r="H1974" s="1"/>
      <x:c r="I1974" s="1"/>
      <x:c r="J1974" s="1"/>
      <x:c r="K1974" s="1"/>
      <x:c r="L1974" s="1"/>
      <x:c r="M1974" s="1"/>
      <x:c r="N1974" s="1"/>
      <x:c r="O1974" s="1"/>
      <x:c r="P1974" s="1"/>
      <x:c r="Q1974" s="1"/>
      <x:c r="R1974" s="1"/>
      <x:c r="S1974" s="1"/>
      <x:c r="T1974" s="1"/>
      <x:c r="U1974" s="1"/>
      <x:c r="V1974" s="1"/>
    </x:row>
    <x:row r="1975">
      <x:c r="A1975" s="1"/>
      <x:c r="B1975" s="1"/>
      <x:c r="C1975" s="1"/>
      <x:c r="D1975" s="1"/>
      <x:c r="E1975" s="1"/>
      <x:c r="F1975" s="1"/>
      <x:c r="G1975" s="1"/>
      <x:c r="H1975" s="1"/>
      <x:c r="I1975" s="1"/>
      <x:c r="J1975" s="1"/>
      <x:c r="K1975" s="1"/>
      <x:c r="L1975" s="1"/>
      <x:c r="M1975" s="1"/>
      <x:c r="N1975" s="1"/>
      <x:c r="O1975" s="1"/>
      <x:c r="P1975" s="1"/>
      <x:c r="Q1975" s="1"/>
      <x:c r="R1975" s="1"/>
      <x:c r="S1975" s="1"/>
      <x:c r="T1975" s="1"/>
      <x:c r="U1975" s="1"/>
      <x:c r="V1975" s="1"/>
    </x:row>
    <x:row r="1976">
      <x:c r="A1976" s="1"/>
      <x:c r="B1976" s="1"/>
      <x:c r="C1976" s="1"/>
      <x:c r="D1976" s="1"/>
      <x:c r="E1976" s="1"/>
      <x:c r="F1976" s="1"/>
      <x:c r="G1976" s="1"/>
      <x:c r="H1976" s="1"/>
      <x:c r="I1976" s="1"/>
      <x:c r="J1976" s="1"/>
      <x:c r="K1976" s="1"/>
      <x:c r="L1976" s="1"/>
      <x:c r="M1976" s="1"/>
      <x:c r="N1976" s="1"/>
      <x:c r="O1976" s="1"/>
      <x:c r="P1976" s="1"/>
      <x:c r="Q1976" s="1"/>
      <x:c r="R1976" s="1"/>
      <x:c r="S1976" s="1"/>
      <x:c r="T1976" s="1"/>
      <x:c r="U1976" s="1"/>
      <x:c r="V1976" s="1"/>
    </x:row>
    <x:row r="1977">
      <x:c r="A1977" s="1"/>
      <x:c r="B1977" s="1"/>
      <x:c r="C1977" s="1"/>
      <x:c r="D1977" s="1"/>
      <x:c r="E1977" s="1"/>
      <x:c r="F1977" s="1"/>
      <x:c r="G1977" s="1"/>
      <x:c r="H1977" s="1"/>
      <x:c r="I1977" s="1"/>
      <x:c r="J1977" s="1"/>
      <x:c r="K1977" s="1"/>
      <x:c r="L1977" s="1"/>
      <x:c r="M1977" s="1"/>
      <x:c r="N1977" s="1"/>
      <x:c r="O1977" s="1"/>
      <x:c r="P1977" s="1"/>
      <x:c r="Q1977" s="1"/>
      <x:c r="R1977" s="1"/>
      <x:c r="S1977" s="1"/>
      <x:c r="T1977" s="1"/>
      <x:c r="U1977" s="1"/>
      <x:c r="V1977" s="1"/>
    </x:row>
    <x:row r="1978">
      <x:c r="A1978" s="1"/>
      <x:c r="B1978" s="1"/>
      <x:c r="C1978" s="1"/>
      <x:c r="D1978" s="1"/>
      <x:c r="E1978" s="1"/>
      <x:c r="F1978" s="1"/>
      <x:c r="G1978" s="1"/>
      <x:c r="H1978" s="1"/>
      <x:c r="I1978" s="1"/>
      <x:c r="J1978" s="1"/>
      <x:c r="K1978" s="1"/>
      <x:c r="L1978" s="1"/>
      <x:c r="M1978" s="1"/>
      <x:c r="N1978" s="1"/>
      <x:c r="O1978" s="1"/>
      <x:c r="P1978" s="1"/>
      <x:c r="Q1978" s="1"/>
      <x:c r="R1978" s="1"/>
      <x:c r="S1978" s="1"/>
      <x:c r="T1978" s="1"/>
      <x:c r="U1978" s="1"/>
      <x:c r="V1978" s="1"/>
    </x:row>
    <x:row r="1979">
      <x:c r="A1979" s="1"/>
      <x:c r="B1979" s="1"/>
      <x:c r="C1979" s="1"/>
      <x:c r="D1979" s="1"/>
      <x:c r="E1979" s="1"/>
      <x:c r="F1979" s="1"/>
      <x:c r="G1979" s="1"/>
      <x:c r="H1979" s="1"/>
      <x:c r="I1979" s="1"/>
      <x:c r="J1979" s="1"/>
      <x:c r="K1979" s="1"/>
      <x:c r="L1979" s="1"/>
      <x:c r="M1979" s="1"/>
      <x:c r="N1979" s="1"/>
      <x:c r="O1979" s="1"/>
      <x:c r="P1979" s="1"/>
      <x:c r="Q1979" s="1"/>
      <x:c r="R1979" s="1"/>
      <x:c r="S1979" s="1"/>
      <x:c r="T1979" s="1"/>
      <x:c r="U1979" s="1"/>
      <x:c r="V1979" s="1"/>
    </x:row>
    <x:row r="1980">
      <x:c r="A1980" s="1"/>
      <x:c r="B1980" s="1"/>
      <x:c r="C1980" s="1"/>
      <x:c r="D1980" s="1"/>
      <x:c r="E1980" s="1"/>
      <x:c r="F1980" s="1"/>
      <x:c r="G1980" s="1"/>
      <x:c r="H1980" s="1"/>
      <x:c r="I1980" s="1"/>
      <x:c r="J1980" s="1"/>
      <x:c r="K1980" s="1"/>
      <x:c r="L1980" s="1"/>
      <x:c r="M1980" s="1"/>
      <x:c r="N1980" s="1"/>
      <x:c r="O1980" s="1"/>
      <x:c r="P1980" s="1"/>
      <x:c r="Q1980" s="1"/>
      <x:c r="R1980" s="1"/>
      <x:c r="S1980" s="1"/>
      <x:c r="T1980" s="1"/>
      <x:c r="U1980" s="1"/>
      <x:c r="V1980" s="1"/>
    </x:row>
    <x:row r="1981">
      <x:c r="A1981" s="1"/>
      <x:c r="B1981" s="1"/>
      <x:c r="C1981" s="1"/>
      <x:c r="D1981" s="1"/>
      <x:c r="E1981" s="1"/>
      <x:c r="F1981" s="1"/>
      <x:c r="G1981" s="1"/>
      <x:c r="H1981" s="1"/>
      <x:c r="I1981" s="1"/>
      <x:c r="J1981" s="1"/>
      <x:c r="K1981" s="1"/>
      <x:c r="L1981" s="1"/>
      <x:c r="M1981" s="1"/>
      <x:c r="N1981" s="1"/>
      <x:c r="O1981" s="1"/>
      <x:c r="P1981" s="1"/>
      <x:c r="Q1981" s="1"/>
      <x:c r="R1981" s="1"/>
      <x:c r="S1981" s="1"/>
      <x:c r="T1981" s="1"/>
      <x:c r="U1981" s="1"/>
      <x:c r="V1981" s="1"/>
    </x:row>
    <x:row r="1982">
      <x:c r="A1982" s="1"/>
      <x:c r="B1982" s="1"/>
      <x:c r="C1982" s="1"/>
      <x:c r="D1982" s="1"/>
      <x:c r="E1982" s="1"/>
      <x:c r="F1982" s="1"/>
      <x:c r="G1982" s="1"/>
      <x:c r="H1982" s="1"/>
      <x:c r="I1982" s="1"/>
      <x:c r="J1982" s="1"/>
      <x:c r="K1982" s="1"/>
      <x:c r="L1982" s="1"/>
      <x:c r="M1982" s="1"/>
      <x:c r="N1982" s="1"/>
      <x:c r="O1982" s="1"/>
      <x:c r="P1982" s="1"/>
      <x:c r="Q1982" s="1"/>
      <x:c r="R1982" s="1"/>
      <x:c r="S1982" s="1"/>
      <x:c r="T1982" s="1"/>
      <x:c r="U1982" s="1"/>
      <x:c r="V1982" s="1"/>
    </x:row>
    <x:row r="1983">
      <x:c r="A1983" s="1"/>
      <x:c r="B1983" s="1"/>
      <x:c r="C1983" s="1"/>
      <x:c r="D1983" s="1"/>
      <x:c r="E1983" s="1"/>
      <x:c r="F1983" s="1"/>
      <x:c r="G1983" s="1"/>
      <x:c r="H1983" s="1"/>
      <x:c r="I1983" s="1"/>
      <x:c r="J1983" s="1"/>
      <x:c r="K1983" s="1"/>
      <x:c r="L1983" s="1"/>
      <x:c r="M1983" s="1"/>
      <x:c r="N1983" s="1"/>
      <x:c r="O1983" s="1"/>
      <x:c r="P1983" s="1"/>
      <x:c r="Q1983" s="1"/>
      <x:c r="R1983" s="1"/>
      <x:c r="S1983" s="1"/>
      <x:c r="T1983" s="1"/>
      <x:c r="U1983" s="1"/>
      <x:c r="V1983" s="1"/>
    </x:row>
    <x:row r="1984">
      <x:c r="A1984" s="1"/>
      <x:c r="B1984" s="1"/>
      <x:c r="C1984" s="1"/>
      <x:c r="D1984" s="1"/>
      <x:c r="E1984" s="1"/>
      <x:c r="F1984" s="1"/>
      <x:c r="G1984" s="1"/>
      <x:c r="H1984" s="1"/>
      <x:c r="I1984" s="1"/>
      <x:c r="J1984" s="1"/>
      <x:c r="K1984" s="1"/>
      <x:c r="L1984" s="1"/>
      <x:c r="M1984" s="1"/>
      <x:c r="N1984" s="1"/>
      <x:c r="O1984" s="1"/>
      <x:c r="P1984" s="1"/>
      <x:c r="Q1984" s="1"/>
      <x:c r="R1984" s="1"/>
      <x:c r="S1984" s="1"/>
      <x:c r="T1984" s="1"/>
      <x:c r="U1984" s="1"/>
      <x:c r="V1984" s="1"/>
    </x:row>
    <x:row r="1985">
      <x:c r="A1985" s="1"/>
      <x:c r="B1985" s="1"/>
      <x:c r="C1985" s="1"/>
      <x:c r="D1985" s="1"/>
      <x:c r="E1985" s="1"/>
      <x:c r="F1985" s="1"/>
      <x:c r="G1985" s="1"/>
      <x:c r="H1985" s="1"/>
      <x:c r="I1985" s="1"/>
      <x:c r="J1985" s="1"/>
      <x:c r="K1985" s="1"/>
      <x:c r="L1985" s="1"/>
      <x:c r="M1985" s="1"/>
      <x:c r="N1985" s="1"/>
      <x:c r="O1985" s="1"/>
      <x:c r="P1985" s="1"/>
      <x:c r="Q1985" s="1"/>
      <x:c r="R1985" s="1"/>
      <x:c r="S1985" s="1"/>
      <x:c r="T1985" s="1"/>
      <x:c r="U1985" s="1"/>
      <x:c r="V1985" s="1"/>
    </x:row>
    <x:row r="1986">
      <x:c r="A1986" s="1"/>
      <x:c r="B1986" s="1"/>
      <x:c r="C1986" s="1"/>
      <x:c r="D1986" s="1"/>
      <x:c r="E1986" s="1"/>
      <x:c r="F1986" s="1"/>
      <x:c r="G1986" s="1"/>
      <x:c r="H1986" s="1"/>
      <x:c r="I1986" s="1"/>
      <x:c r="J1986" s="1"/>
      <x:c r="K1986" s="1"/>
      <x:c r="L1986" s="1"/>
      <x:c r="M1986" s="1"/>
      <x:c r="N1986" s="1"/>
      <x:c r="O1986" s="1"/>
      <x:c r="P1986" s="1"/>
      <x:c r="Q1986" s="1"/>
      <x:c r="R1986" s="1"/>
      <x:c r="S1986" s="1"/>
      <x:c r="T1986" s="1"/>
      <x:c r="U1986" s="1"/>
      <x:c r="V1986" s="1"/>
    </x:row>
    <x:row r="1987">
      <x:c r="A1987" s="1"/>
      <x:c r="B1987" s="1"/>
      <x:c r="C1987" s="1"/>
      <x:c r="D1987" s="1"/>
      <x:c r="E1987" s="1"/>
      <x:c r="F1987" s="1"/>
      <x:c r="G1987" s="1"/>
      <x:c r="H1987" s="1"/>
      <x:c r="I1987" s="1"/>
      <x:c r="J1987" s="1"/>
      <x:c r="K1987" s="1"/>
      <x:c r="L1987" s="1"/>
      <x:c r="M1987" s="1"/>
      <x:c r="N1987" s="1"/>
      <x:c r="O1987" s="1"/>
      <x:c r="P1987" s="1"/>
      <x:c r="Q1987" s="1"/>
      <x:c r="R1987" s="1"/>
      <x:c r="S1987" s="1"/>
      <x:c r="T1987" s="1"/>
      <x:c r="U1987" s="1"/>
      <x:c r="V1987" s="1"/>
    </x:row>
    <x:row r="1988">
      <x:c r="A1988" s="1"/>
      <x:c r="B1988" s="1"/>
      <x:c r="C1988" s="1"/>
      <x:c r="D1988" s="1"/>
      <x:c r="E1988" s="1"/>
      <x:c r="F1988" s="1"/>
      <x:c r="G1988" s="1"/>
      <x:c r="H1988" s="1"/>
      <x:c r="I1988" s="1"/>
      <x:c r="J1988" s="1"/>
      <x:c r="K1988" s="1"/>
      <x:c r="L1988" s="1"/>
      <x:c r="M1988" s="1"/>
      <x:c r="N1988" s="1"/>
      <x:c r="O1988" s="1"/>
      <x:c r="P1988" s="1"/>
      <x:c r="Q1988" s="1"/>
      <x:c r="R1988" s="1"/>
      <x:c r="S1988" s="1"/>
      <x:c r="T1988" s="1"/>
      <x:c r="U1988" s="1"/>
      <x:c r="V1988" s="1"/>
    </x:row>
    <x:row r="1989">
      <x:c r="A1989" s="1"/>
      <x:c r="B1989" s="1"/>
      <x:c r="C1989" s="1"/>
      <x:c r="D1989" s="1"/>
      <x:c r="E1989" s="1"/>
      <x:c r="F1989" s="1"/>
      <x:c r="G1989" s="1"/>
      <x:c r="H1989" s="1"/>
      <x:c r="I1989" s="1"/>
      <x:c r="J1989" s="1"/>
      <x:c r="K1989" s="1"/>
      <x:c r="L1989" s="1"/>
      <x:c r="M1989" s="1"/>
      <x:c r="N1989" s="1"/>
      <x:c r="O1989" s="1"/>
      <x:c r="P1989" s="1"/>
      <x:c r="Q1989" s="1"/>
      <x:c r="R1989" s="1"/>
      <x:c r="S1989" s="1"/>
      <x:c r="T1989" s="1"/>
      <x:c r="U1989" s="1"/>
      <x:c r="V1989" s="1"/>
    </x:row>
    <x:row r="1990">
      <x:c r="A1990" s="1"/>
      <x:c r="B1990" s="1"/>
      <x:c r="C1990" s="1"/>
      <x:c r="D1990" s="1"/>
      <x:c r="E1990" s="1"/>
      <x:c r="F1990" s="1"/>
      <x:c r="G1990" s="1"/>
      <x:c r="H1990" s="1"/>
      <x:c r="I1990" s="1"/>
      <x:c r="J1990" s="1"/>
      <x:c r="K1990" s="1"/>
      <x:c r="L1990" s="1"/>
      <x:c r="M1990" s="1"/>
      <x:c r="N1990" s="1"/>
      <x:c r="O1990" s="1"/>
      <x:c r="P1990" s="1"/>
      <x:c r="Q1990" s="1"/>
      <x:c r="R1990" s="1"/>
      <x:c r="S1990" s="1"/>
      <x:c r="T1990" s="1"/>
      <x:c r="U1990" s="1"/>
      <x:c r="V1990" s="1"/>
    </x:row>
    <x:row r="1991">
      <x:c r="A1991" s="1"/>
      <x:c r="B1991" s="1"/>
      <x:c r="C1991" s="1"/>
      <x:c r="D1991" s="1"/>
      <x:c r="E1991" s="1"/>
      <x:c r="F1991" s="1"/>
      <x:c r="G1991" s="1"/>
      <x:c r="H1991" s="1"/>
      <x:c r="I1991" s="1"/>
      <x:c r="J1991" s="1"/>
      <x:c r="K1991" s="1"/>
      <x:c r="L1991" s="1"/>
      <x:c r="M1991" s="1"/>
      <x:c r="N1991" s="1"/>
      <x:c r="O1991" s="1"/>
      <x:c r="P1991" s="1"/>
      <x:c r="Q1991" s="1"/>
      <x:c r="R1991" s="1"/>
      <x:c r="S1991" s="1"/>
      <x:c r="T1991" s="1"/>
      <x:c r="U1991" s="1"/>
      <x:c r="V1991" s="1"/>
    </x:row>
    <x:row r="1992">
      <x:c r="A1992" s="1"/>
      <x:c r="B1992" s="1"/>
      <x:c r="C1992" s="1"/>
      <x:c r="D1992" s="1"/>
      <x:c r="E1992" s="1"/>
      <x:c r="F1992" s="1"/>
      <x:c r="G1992" s="1"/>
      <x:c r="H1992" s="1"/>
      <x:c r="I1992" s="1"/>
      <x:c r="J1992" s="1"/>
      <x:c r="K1992" s="1"/>
      <x:c r="L1992" s="1"/>
      <x:c r="M1992" s="1"/>
      <x:c r="N1992" s="1"/>
      <x:c r="O1992" s="1"/>
      <x:c r="P1992" s="1"/>
      <x:c r="Q1992" s="1"/>
      <x:c r="R1992" s="1"/>
      <x:c r="S1992" s="1"/>
      <x:c r="T1992" s="1"/>
      <x:c r="U1992" s="1"/>
      <x:c r="V1992" s="1"/>
    </x:row>
    <x:row r="1993">
      <x:c r="A1993" s="1"/>
      <x:c r="B1993" s="1"/>
      <x:c r="C1993" s="1"/>
      <x:c r="D1993" s="1"/>
      <x:c r="E1993" s="1"/>
      <x:c r="F1993" s="1"/>
      <x:c r="G1993" s="1"/>
      <x:c r="H1993" s="1"/>
      <x:c r="I1993" s="1"/>
      <x:c r="J1993" s="1"/>
      <x:c r="K1993" s="1"/>
      <x:c r="L1993" s="1"/>
      <x:c r="M1993" s="1"/>
      <x:c r="N1993" s="1"/>
      <x:c r="O1993" s="1"/>
      <x:c r="P1993" s="1"/>
      <x:c r="Q1993" s="1"/>
      <x:c r="R1993" s="1"/>
      <x:c r="S1993" s="1"/>
      <x:c r="T1993" s="1"/>
      <x:c r="U1993" s="1"/>
      <x:c r="V1993" s="1"/>
    </x:row>
    <x:row r="1994">
      <x:c r="A1994" s="1"/>
      <x:c r="B1994" s="1"/>
      <x:c r="C1994" s="1"/>
      <x:c r="D1994" s="1"/>
      <x:c r="E1994" s="1"/>
      <x:c r="F1994" s="1"/>
      <x:c r="G1994" s="1"/>
      <x:c r="H1994" s="1"/>
      <x:c r="I1994" s="1"/>
      <x:c r="J1994" s="1"/>
      <x:c r="K1994" s="1"/>
      <x:c r="L1994" s="1"/>
      <x:c r="M1994" s="1"/>
      <x:c r="N1994" s="1"/>
      <x:c r="O1994" s="1"/>
      <x:c r="P1994" s="1"/>
      <x:c r="Q1994" s="1"/>
      <x:c r="R1994" s="1"/>
      <x:c r="S1994" s="1"/>
      <x:c r="T1994" s="1"/>
      <x:c r="U1994" s="1"/>
      <x:c r="V1994" s="1"/>
    </x:row>
    <x:row r="1995">
      <x:c r="A1995" s="1"/>
      <x:c r="B1995" s="1"/>
      <x:c r="C1995" s="1"/>
      <x:c r="D1995" s="1"/>
      <x:c r="E1995" s="1"/>
      <x:c r="F1995" s="1"/>
      <x:c r="G1995" s="1"/>
      <x:c r="H1995" s="1"/>
      <x:c r="I1995" s="1"/>
      <x:c r="J1995" s="1"/>
      <x:c r="K1995" s="1"/>
      <x:c r="L1995" s="1"/>
      <x:c r="M1995" s="1"/>
      <x:c r="N1995" s="1"/>
      <x:c r="O1995" s="1"/>
      <x:c r="P1995" s="1"/>
      <x:c r="Q1995" s="1"/>
      <x:c r="R1995" s="1"/>
      <x:c r="S1995" s="1"/>
      <x:c r="T1995" s="1"/>
      <x:c r="U1995" s="1"/>
      <x:c r="V1995" s="1"/>
    </x:row>
    <x:row r="1996">
      <x:c r="A1996" s="1"/>
      <x:c r="B1996" s="1"/>
      <x:c r="C1996" s="1"/>
      <x:c r="D1996" s="1"/>
      <x:c r="E1996" s="1"/>
      <x:c r="F1996" s="1"/>
      <x:c r="G1996" s="1"/>
      <x:c r="H1996" s="1"/>
      <x:c r="I1996" s="1"/>
      <x:c r="J1996" s="1"/>
      <x:c r="K1996" s="1"/>
      <x:c r="L1996" s="1"/>
      <x:c r="M1996" s="1"/>
      <x:c r="N1996" s="1"/>
      <x:c r="O1996" s="1"/>
      <x:c r="P1996" s="1"/>
      <x:c r="Q1996" s="1"/>
      <x:c r="R1996" s="1"/>
      <x:c r="S1996" s="1"/>
      <x:c r="T1996" s="1"/>
      <x:c r="U1996" s="1"/>
      <x:c r="V1996" s="1"/>
    </x:row>
    <x:row r="1997">
      <x:c r="A1997" s="1"/>
      <x:c r="B1997" s="1"/>
      <x:c r="C1997" s="1"/>
      <x:c r="D1997" s="1"/>
      <x:c r="E1997" s="1"/>
      <x:c r="F1997" s="1"/>
      <x:c r="G1997" s="1"/>
      <x:c r="H1997" s="1"/>
      <x:c r="I1997" s="1"/>
      <x:c r="J1997" s="1"/>
      <x:c r="K1997" s="1"/>
      <x:c r="L1997" s="1"/>
      <x:c r="M1997" s="1"/>
      <x:c r="N1997" s="1"/>
      <x:c r="O1997" s="1"/>
      <x:c r="P1997" s="1"/>
      <x:c r="Q1997" s="1"/>
      <x:c r="R1997" s="1"/>
      <x:c r="S1997" s="1"/>
      <x:c r="T1997" s="1"/>
      <x:c r="U1997" s="1"/>
      <x:c r="V1997" s="1"/>
    </x:row>
    <x:row r="1998">
      <x:c r="A1998" s="1"/>
      <x:c r="B1998" s="1"/>
      <x:c r="C1998" s="1"/>
      <x:c r="D1998" s="1"/>
      <x:c r="E1998" s="1"/>
      <x:c r="F1998" s="1"/>
      <x:c r="G1998" s="1"/>
      <x:c r="H1998" s="1"/>
      <x:c r="I1998" s="1"/>
      <x:c r="J1998" s="1"/>
      <x:c r="K1998" s="1"/>
      <x:c r="L1998" s="1"/>
      <x:c r="M1998" s="1"/>
      <x:c r="N1998" s="1"/>
      <x:c r="O1998" s="1"/>
      <x:c r="P1998" s="1"/>
      <x:c r="Q1998" s="1"/>
      <x:c r="R1998" s="1"/>
      <x:c r="S1998" s="1"/>
      <x:c r="T1998" s="1"/>
      <x:c r="U1998" s="1"/>
      <x:c r="V1998" s="1"/>
    </x:row>
    <x:row r="1999">
      <x:c r="A1999" s="1"/>
      <x:c r="B1999" s="1"/>
      <x:c r="C1999" s="1"/>
      <x:c r="D1999" s="1"/>
      <x:c r="E1999" s="1"/>
      <x:c r="F1999" s="1"/>
      <x:c r="G1999" s="1"/>
      <x:c r="H1999" s="1"/>
      <x:c r="I1999" s="1"/>
      <x:c r="J1999" s="1"/>
      <x:c r="K1999" s="1"/>
      <x:c r="L1999" s="1"/>
      <x:c r="M1999" s="1"/>
      <x:c r="N1999" s="1"/>
      <x:c r="O1999" s="1"/>
      <x:c r="P1999" s="1"/>
      <x:c r="Q1999" s="1"/>
      <x:c r="R1999" s="1"/>
      <x:c r="S1999" s="1"/>
      <x:c r="T1999" s="1"/>
      <x:c r="U1999" s="1"/>
      <x:c r="V1999" s="1"/>
    </x:row>
    <x:row r="2000">
      <x:c r="A2000" s="1"/>
      <x:c r="B2000" s="1"/>
      <x:c r="C2000" s="1"/>
      <x:c r="D2000" s="1"/>
      <x:c r="E2000" s="1"/>
      <x:c r="F2000" s="1"/>
      <x:c r="G2000" s="1"/>
      <x:c r="H2000" s="1"/>
      <x:c r="I2000" s="1"/>
      <x:c r="J2000" s="1"/>
      <x:c r="K2000" s="1"/>
      <x:c r="L2000" s="1"/>
      <x:c r="M2000" s="1"/>
      <x:c r="N2000" s="1"/>
      <x:c r="O2000" s="1"/>
      <x:c r="P2000" s="1"/>
      <x:c r="Q2000" s="1"/>
      <x:c r="R2000" s="1"/>
      <x:c r="S2000" s="1"/>
      <x:c r="T2000" s="1"/>
      <x:c r="U2000" s="1"/>
      <x:c r="V2000" s="1"/>
    </x:row>
  </x:sheetData>
  <x:conditionalFormatting sqref="I5:I800">
    <x:cfRule type="containsText" dxfId="0" priority="1" operator="containsText" text="Completed"/>
    <x:cfRule type="containsText" dxfId="1" priority="2" operator="containsText" text="Partially Completed"/>
    <x:cfRule type="containsText" dxfId="2" priority="3" operator="containsText" text="Blocked"/>
    <x:cfRule type="containsText" dxfId="3" priority="4" operator="containsText" text="Not Started"/>
    <x:cfRule type="containsText" dxfId="4" priority="5" operator="containsText" text="Not Verified"/>
    <x:cfRule type="containsText" dxfId="5" priority="6" operator="containsText" text="External/Human Gate"/>
    <x:cfRule type="containsText" dxfId="6" priority="7" operator="containsText" text="Not Applicable"/>
  </x:conditionalFormatting>
  <x:conditionalFormatting sqref="N5:N800">
    <x:cfRule type="containsText" dxfId="7" priority="8" operator="containsText" text="not located"/>
  </x:conditionalFormatting>
  <x:dataValidations count="1">
    <x:dataValidation type="list" sqref="I5:I800">
      <x:formula1>"Completed,Partially Completed,Blocked,Not Started,Not Verified,External/Human Gate,Not Applicable"</x:formula1>
    </x:dataValidation>
  </x:dataValidations>
  <x:pageMargins left="0.7" right="0.7" top="0.75" bottom="0.75" header="0.3" footer="0.3"/>
  <x:tableParts count="1">
    <x:tablePart xmlns:r="http://schemas.openxmlformats.org/officeDocument/2006/relationships" r:id="Rd8ca4cdf1351460b"/>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57" hidden="0" customWidth="1"/>
    <x:col min="2" max="2" width="32" hidden="0" customWidth="1"/>
    <x:col min="3" max="3" width="14" hidden="0" customWidth="1"/>
    <x:col min="4" max="4" width="82" hidden="0" customWidth="1"/>
  </x:cols>
  <x:sheetData>
    <x:row r="1" ht="26" customHeight="1">
      <x:c r="A1" s="4" t="str">
        <x:v>Sources, Method &amp; Refresh Rules</x:v>
      </x:c>
      <x:c r="B1" s="4"/>
      <x:c r="C1" s="4"/>
      <x:c r="D1" s="4"/>
      <x:c r="E1" s="1"/>
      <x:c r="F1" s="1"/>
      <x:c r="G1" s="1"/>
      <x:c r="H1" s="1"/>
      <x:c r="I1" s="1"/>
      <x:c r="J1" s="1"/>
      <x:c r="K1" s="1"/>
      <x:c r="L1" s="1"/>
      <x:c r="M1" s="1"/>
      <x:c r="N1" s="1"/>
      <x:c r="O1" s="1"/>
      <x:c r="P1" s="1"/>
      <x:c r="Q1" s="1"/>
      <x:c r="R1" s="1"/>
      <x:c r="S1" s="1"/>
      <x:c r="T1" s="1"/>
      <x:c r="U1" s="1"/>
      <x:c r="V1" s="1"/>
    </x:row>
    <x:row r="2" ht="34" customHeight="1">
      <x:c r="A2" s="7" t="str">
        <x:v>Read-only evidence review completed 2026-09-07. This sheet defines how status must be maintained.</x:v>
      </x:c>
      <x:c r="B2" s="7"/>
      <x:c r="C2" s="7"/>
      <x:c r="D2" s="7"/>
      <x:c r="E2" s="1"/>
      <x:c r="F2" s="1"/>
      <x:c r="G2" s="1"/>
      <x:c r="H2" s="1"/>
      <x:c r="I2" s="1"/>
      <x:c r="J2" s="1"/>
      <x:c r="K2" s="1"/>
      <x:c r="L2" s="1"/>
      <x:c r="M2" s="1"/>
      <x:c r="N2" s="1"/>
      <x:c r="O2" s="1"/>
      <x:c r="P2" s="1"/>
      <x:c r="Q2" s="1"/>
      <x:c r="R2" s="1"/>
      <x:c r="S2" s="1"/>
      <x:c r="T2" s="1"/>
      <x:c r="U2" s="1"/>
      <x:c r="V2" s="1"/>
    </x:row>
    <x:row r="3">
      <x:c r="A3" s="1"/>
      <x:c r="B3" s="1"/>
      <x:c r="C3" s="1"/>
      <x:c r="D3" s="1"/>
      <x:c r="E3" s="1"/>
      <x:c r="F3" s="1"/>
      <x:c r="G3" s="1"/>
      <x:c r="H3" s="1"/>
      <x:c r="I3" s="1"/>
      <x:c r="J3" s="1"/>
      <x:c r="K3" s="1"/>
      <x:c r="L3" s="1"/>
      <x:c r="M3" s="1"/>
      <x:c r="N3" s="1"/>
      <x:c r="O3" s="1"/>
      <x:c r="P3" s="1"/>
      <x:c r="Q3" s="1"/>
      <x:c r="R3" s="1"/>
      <x:c r="S3" s="1"/>
      <x:c r="T3" s="1"/>
      <x:c r="U3" s="1"/>
      <x:c r="V3" s="1"/>
    </x:row>
    <x:row r="4" ht="32" customHeight="1">
      <x:c r="A4" s="12" t="str">
        <x:v>Source / rule</x:v>
      </x:c>
      <x:c r="B4" s="12" t="str">
        <x:v>Purpose</x:v>
      </x:c>
      <x:c r="C4" s="12" t="str">
        <x:v>Inspected</x:v>
      </x:c>
      <x:c r="D4" s="12" t="str">
        <x:v>Finding / method</x:v>
      </x:c>
      <x:c r="E4" s="1"/>
      <x:c r="F4" s="1"/>
      <x:c r="G4" s="1"/>
      <x:c r="H4" s="1"/>
      <x:c r="I4" s="1"/>
      <x:c r="J4" s="1"/>
      <x:c r="K4" s="1"/>
      <x:c r="L4" s="1"/>
      <x:c r="M4" s="1"/>
      <x:c r="N4" s="1"/>
      <x:c r="O4" s="1"/>
      <x:c r="P4" s="1"/>
      <x:c r="Q4" s="1"/>
      <x:c r="R4" s="1"/>
      <x:c r="S4" s="1"/>
      <x:c r="T4" s="1"/>
      <x:c r="U4" s="1"/>
      <x:c r="V4" s="1"/>
    </x:row>
    <x:row r="5" ht="50" customHeight="1">
      <x:c r="A5" s="28" t="str">
        <x:v>/Users/devups/Development/CodexProjects/Gccs/AGENTS.md</x:v>
      </x:c>
      <x:c r="B5" s="28" t="str">
        <x:v>Product, security, architecture, evidence, and claims invariants</x:v>
      </x:c>
      <x:c r="C5" s="32" t="n">
        <x:v>46272.666666666664</x:v>
      </x:c>
      <x:c r="D5" s="28" t="str">
        <x:v>Highest-priority authority; preserves FeDril brand, internal Gccs identifiers, and No-CUI posture.</x:v>
      </x:c>
      <x:c r="E5" s="1"/>
      <x:c r="F5" s="1"/>
      <x:c r="G5" s="1"/>
      <x:c r="H5" s="1"/>
      <x:c r="I5" s="1"/>
      <x:c r="J5" s="1"/>
      <x:c r="K5" s="1"/>
      <x:c r="L5" s="1"/>
      <x:c r="M5" s="1"/>
      <x:c r="N5" s="1"/>
      <x:c r="O5" s="1"/>
      <x:c r="P5" s="1"/>
      <x:c r="Q5" s="1"/>
      <x:c r="R5" s="1"/>
      <x:c r="S5" s="1"/>
      <x:c r="T5" s="1"/>
      <x:c r="U5" s="1"/>
      <x:c r="V5" s="1"/>
    </x:row>
    <x:row r="6" ht="50" customHeight="1">
      <x:c r="A6" s="28" t="str">
        <x:v>/Users/devups/Development/CodexProjects/Gccs/docs/mvp-roadmap.md</x:v>
      </x:c>
      <x:c r="B6" s="28" t="str">
        <x:v>Roadmap, canonical backlog, prompt, test, sequence, or evidence source</x:v>
      </x:c>
      <x:c r="C6" s="32" t="n">
        <x:v>46272.666666666664</x:v>
      </x:c>
      <x:c r="D6" s="28" t="str">
        <x:v>Inspected only to build inventory, evidence classification, sequence, and limitations.</x:v>
      </x:c>
      <x:c r="E6" s="1"/>
      <x:c r="F6" s="1"/>
      <x:c r="G6" s="1"/>
      <x:c r="H6" s="1"/>
      <x:c r="I6" s="1"/>
      <x:c r="J6" s="1"/>
      <x:c r="K6" s="1"/>
      <x:c r="L6" s="1"/>
      <x:c r="M6" s="1"/>
      <x:c r="N6" s="1"/>
      <x:c r="O6" s="1"/>
      <x:c r="P6" s="1"/>
      <x:c r="Q6" s="1"/>
      <x:c r="R6" s="1"/>
      <x:c r="S6" s="1"/>
      <x:c r="T6" s="1"/>
      <x:c r="U6" s="1"/>
      <x:c r="V6" s="1"/>
    </x:row>
    <x:row r="7" ht="50" customHeight="1">
      <x:c r="A7" s="28" t="str">
        <x:v>/Users/devups/Development/CodexProjects/Gccs/docs/mvp-roadmap-story-traceability.md</x:v>
      </x:c>
      <x:c r="B7" s="28" t="str">
        <x:v>Roadmap, canonical backlog, prompt, test, sequence, or evidence source</x:v>
      </x:c>
      <x:c r="C7" s="32" t="n">
        <x:v>46272.666666666664</x:v>
      </x:c>
      <x:c r="D7" s="28" t="str">
        <x:v>Inspected only to build inventory, evidence classification, sequence, and limitations.</x:v>
      </x:c>
      <x:c r="E7" s="1"/>
      <x:c r="F7" s="1"/>
      <x:c r="G7" s="1"/>
      <x:c r="H7" s="1"/>
      <x:c r="I7" s="1"/>
      <x:c r="J7" s="1"/>
      <x:c r="K7" s="1"/>
      <x:c r="L7" s="1"/>
      <x:c r="M7" s="1"/>
      <x:c r="N7" s="1"/>
      <x:c r="O7" s="1"/>
      <x:c r="P7" s="1"/>
      <x:c r="Q7" s="1"/>
      <x:c r="R7" s="1"/>
      <x:c r="S7" s="1"/>
      <x:c r="T7" s="1"/>
      <x:c r="U7" s="1"/>
      <x:c r="V7" s="1"/>
    </x:row>
    <x:row r="8" ht="50" customHeight="1">
      <x:c r="A8" s="28" t="str">
        <x:v>/Users/devups/Development/CodexProjects/Gccs/docs/development-phase-use-cases.md</x:v>
      </x:c>
      <x:c r="B8" s="28" t="str">
        <x:v>Roadmap, canonical backlog, prompt, test, sequence, or evidence source</x:v>
      </x:c>
      <x:c r="C8" s="32" t="n">
        <x:v>46272.666666666664</x:v>
      </x:c>
      <x:c r="D8" s="28" t="str">
        <x:v>Inspected only to build inventory, evidence classification, sequence, and limitations.</x:v>
      </x:c>
      <x:c r="E8" s="1"/>
      <x:c r="F8" s="1"/>
      <x:c r="G8" s="1"/>
      <x:c r="H8" s="1"/>
      <x:c r="I8" s="1"/>
      <x:c r="J8" s="1"/>
      <x:c r="K8" s="1"/>
      <x:c r="L8" s="1"/>
      <x:c r="M8" s="1"/>
      <x:c r="N8" s="1"/>
      <x:c r="O8" s="1"/>
      <x:c r="P8" s="1"/>
      <x:c r="Q8" s="1"/>
      <x:c r="R8" s="1"/>
      <x:c r="S8" s="1"/>
      <x:c r="T8" s="1"/>
      <x:c r="U8" s="1"/>
      <x:c r="V8" s="1"/>
    </x:row>
    <x:row r="9" ht="50" customHeight="1">
      <x:c r="A9" s="28" t="str">
        <x:v>/Users/devups/Development/CodexProjects/Gccs/docs/development-story-prompts.md</x:v>
      </x:c>
      <x:c r="B9" s="28" t="str">
        <x:v>Roadmap, canonical backlog, prompt, test, sequence, or evidence source</x:v>
      </x:c>
      <x:c r="C9" s="32" t="n">
        <x:v>46272.666666666664</x:v>
      </x:c>
      <x:c r="D9" s="28" t="str">
        <x:v>Inspected only to build inventory, evidence classification, sequence, and limitations.</x:v>
      </x:c>
      <x:c r="E9" s="1"/>
      <x:c r="F9" s="1"/>
      <x:c r="G9" s="1"/>
      <x:c r="H9" s="1"/>
      <x:c r="I9" s="1"/>
      <x:c r="J9" s="1"/>
      <x:c r="K9" s="1"/>
      <x:c r="L9" s="1"/>
      <x:c r="M9" s="1"/>
      <x:c r="N9" s="1"/>
      <x:c r="O9" s="1"/>
      <x:c r="P9" s="1"/>
      <x:c r="Q9" s="1"/>
      <x:c r="R9" s="1"/>
      <x:c r="S9" s="1"/>
      <x:c r="T9" s="1"/>
      <x:c r="U9" s="1"/>
      <x:c r="V9" s="1"/>
    </x:row>
    <x:row r="10" ht="50" customHeight="1">
      <x:c r="A10" s="28" t="str">
        <x:v>/Users/devups/Development/CodexProjects/Gccs/docs/development-story-test-cases.md</x:v>
      </x:c>
      <x:c r="B10" s="28" t="str">
        <x:v>Roadmap, canonical backlog, prompt, test, sequence, or evidence source</x:v>
      </x:c>
      <x:c r="C10" s="32" t="n">
        <x:v>46272.666666666664</x:v>
      </x:c>
      <x:c r="D10" s="28" t="str">
        <x:v>Inspected only to build inventory, evidence classification, sequence, and limitations.</x:v>
      </x:c>
      <x:c r="E10" s="1"/>
      <x:c r="F10" s="1"/>
      <x:c r="G10" s="1"/>
      <x:c r="H10" s="1"/>
      <x:c r="I10" s="1"/>
      <x:c r="J10" s="1"/>
      <x:c r="K10" s="1"/>
      <x:c r="L10" s="1"/>
      <x:c r="M10" s="1"/>
      <x:c r="N10" s="1"/>
      <x:c r="O10" s="1"/>
      <x:c r="P10" s="1"/>
      <x:c r="Q10" s="1"/>
      <x:c r="R10" s="1"/>
      <x:c r="S10" s="1"/>
      <x:c r="T10" s="1"/>
      <x:c r="U10" s="1"/>
      <x:c r="V10" s="1"/>
    </x:row>
    <x:row r="11" ht="50" customHeight="1">
      <x:c r="A11" s="28" t="str">
        <x:v>/Users/devups/Development/CodexProjects/Gccs/docs/development-story-test-prompts.md</x:v>
      </x:c>
      <x:c r="B11" s="28" t="str">
        <x:v>Roadmap, canonical backlog, prompt, test, sequence, or evidence source</x:v>
      </x:c>
      <x:c r="C11" s="32" t="n">
        <x:v>46272.666666666664</x:v>
      </x:c>
      <x:c r="D11" s="28" t="str">
        <x:v>Inspected only to build inventory, evidence classification, sequence, and limitations.</x:v>
      </x:c>
      <x:c r="E11" s="1"/>
      <x:c r="F11" s="1"/>
      <x:c r="G11" s="1"/>
      <x:c r="H11" s="1"/>
      <x:c r="I11" s="1"/>
      <x:c r="J11" s="1"/>
      <x:c r="K11" s="1"/>
      <x:c r="L11" s="1"/>
      <x:c r="M11" s="1"/>
      <x:c r="N11" s="1"/>
      <x:c r="O11" s="1"/>
      <x:c r="P11" s="1"/>
      <x:c r="Q11" s="1"/>
      <x:c r="R11" s="1"/>
      <x:c r="S11" s="1"/>
      <x:c r="T11" s="1"/>
      <x:c r="U11" s="1"/>
      <x:c r="V11" s="1"/>
    </x:row>
    <x:row r="12" ht="50" customHeight="1">
      <x:c r="A12" s="28" t="str">
        <x:v>/Users/devups/Development/CodexProjects/Gccs/docs/Smoke_Test_development-story-test-prompts.md</x:v>
      </x:c>
      <x:c r="B12" s="28" t="str">
        <x:v>Roadmap, canonical backlog, prompt, test, sequence, or evidence source</x:v>
      </x:c>
      <x:c r="C12" s="32" t="n">
        <x:v>46272.666666666664</x:v>
      </x:c>
      <x:c r="D12" s="28" t="str">
        <x:v>Inspected only to build inventory, evidence classification, sequence, and limitations.</x:v>
      </x:c>
      <x:c r="E12" s="1"/>
      <x:c r="F12" s="1"/>
      <x:c r="G12" s="1"/>
      <x:c r="H12" s="1"/>
      <x:c r="I12" s="1"/>
      <x:c r="J12" s="1"/>
      <x:c r="K12" s="1"/>
      <x:c r="L12" s="1"/>
      <x:c r="M12" s="1"/>
      <x:c r="N12" s="1"/>
      <x:c r="O12" s="1"/>
      <x:c r="P12" s="1"/>
      <x:c r="Q12" s="1"/>
      <x:c r="R12" s="1"/>
      <x:c r="S12" s="1"/>
      <x:c r="T12" s="1"/>
      <x:c r="U12" s="1"/>
      <x:c r="V12" s="1"/>
    </x:row>
    <x:row r="13" ht="50" customHeight="1">
      <x:c r="A13" s="28" t="str">
        <x:v>/Users/devups/Development/CodexProjects/Gccs/docs/Automated development-story-test-prompts.md</x:v>
      </x:c>
      <x:c r="B13" s="28" t="str">
        <x:v>Roadmap, canonical backlog, prompt, test, sequence, or evidence source</x:v>
      </x:c>
      <x:c r="C13" s="32" t="n">
        <x:v>46272.666666666664</x:v>
      </x:c>
      <x:c r="D13" s="28" t="str">
        <x:v>Inspected only to build inventory, evidence classification, sequence, and limitations.</x:v>
      </x:c>
      <x:c r="E13" s="1"/>
      <x:c r="F13" s="1"/>
      <x:c r="G13" s="1"/>
      <x:c r="H13" s="1"/>
      <x:c r="I13" s="1"/>
      <x:c r="J13" s="1"/>
      <x:c r="K13" s="1"/>
      <x:c r="L13" s="1"/>
      <x:c r="M13" s="1"/>
      <x:c r="N13" s="1"/>
      <x:c r="O13" s="1"/>
      <x:c r="P13" s="1"/>
      <x:c r="Q13" s="1"/>
      <x:c r="R13" s="1"/>
      <x:c r="S13" s="1"/>
      <x:c r="T13" s="1"/>
      <x:c r="U13" s="1"/>
      <x:c r="V13" s="1"/>
    </x:row>
    <x:row r="14" ht="50" customHeight="1">
      <x:c r="A14" s="28" t="str">
        <x:v>/Users/devups/Development/CodexProjects/Gccs/docs/story_level_regression-test-execution-prompts.md</x:v>
      </x:c>
      <x:c r="B14" s="28" t="str">
        <x:v>Roadmap, canonical backlog, prompt, test, sequence, or evidence source</x:v>
      </x:c>
      <x:c r="C14" s="32" t="n">
        <x:v>46272.666666666664</x:v>
      </x:c>
      <x:c r="D14" s="28" t="str">
        <x:v>Inspected only to build inventory, evidence classification, sequence, and limitations.</x:v>
      </x:c>
      <x:c r="E14" s="1"/>
      <x:c r="F14" s="1"/>
      <x:c r="G14" s="1"/>
      <x:c r="H14" s="1"/>
      <x:c r="I14" s="1"/>
      <x:c r="J14" s="1"/>
      <x:c r="K14" s="1"/>
      <x:c r="L14" s="1"/>
      <x:c r="M14" s="1"/>
      <x:c r="N14" s="1"/>
      <x:c r="O14" s="1"/>
      <x:c r="P14" s="1"/>
      <x:c r="Q14" s="1"/>
      <x:c r="R14" s="1"/>
      <x:c r="S14" s="1"/>
      <x:c r="T14" s="1"/>
      <x:c r="U14" s="1"/>
      <x:c r="V14" s="1"/>
    </x:row>
    <x:row r="15" ht="50" customHeight="1">
      <x:c r="A15" s="28" t="str">
        <x:v>/Users/devups/Development/CodexProjects/Gccs/docs/regression-test-execution-prompts.md</x:v>
      </x:c>
      <x:c r="B15" s="28" t="str">
        <x:v>Roadmap, canonical backlog, prompt, test, sequence, or evidence source</x:v>
      </x:c>
      <x:c r="C15" s="32" t="n">
        <x:v>46272.666666666664</x:v>
      </x:c>
      <x:c r="D15" s="28" t="str">
        <x:v>Inspected only to build inventory, evidence classification, sequence, and limitations.</x:v>
      </x:c>
      <x:c r="E15" s="1"/>
      <x:c r="F15" s="1"/>
      <x:c r="G15" s="1"/>
      <x:c r="H15" s="1"/>
      <x:c r="I15" s="1"/>
      <x:c r="J15" s="1"/>
      <x:c r="K15" s="1"/>
      <x:c r="L15" s="1"/>
      <x:c r="M15" s="1"/>
      <x:c r="N15" s="1"/>
      <x:c r="O15" s="1"/>
      <x:c r="P15" s="1"/>
      <x:c r="Q15" s="1"/>
      <x:c r="R15" s="1"/>
      <x:c r="S15" s="1"/>
      <x:c r="T15" s="1"/>
      <x:c r="U15" s="1"/>
      <x:c r="V15" s="1"/>
    </x:row>
    <x:row r="16" ht="50" customHeight="1">
      <x:c r="A16" s="28" t="str">
        <x:v>/Users/devups/Development/CodexProjects/Gccs/docs/production-readiness-phase-use-cases.md</x:v>
      </x:c>
      <x:c r="B16" s="28" t="str">
        <x:v>Roadmap, canonical backlog, prompt, test, sequence, or evidence source</x:v>
      </x:c>
      <x:c r="C16" s="32" t="n">
        <x:v>46272.666666666664</x:v>
      </x:c>
      <x:c r="D16" s="28" t="str">
        <x:v>Inspected only to build inventory, evidence classification, sequence, and limitations.</x:v>
      </x:c>
      <x:c r="E16" s="1"/>
      <x:c r="F16" s="1"/>
      <x:c r="G16" s="1"/>
      <x:c r="H16" s="1"/>
      <x:c r="I16" s="1"/>
      <x:c r="J16" s="1"/>
      <x:c r="K16" s="1"/>
      <x:c r="L16" s="1"/>
      <x:c r="M16" s="1"/>
      <x:c r="N16" s="1"/>
      <x:c r="O16" s="1"/>
      <x:c r="P16" s="1"/>
      <x:c r="Q16" s="1"/>
      <x:c r="R16" s="1"/>
      <x:c r="S16" s="1"/>
      <x:c r="T16" s="1"/>
      <x:c r="U16" s="1"/>
      <x:c r="V16" s="1"/>
    </x:row>
    <x:row r="17" ht="50" customHeight="1">
      <x:c r="A17" s="28" t="str">
        <x:v>/Users/devups/Development/CodexProjects/Gccs/docs/production-readiness-story-prompts.md</x:v>
      </x:c>
      <x:c r="B17" s="28" t="str">
        <x:v>Roadmap, canonical backlog, prompt, test, sequence, or evidence source</x:v>
      </x:c>
      <x:c r="C17" s="32" t="n">
        <x:v>46272.666666666664</x:v>
      </x:c>
      <x:c r="D17" s="28" t="str">
        <x:v>Inspected only to build inventory, evidence classification, sequence, and limitations.</x:v>
      </x:c>
      <x:c r="E17" s="1"/>
      <x:c r="F17" s="1"/>
      <x:c r="G17" s="1"/>
      <x:c r="H17" s="1"/>
      <x:c r="I17" s="1"/>
      <x:c r="J17" s="1"/>
      <x:c r="K17" s="1"/>
      <x:c r="L17" s="1"/>
      <x:c r="M17" s="1"/>
      <x:c r="N17" s="1"/>
      <x:c r="O17" s="1"/>
      <x:c r="P17" s="1"/>
      <x:c r="Q17" s="1"/>
      <x:c r="R17" s="1"/>
      <x:c r="S17" s="1"/>
      <x:c r="T17" s="1"/>
      <x:c r="U17" s="1"/>
      <x:c r="V17" s="1"/>
    </x:row>
    <x:row r="18" ht="50" customHeight="1">
      <x:c r="A18" s="28" t="str">
        <x:v>/Users/devups/Development/CodexProjects/Gccs/docs/production-readiness-launch-closure-evidence.md</x:v>
      </x:c>
      <x:c r="B18" s="28" t="str">
        <x:v>Roadmap, canonical backlog, prompt, test, sequence, or evidence source</x:v>
      </x:c>
      <x:c r="C18" s="32" t="n">
        <x:v>46272.666666666664</x:v>
      </x:c>
      <x:c r="D18" s="28" t="str">
        <x:v>Inspected only to build inventory, evidence classification, sequence, and limitations.</x:v>
      </x:c>
      <x:c r="E18" s="1"/>
      <x:c r="F18" s="1"/>
      <x:c r="G18" s="1"/>
      <x:c r="H18" s="1"/>
      <x:c r="I18" s="1"/>
      <x:c r="J18" s="1"/>
      <x:c r="K18" s="1"/>
      <x:c r="L18" s="1"/>
      <x:c r="M18" s="1"/>
      <x:c r="N18" s="1"/>
      <x:c r="O18" s="1"/>
      <x:c r="P18" s="1"/>
      <x:c r="Q18" s="1"/>
      <x:c r="R18" s="1"/>
      <x:c r="S18" s="1"/>
      <x:c r="T18" s="1"/>
      <x:c r="U18" s="1"/>
      <x:c r="V18" s="1"/>
    </x:row>
    <x:row r="19" ht="50" customHeight="1">
      <x:c r="A19" s="28" t="str">
        <x:v>/Users/devups/Development/CodexProjects/Gccs/docs/production-readiness-completed-story-dod-review.md</x:v>
      </x:c>
      <x:c r="B19" s="28" t="str">
        <x:v>Roadmap, canonical backlog, prompt, test, sequence, or evidence source</x:v>
      </x:c>
      <x:c r="C19" s="32" t="n">
        <x:v>46272.666666666664</x:v>
      </x:c>
      <x:c r="D19" s="28" t="str">
        <x:v>Inspected only to build inventory, evidence classification, sequence, and limitations.</x:v>
      </x:c>
      <x:c r="E19" s="1"/>
      <x:c r="F19" s="1"/>
      <x:c r="G19" s="1"/>
      <x:c r="H19" s="1"/>
      <x:c r="I19" s="1"/>
      <x:c r="J19" s="1"/>
      <x:c r="K19" s="1"/>
      <x:c r="L19" s="1"/>
      <x:c r="M19" s="1"/>
      <x:c r="N19" s="1"/>
      <x:c r="O19" s="1"/>
      <x:c r="P19" s="1"/>
      <x:c r="Q19" s="1"/>
      <x:c r="R19" s="1"/>
      <x:c r="S19" s="1"/>
      <x:c r="T19" s="1"/>
      <x:c r="U19" s="1"/>
      <x:c r="V19" s="1"/>
    </x:row>
    <x:row r="20" ht="50" customHeight="1">
      <x:c r="A20" s="28" t="str">
        <x:v>/Users/devups/.codex/skills/gccs-story-sequence/SKILL.md</x:v>
      </x:c>
      <x:c r="B20" s="28" t="str">
        <x:v>Roadmap, canonical backlog, prompt, test, sequence, or evidence source</x:v>
      </x:c>
      <x:c r="C20" s="32" t="n">
        <x:v>46272.666666666664</x:v>
      </x:c>
      <x:c r="D20" s="28" t="str">
        <x:v>Inspected only to build inventory, evidence classification, sequence, and limitations.</x:v>
      </x:c>
      <x:c r="E20" s="1"/>
      <x:c r="F20" s="1"/>
      <x:c r="G20" s="1"/>
      <x:c r="H20" s="1"/>
      <x:c r="I20" s="1"/>
      <x:c r="J20" s="1"/>
      <x:c r="K20" s="1"/>
      <x:c r="L20" s="1"/>
      <x:c r="M20" s="1"/>
      <x:c r="N20" s="1"/>
      <x:c r="O20" s="1"/>
      <x:c r="P20" s="1"/>
      <x:c r="Q20" s="1"/>
      <x:c r="R20" s="1"/>
      <x:c r="S20" s="1"/>
      <x:c r="T20" s="1"/>
      <x:c r="U20" s="1"/>
      <x:c r="V20" s="1"/>
    </x:row>
    <x:row r="21" ht="50" customHeight="1">
      <x:c r="A21" s="28" t="str">
        <x:v>/Users/devups/.codex/skills/gccs-production-readiness-sequence/SKILL.md</x:v>
      </x:c>
      <x:c r="B21" s="28" t="str">
        <x:v>Roadmap, canonical backlog, prompt, test, sequence, or evidence source</x:v>
      </x:c>
      <x:c r="C21" s="32" t="n">
        <x:v>46272.666666666664</x:v>
      </x:c>
      <x:c r="D21" s="28" t="str">
        <x:v>Inspected only to build inventory, evidence classification, sequence, and limitations.</x:v>
      </x:c>
      <x:c r="E21" s="1"/>
      <x:c r="F21" s="1"/>
      <x:c r="G21" s="1"/>
      <x:c r="H21" s="1"/>
      <x:c r="I21" s="1"/>
      <x:c r="J21" s="1"/>
      <x:c r="K21" s="1"/>
      <x:c r="L21" s="1"/>
      <x:c r="M21" s="1"/>
      <x:c r="N21" s="1"/>
      <x:c r="O21" s="1"/>
      <x:c r="P21" s="1"/>
      <x:c r="Q21" s="1"/>
      <x:c r="R21" s="1"/>
      <x:c r="S21" s="1"/>
      <x:c r="T21" s="1"/>
      <x:c r="U21" s="1"/>
      <x:c r="V21" s="1"/>
    </x:row>
    <x:row r="22" ht="50" customHeight="1">
      <x:c r="A22" s="28" t="str">
        <x:v>Status: Completed</x:v>
      </x:c>
      <x:c r="B22" s="28" t="str">
        <x:v>Definition</x:v>
      </x:c>
      <x:c r="C22" s="32" t="n">
        <x:v>46272.666666666664</x:v>
      </x:c>
      <x:c r="D22" s="28" t="str">
        <x:v>Every required task plus applicable acceptance/test or governed approval evidence is proven.</x:v>
      </x:c>
      <x:c r="E22" s="1"/>
      <x:c r="F22" s="1"/>
      <x:c r="G22" s="1"/>
      <x:c r="H22" s="1"/>
      <x:c r="I22" s="1"/>
      <x:c r="J22" s="1"/>
      <x:c r="K22" s="1"/>
      <x:c r="L22" s="1"/>
      <x:c r="M22" s="1"/>
      <x:c r="N22" s="1"/>
      <x:c r="O22" s="1"/>
      <x:c r="P22" s="1"/>
      <x:c r="Q22" s="1"/>
      <x:c r="R22" s="1"/>
      <x:c r="S22" s="1"/>
      <x:c r="T22" s="1"/>
      <x:c r="U22" s="1"/>
      <x:c r="V22" s="1"/>
    </x:row>
    <x:row r="23" ht="50" customHeight="1">
      <x:c r="A23" s="28" t="str">
        <x:v>Status: Partially Completed</x:v>
      </x:c>
      <x:c r="B23" s="28" t="str">
        <x:v>Definition</x:v>
      </x:c>
      <x:c r="C23" s="32" t="n">
        <x:v>46272.666666666664</x:v>
      </x:c>
      <x:c r="D23" s="28" t="str">
        <x:v>A meaningful subset is proven; material tasks, tests, approvals, operating evidence, or failure paths remain.</x:v>
      </x:c>
      <x:c r="E23" s="1"/>
      <x:c r="F23" s="1"/>
      <x:c r="G23" s="1"/>
      <x:c r="H23" s="1"/>
      <x:c r="I23" s="1"/>
      <x:c r="J23" s="1"/>
      <x:c r="K23" s="1"/>
      <x:c r="L23" s="1"/>
      <x:c r="M23" s="1"/>
      <x:c r="N23" s="1"/>
      <x:c r="O23" s="1"/>
      <x:c r="P23" s="1"/>
      <x:c r="Q23" s="1"/>
      <x:c r="R23" s="1"/>
      <x:c r="S23" s="1"/>
      <x:c r="T23" s="1"/>
      <x:c r="U23" s="1"/>
      <x:c r="V23" s="1"/>
    </x:row>
    <x:row r="24" ht="50" customHeight="1">
      <x:c r="A24" s="28" t="str">
        <x:v>Status: Blocked</x:v>
      </x:c>
      <x:c r="B24" s="28" t="str">
        <x:v>Definition</x:v>
      </x:c>
      <x:c r="C24" s="32" t="n">
        <x:v>46272.666666666664</x:v>
      </x:c>
      <x:c r="D24" s="28" t="str">
        <x:v>A named dependency or failed/missing approval/environment/security prerequisite prevents the next action.</x:v>
      </x:c>
      <x:c r="E24" s="1"/>
      <x:c r="F24" s="1"/>
      <x:c r="G24" s="1"/>
      <x:c r="H24" s="1"/>
      <x:c r="I24" s="1"/>
      <x:c r="J24" s="1"/>
      <x:c r="K24" s="1"/>
      <x:c r="L24" s="1"/>
      <x:c r="M24" s="1"/>
      <x:c r="N24" s="1"/>
      <x:c r="O24" s="1"/>
      <x:c r="P24" s="1"/>
      <x:c r="Q24" s="1"/>
      <x:c r="R24" s="1"/>
      <x:c r="S24" s="1"/>
      <x:c r="T24" s="1"/>
      <x:c r="U24" s="1"/>
      <x:c r="V24" s="1"/>
    </x:row>
    <x:row r="25" ht="50" customHeight="1">
      <x:c r="A25" s="28" t="str">
        <x:v>Status: Not Started</x:v>
      </x:c>
      <x:c r="B25" s="28" t="str">
        <x:v>Definition</x:v>
      </x:c>
      <x:c r="C25" s="32" t="n">
        <x:v>46272.666666666664</x:v>
      </x:c>
      <x:c r="D25" s="28" t="str">
        <x:v>Use only when evidence directly proves approved work has not begun.</x:v>
      </x:c>
      <x:c r="E25" s="1"/>
      <x:c r="F25" s="1"/>
      <x:c r="G25" s="1"/>
      <x:c r="H25" s="1"/>
      <x:c r="I25" s="1"/>
      <x:c r="J25" s="1"/>
      <x:c r="K25" s="1"/>
      <x:c r="L25" s="1"/>
      <x:c r="M25" s="1"/>
      <x:c r="N25" s="1"/>
      <x:c r="O25" s="1"/>
      <x:c r="P25" s="1"/>
      <x:c r="Q25" s="1"/>
      <x:c r="R25" s="1"/>
      <x:c r="S25" s="1"/>
      <x:c r="T25" s="1"/>
      <x:c r="U25" s="1"/>
      <x:c r="V25" s="1"/>
    </x:row>
    <x:row r="26" ht="50" customHeight="1">
      <x:c r="A26" s="28" t="str">
        <x:v>Status: Not Verified</x:v>
      </x:c>
      <x:c r="B26" s="28" t="str">
        <x:v>Definition</x:v>
      </x:c>
      <x:c r="C26" s="32" t="n">
        <x:v>46272.666666666664</x:v>
      </x:c>
      <x:c r="D26" s="28" t="str">
        <x:v>The inspected source set proves neither full completion nor non-start; never guess.</x:v>
      </x:c>
      <x:c r="E26" s="1"/>
      <x:c r="F26" s="1"/>
      <x:c r="G26" s="1"/>
      <x:c r="H26" s="1"/>
      <x:c r="I26" s="1"/>
      <x:c r="J26" s="1"/>
      <x:c r="K26" s="1"/>
      <x:c r="L26" s="1"/>
      <x:c r="M26" s="1"/>
      <x:c r="N26" s="1"/>
      <x:c r="O26" s="1"/>
      <x:c r="P26" s="1"/>
      <x:c r="Q26" s="1"/>
      <x:c r="R26" s="1"/>
      <x:c r="S26" s="1"/>
      <x:c r="T26" s="1"/>
      <x:c r="U26" s="1"/>
      <x:c r="V26" s="1"/>
    </x:row>
    <x:row r="27" ht="50" customHeight="1">
      <x:c r="A27" s="28" t="str">
        <x:v>Status: External/Human Gate</x:v>
      </x:c>
      <x:c r="B27" s="28" t="str">
        <x:v>Definition</x:v>
      </x:c>
      <x:c r="C27" s="32" t="n">
        <x:v>46272.666666666664</x:v>
      </x:c>
      <x:c r="D27" s="28" t="str">
        <x:v>The controlling next action requires qualified human, independent assessor/auditor, agency, operating period, or external evidence.</x:v>
      </x:c>
      <x:c r="E27" s="1"/>
      <x:c r="F27" s="1"/>
      <x:c r="G27" s="1"/>
      <x:c r="H27" s="1"/>
      <x:c r="I27" s="1"/>
      <x:c r="J27" s="1"/>
      <x:c r="K27" s="1"/>
      <x:c r="L27" s="1"/>
      <x:c r="M27" s="1"/>
      <x:c r="N27" s="1"/>
      <x:c r="O27" s="1"/>
      <x:c r="P27" s="1"/>
      <x:c r="Q27" s="1"/>
      <x:c r="R27" s="1"/>
      <x:c r="S27" s="1"/>
      <x:c r="T27" s="1"/>
      <x:c r="U27" s="1"/>
      <x:c r="V27" s="1"/>
    </x:row>
    <x:row r="28" ht="50" customHeight="1">
      <x:c r="A28" s="28" t="str">
        <x:v>Status: Not Applicable</x:v>
      </x:c>
      <x:c r="B28" s="28" t="str">
        <x:v>Definition</x:v>
      </x:c>
      <x:c r="C28" s="32" t="n">
        <x:v>46272.666666666664</x:v>
      </x:c>
      <x:c r="D28" s="28" t="str">
        <x:v>A documented scope decision with approver, reason, date, and impact removes the item.</x:v>
      </x:c>
      <x:c r="E28" s="1"/>
      <x:c r="F28" s="1"/>
      <x:c r="G28" s="1"/>
      <x:c r="H28" s="1"/>
      <x:c r="I28" s="1"/>
      <x:c r="J28" s="1"/>
      <x:c r="K28" s="1"/>
      <x:c r="L28" s="1"/>
      <x:c r="M28" s="1"/>
      <x:c r="N28" s="1"/>
      <x:c r="O28" s="1"/>
      <x:c r="P28" s="1"/>
      <x:c r="Q28" s="1"/>
      <x:c r="R28" s="1"/>
      <x:c r="S28" s="1"/>
      <x:c r="T28" s="1"/>
      <x:c r="U28" s="1"/>
      <x:c r="V28" s="1"/>
    </x:row>
    <x:row r="29" ht="50" customHeight="1">
      <x:c r="A29" s="28" t="str">
        <x:v>Story rollup</x:v>
      </x:c>
      <x:c r="B29" s="28" t="str">
        <x:v>Refresh rule</x:v>
      </x:c>
      <x:c r="C29" s="32" t="n">
        <x:v>46272.666666666664</x:v>
      </x:c>
      <x:c r="D29" s="28" t="str">
        <x:v>Completed only if all tasks and obligations are complete; Blocked overrides incomplete work; Partial requires proven completed subset; External applies when the next controlling action is human/external; otherwise Not Verified.</x:v>
      </x:c>
      <x:c r="E29" s="1"/>
      <x:c r="F29" s="1"/>
      <x:c r="G29" s="1"/>
      <x:c r="H29" s="1"/>
      <x:c r="I29" s="1"/>
      <x:c r="J29" s="1"/>
      <x:c r="K29" s="1"/>
      <x:c r="L29" s="1"/>
      <x:c r="M29" s="1"/>
      <x:c r="N29" s="1"/>
      <x:c r="O29" s="1"/>
      <x:c r="P29" s="1"/>
      <x:c r="Q29" s="1"/>
      <x:c r="R29" s="1"/>
      <x:c r="S29" s="1"/>
      <x:c r="T29" s="1"/>
      <x:c r="U29" s="1"/>
      <x:c r="V29" s="1"/>
    </x:row>
    <x:row r="30" ht="50" customHeight="1">
      <x:c r="A30" s="28" t="str">
        <x:v>Task status refresh</x:v>
      </x:c>
      <x:c r="B30" s="28" t="str">
        <x:v>Refresh instruction</x:v>
      </x:c>
      <x:c r="C30" s="32" t="n">
        <x:v>46272.666666666664</x:v>
      </x:c>
      <x:c r="D30" s="28" t="str">
        <x:v>Update Task Tracker status only after recording evidence source, locator, type, date, and limitation. Formulas update remaining counts; manually re-evaluate story status using the rollup rule.</x:v>
      </x:c>
      <x:c r="E30" s="1"/>
      <x:c r="F30" s="1"/>
      <x:c r="G30" s="1"/>
      <x:c r="H30" s="1"/>
      <x:c r="I30" s="1"/>
      <x:c r="J30" s="1"/>
      <x:c r="K30" s="1"/>
      <x:c r="L30" s="1"/>
      <x:c r="M30" s="1"/>
      <x:c r="N30" s="1"/>
      <x:c r="O30" s="1"/>
      <x:c r="P30" s="1"/>
      <x:c r="Q30" s="1"/>
      <x:c r="R30" s="1"/>
      <x:c r="S30" s="1"/>
      <x:c r="T30" s="1"/>
      <x:c r="U30" s="1"/>
      <x:c r="V30" s="1"/>
    </x:row>
    <x:row r="31" ht="50" customHeight="1">
      <x:c r="A31" s="28" t="str">
        <x:v>Sequence rule</x:v>
      </x:c>
      <x:c r="B31" s="28" t="str">
        <x:v>Execution order</x:v>
      </x:c>
      <x:c r="C31" s="32" t="n">
        <x:v>46272.666666666664</x:v>
      </x:c>
      <x:c r="D31" s="28" t="str">
        <x:v>Phase 0 → Phase 1 → Phase 1A → Production Readiness → Phase 2 → Phase 3 → Phase 4 → SOC 2 governance → activation-gated FedRAMP. Within a track, preserve canonical dependency order.</x:v>
      </x:c>
      <x:c r="E31" s="1"/>
      <x:c r="F31" s="1"/>
      <x:c r="G31" s="1"/>
      <x:c r="H31" s="1"/>
      <x:c r="I31" s="1"/>
      <x:c r="J31" s="1"/>
      <x:c r="K31" s="1"/>
      <x:c r="L31" s="1"/>
      <x:c r="M31" s="1"/>
      <x:c r="N31" s="1"/>
      <x:c r="O31" s="1"/>
      <x:c r="P31" s="1"/>
      <x:c r="Q31" s="1"/>
      <x:c r="R31" s="1"/>
      <x:c r="S31" s="1"/>
      <x:c r="T31" s="1"/>
      <x:c r="U31" s="1"/>
      <x:c r="V31" s="1"/>
    </x:row>
    <x:row r="32" ht="50" customHeight="1">
      <x:c r="A32" s="28" t="str">
        <x:v>Known conflict</x:v>
      </x:c>
      <x:c r="B32" s="28" t="str">
        <x:v>Done markers</x:v>
      </x:c>
      <x:c r="C32" s="32" t="n">
        <x:v>46272.666666666664</x:v>
      </x:c>
      <x:c r="D32" s="28" t="str">
        <x:v>Phase 1A implementation prompts contain Done markers without matching story-specific implementation commit/test packages for 18 stories; classified Not Verified.</x:v>
      </x:c>
      <x:c r="E32" s="1"/>
      <x:c r="F32" s="1"/>
      <x:c r="G32" s="1"/>
      <x:c r="H32" s="1"/>
      <x:c r="I32" s="1"/>
      <x:c r="J32" s="1"/>
      <x:c r="K32" s="1"/>
      <x:c r="L32" s="1"/>
      <x:c r="M32" s="1"/>
      <x:c r="N32" s="1"/>
      <x:c r="O32" s="1"/>
      <x:c r="P32" s="1"/>
      <x:c r="Q32" s="1"/>
      <x:c r="R32" s="1"/>
      <x:c r="S32" s="1"/>
      <x:c r="T32" s="1"/>
      <x:c r="U32" s="1"/>
      <x:c r="V32" s="1"/>
    </x:row>
    <x:row r="33" ht="50" customHeight="1">
      <x:c r="A33" s="28" t="str">
        <x:v>Known conflict</x:v>
      </x:c>
      <x:c r="B33" s="28" t="str">
        <x:v>Story 3.1</x:v>
      </x:c>
      <x:c r="C33" s="32" t="n">
        <x:v>46272.666666666664</x:v>
      </x:c>
      <x:c r="D33" s="28" t="str">
        <x:v>Current protected API behavior exists, but a story-specific immutable commit plus passing focused result package was not located; classified Not Verified.</x:v>
      </x:c>
      <x:c r="E33" s="1"/>
      <x:c r="F33" s="1"/>
      <x:c r="G33" s="1"/>
      <x:c r="H33" s="1"/>
      <x:c r="I33" s="1"/>
      <x:c r="J33" s="1"/>
      <x:c r="K33" s="1"/>
      <x:c r="L33" s="1"/>
      <x:c r="M33" s="1"/>
      <x:c r="N33" s="1"/>
      <x:c r="O33" s="1"/>
      <x:c r="P33" s="1"/>
      <x:c r="Q33" s="1"/>
      <x:c r="R33" s="1"/>
      <x:c r="S33" s="1"/>
      <x:c r="T33" s="1"/>
      <x:c r="U33" s="1"/>
      <x:c r="V33" s="1"/>
    </x:row>
    <x:row r="34" ht="50" customHeight="1">
      <x:c r="A34" s="28" t="str">
        <x:v>Evidence distinction</x:v>
      </x:c>
      <x:c r="B34" s="28" t="str">
        <x:v>Software vs governance</x:v>
      </x:c>
      <x:c r="C34" s="32" t="n">
        <x:v>46272.666666666664</x:v>
      </x:c>
      <x:c r="D34" s="28" t="str">
        <x:v>Software needs implementation plus focused verification. Research/readiness needs governed artifacts and approvals. Operating assurance needs elapsed evidence. Independent status needs external authoritative evidence.</x:v>
      </x:c>
      <x:c r="E34" s="1"/>
      <x:c r="F34" s="1"/>
      <x:c r="G34" s="1"/>
      <x:c r="H34" s="1"/>
      <x:c r="I34" s="1"/>
      <x:c r="J34" s="1"/>
      <x:c r="K34" s="1"/>
      <x:c r="L34" s="1"/>
      <x:c r="M34" s="1"/>
      <x:c r="N34" s="1"/>
      <x:c r="O34" s="1"/>
      <x:c r="P34" s="1"/>
      <x:c r="Q34" s="1"/>
      <x:c r="R34" s="1"/>
      <x:c r="S34" s="1"/>
      <x:c r="T34" s="1"/>
      <x:c r="U34" s="1"/>
      <x:c r="V34" s="1"/>
    </x:row>
    <x:row r="35" ht="50" customHeight="1">
      <x:c r="A35" s="28" t="str">
        <x:v>Claims guardrail</x:v>
      </x:c>
      <x:c r="B35" s="28" t="str">
        <x:v>No-CUI and assurance language</x:v>
      </x:c>
      <x:c r="C35" s="32" t="n">
        <x:v>46272.666666666664</x:v>
      </x:c>
      <x:c r="D35" s="28" t="str">
        <x:v>Do not claim CMMC certification, SOC 2 compliance/certification, FedRAMP authorization/equivalence, government approval, audit readiness, or approval for real customer CUI.</x:v>
      </x:c>
      <x:c r="E35" s="1"/>
      <x:c r="F35" s="1"/>
      <x:c r="G35" s="1"/>
      <x:c r="H35" s="1"/>
      <x:c r="I35" s="1"/>
      <x:c r="J35" s="1"/>
      <x:c r="K35" s="1"/>
      <x:c r="L35" s="1"/>
      <x:c r="M35" s="1"/>
      <x:c r="N35" s="1"/>
      <x:c r="O35" s="1"/>
      <x:c r="P35" s="1"/>
      <x:c r="Q35" s="1"/>
      <x:c r="R35" s="1"/>
      <x:c r="S35" s="1"/>
      <x:c r="T35" s="1"/>
      <x:c r="U35" s="1"/>
      <x:c r="V35" s="1"/>
    </x:row>
    <x:row r="36" ht="50" customHeight="1">
      <x:c r="A36" s="28" t="str">
        <x:v>Skipped verification</x:v>
      </x:c>
      <x:c r="B36" s="28" t="str">
        <x:v>Reporting-only boundary</x:v>
      </x:c>
      <x:c r="C36" s="32" t="n">
        <x:v>46272.666666666664</x:v>
      </x:c>
      <x:c r="D36" s="28" t="str">
        <x:v>No builds, broad tests, deployments, external checks, commits, pushes, or source edits were performed. Current working-tree drift was not certified.</x:v>
      </x:c>
      <x:c r="E36" s="1"/>
      <x:c r="F36" s="1"/>
      <x:c r="G36" s="1"/>
      <x:c r="H36" s="1"/>
      <x:c r="I36" s="1"/>
      <x:c r="J36" s="1"/>
      <x:c r="K36" s="1"/>
      <x:c r="L36" s="1"/>
      <x:c r="M36" s="1"/>
      <x:c r="N36" s="1"/>
      <x:c r="O36" s="1"/>
      <x:c r="P36" s="1"/>
      <x:c r="Q36" s="1"/>
      <x:c r="R36" s="1"/>
      <x:c r="S36" s="1"/>
      <x:c r="T36" s="1"/>
      <x:c r="U36" s="1"/>
      <x:c r="V36" s="1"/>
    </x:row>
    <x:row r="37">
      <x:c r="A37" s="1"/>
      <x:c r="B37" s="1"/>
      <x:c r="C37" s="1"/>
      <x:c r="D37" s="1"/>
      <x:c r="E37" s="1"/>
      <x:c r="F37" s="1"/>
      <x:c r="G37" s="1"/>
      <x:c r="H37" s="1"/>
      <x:c r="I37" s="1"/>
      <x:c r="J37" s="1"/>
      <x:c r="K37" s="1"/>
      <x:c r="L37" s="1"/>
      <x:c r="M37" s="1"/>
      <x:c r="N37" s="1"/>
      <x:c r="O37" s="1"/>
      <x:c r="P37" s="1"/>
      <x:c r="Q37" s="1"/>
      <x:c r="R37" s="1"/>
      <x:c r="S37" s="1"/>
      <x:c r="T37" s="1"/>
      <x:c r="U37" s="1"/>
      <x:c r="V37" s="1"/>
    </x:row>
    <x:row r="38">
      <x:c r="A38" s="1"/>
      <x:c r="B38" s="1"/>
      <x:c r="C38" s="1"/>
      <x:c r="D38" s="1"/>
      <x:c r="E38" s="1"/>
      <x:c r="F38" s="1"/>
      <x:c r="G38" s="1"/>
      <x:c r="H38" s="1"/>
      <x:c r="I38" s="1"/>
      <x:c r="J38" s="1"/>
      <x:c r="K38" s="1"/>
      <x:c r="L38" s="1"/>
      <x:c r="M38" s="1"/>
      <x:c r="N38" s="1"/>
      <x:c r="O38" s="1"/>
      <x:c r="P38" s="1"/>
      <x:c r="Q38" s="1"/>
      <x:c r="R38" s="1"/>
      <x:c r="S38" s="1"/>
      <x:c r="T38" s="1"/>
      <x:c r="U38" s="1"/>
      <x:c r="V38" s="1"/>
    </x:row>
    <x:row r="39">
      <x:c r="A39" s="1"/>
      <x:c r="B39" s="1"/>
      <x:c r="C39" s="1"/>
      <x:c r="D39" s="1"/>
      <x:c r="E39" s="1"/>
      <x:c r="F39" s="1"/>
      <x:c r="G39" s="1"/>
      <x:c r="H39" s="1"/>
      <x:c r="I39" s="1"/>
      <x:c r="J39" s="1"/>
      <x:c r="K39" s="1"/>
      <x:c r="L39" s="1"/>
      <x:c r="M39" s="1"/>
      <x:c r="N39" s="1"/>
      <x:c r="O39" s="1"/>
      <x:c r="P39" s="1"/>
      <x:c r="Q39" s="1"/>
      <x:c r="R39" s="1"/>
      <x:c r="S39" s="1"/>
      <x:c r="T39" s="1"/>
      <x:c r="U39" s="1"/>
      <x:c r="V39" s="1"/>
    </x:row>
    <x:row r="40">
      <x:c r="A40" s="1"/>
      <x:c r="B40" s="1"/>
      <x:c r="C40" s="1"/>
      <x:c r="D40" s="1"/>
      <x:c r="E40" s="1"/>
      <x:c r="F40" s="1"/>
      <x:c r="G40" s="1"/>
      <x:c r="H40" s="1"/>
      <x:c r="I40" s="1"/>
      <x:c r="J40" s="1"/>
      <x:c r="K40" s="1"/>
      <x:c r="L40" s="1"/>
      <x:c r="M40" s="1"/>
      <x:c r="N40" s="1"/>
      <x:c r="O40" s="1"/>
      <x:c r="P40" s="1"/>
      <x:c r="Q40" s="1"/>
      <x:c r="R40" s="1"/>
      <x:c r="S40" s="1"/>
      <x:c r="T40" s="1"/>
      <x:c r="U40" s="1"/>
      <x:c r="V40" s="1"/>
    </x:row>
    <x:row r="41">
      <x:c r="A41" s="1"/>
      <x:c r="B41" s="1"/>
      <x:c r="C41" s="1"/>
      <x:c r="D41" s="1"/>
      <x:c r="E41" s="1"/>
      <x:c r="F41" s="1"/>
      <x:c r="G41" s="1"/>
      <x:c r="H41" s="1"/>
      <x:c r="I41" s="1"/>
      <x:c r="J41" s="1"/>
      <x:c r="K41" s="1"/>
      <x:c r="L41" s="1"/>
      <x:c r="M41" s="1"/>
      <x:c r="N41" s="1"/>
      <x:c r="O41" s="1"/>
      <x:c r="P41" s="1"/>
      <x:c r="Q41" s="1"/>
      <x:c r="R41" s="1"/>
      <x:c r="S41" s="1"/>
      <x:c r="T41" s="1"/>
      <x:c r="U41" s="1"/>
      <x:c r="V41" s="1"/>
    </x:row>
    <x:row r="42">
      <x:c r="A42" s="1"/>
      <x:c r="B42" s="1"/>
      <x:c r="C42" s="1"/>
      <x:c r="D42" s="1"/>
      <x:c r="E42" s="1"/>
      <x:c r="F42" s="1"/>
      <x:c r="G42" s="1"/>
      <x:c r="H42" s="1"/>
      <x:c r="I42" s="1"/>
      <x:c r="J42" s="1"/>
      <x:c r="K42" s="1"/>
      <x:c r="L42" s="1"/>
      <x:c r="M42" s="1"/>
      <x:c r="N42" s="1"/>
      <x:c r="O42" s="1"/>
      <x:c r="P42" s="1"/>
      <x:c r="Q42" s="1"/>
      <x:c r="R42" s="1"/>
      <x:c r="S42" s="1"/>
      <x:c r="T42" s="1"/>
      <x:c r="U42" s="1"/>
      <x:c r="V42" s="1"/>
    </x:row>
    <x:row r="43">
      <x:c r="A43" s="1"/>
      <x:c r="B43" s="1"/>
      <x:c r="C43" s="1"/>
      <x:c r="D43" s="1"/>
      <x:c r="E43" s="1"/>
      <x:c r="F43" s="1"/>
      <x:c r="G43" s="1"/>
      <x:c r="H43" s="1"/>
      <x:c r="I43" s="1"/>
      <x:c r="J43" s="1"/>
      <x:c r="K43" s="1"/>
      <x:c r="L43" s="1"/>
      <x:c r="M43" s="1"/>
      <x:c r="N43" s="1"/>
      <x:c r="O43" s="1"/>
      <x:c r="P43" s="1"/>
      <x:c r="Q43" s="1"/>
      <x:c r="R43" s="1"/>
      <x:c r="S43" s="1"/>
      <x:c r="T43" s="1"/>
      <x:c r="U43" s="1"/>
      <x:c r="V43" s="1"/>
    </x:row>
    <x:row r="44">
      <x:c r="A44" s="1"/>
      <x:c r="B44" s="1"/>
      <x:c r="C44" s="1"/>
      <x:c r="D44" s="1"/>
      <x:c r="E44" s="1"/>
      <x:c r="F44" s="1"/>
      <x:c r="G44" s="1"/>
      <x:c r="H44" s="1"/>
      <x:c r="I44" s="1"/>
      <x:c r="J44" s="1"/>
      <x:c r="K44" s="1"/>
      <x:c r="L44" s="1"/>
      <x:c r="M44" s="1"/>
      <x:c r="N44" s="1"/>
      <x:c r="O44" s="1"/>
      <x:c r="P44" s="1"/>
      <x:c r="Q44" s="1"/>
      <x:c r="R44" s="1"/>
      <x:c r="S44" s="1"/>
      <x:c r="T44" s="1"/>
      <x:c r="U44" s="1"/>
      <x:c r="V44" s="1"/>
    </x:row>
    <x:row r="45">
      <x:c r="A45" s="1"/>
      <x:c r="B45" s="1"/>
      <x:c r="C45" s="1"/>
      <x:c r="D45" s="1"/>
      <x:c r="E45" s="1"/>
      <x:c r="F45" s="1"/>
      <x:c r="G45" s="1"/>
      <x:c r="H45" s="1"/>
      <x:c r="I45" s="1"/>
      <x:c r="J45" s="1"/>
      <x:c r="K45" s="1"/>
      <x:c r="L45" s="1"/>
      <x:c r="M45" s="1"/>
      <x:c r="N45" s="1"/>
      <x:c r="O45" s="1"/>
      <x:c r="P45" s="1"/>
      <x:c r="Q45" s="1"/>
      <x:c r="R45" s="1"/>
      <x:c r="S45" s="1"/>
      <x:c r="T45" s="1"/>
      <x:c r="U45" s="1"/>
      <x:c r="V45" s="1"/>
    </x:row>
    <x:row r="46">
      <x:c r="A46" s="1"/>
      <x:c r="B46" s="1"/>
      <x:c r="C46" s="1"/>
      <x:c r="D46" s="1"/>
      <x:c r="E46" s="1"/>
      <x:c r="F46" s="1"/>
      <x:c r="G46" s="1"/>
      <x:c r="H46" s="1"/>
      <x:c r="I46" s="1"/>
      <x:c r="J46" s="1"/>
      <x:c r="K46" s="1"/>
      <x:c r="L46" s="1"/>
      <x:c r="M46" s="1"/>
      <x:c r="N46" s="1"/>
      <x:c r="O46" s="1"/>
      <x:c r="P46" s="1"/>
      <x:c r="Q46" s="1"/>
      <x:c r="R46" s="1"/>
      <x:c r="S46" s="1"/>
      <x:c r="T46" s="1"/>
      <x:c r="U46" s="1"/>
      <x:c r="V46" s="1"/>
    </x:row>
    <x:row r="47">
      <x:c r="A47" s="1"/>
      <x:c r="B47" s="1"/>
      <x:c r="C47" s="1"/>
      <x:c r="D47" s="1"/>
      <x:c r="E47" s="1"/>
      <x:c r="F47" s="1"/>
      <x:c r="G47" s="1"/>
      <x:c r="H47" s="1"/>
      <x:c r="I47" s="1"/>
      <x:c r="J47" s="1"/>
      <x:c r="K47" s="1"/>
      <x:c r="L47" s="1"/>
      <x:c r="M47" s="1"/>
      <x:c r="N47" s="1"/>
      <x:c r="O47" s="1"/>
      <x:c r="P47" s="1"/>
      <x:c r="Q47" s="1"/>
      <x:c r="R47" s="1"/>
      <x:c r="S47" s="1"/>
      <x:c r="T47" s="1"/>
      <x:c r="U47" s="1"/>
      <x:c r="V47" s="1"/>
    </x:row>
    <x:row r="48">
      <x:c r="A48" s="1"/>
      <x:c r="B48" s="1"/>
      <x:c r="C48" s="1"/>
      <x:c r="D48" s="1"/>
      <x:c r="E48" s="1"/>
      <x:c r="F48" s="1"/>
      <x:c r="G48" s="1"/>
      <x:c r="H48" s="1"/>
      <x:c r="I48" s="1"/>
      <x:c r="J48" s="1"/>
      <x:c r="K48" s="1"/>
      <x:c r="L48" s="1"/>
      <x:c r="M48" s="1"/>
      <x:c r="N48" s="1"/>
      <x:c r="O48" s="1"/>
      <x:c r="P48" s="1"/>
      <x:c r="Q48" s="1"/>
      <x:c r="R48" s="1"/>
      <x:c r="S48" s="1"/>
      <x:c r="T48" s="1"/>
      <x:c r="U48" s="1"/>
      <x:c r="V48" s="1"/>
    </x:row>
    <x:row r="49">
      <x:c r="A49" s="1"/>
      <x:c r="B49" s="1"/>
      <x:c r="C49" s="1"/>
      <x:c r="D49" s="1"/>
      <x:c r="E49" s="1"/>
      <x:c r="F49" s="1"/>
      <x:c r="G49" s="1"/>
      <x:c r="H49" s="1"/>
      <x:c r="I49" s="1"/>
      <x:c r="J49" s="1"/>
      <x:c r="K49" s="1"/>
      <x:c r="L49" s="1"/>
      <x:c r="M49" s="1"/>
      <x:c r="N49" s="1"/>
      <x:c r="O49" s="1"/>
      <x:c r="P49" s="1"/>
      <x:c r="Q49" s="1"/>
      <x:c r="R49" s="1"/>
      <x:c r="S49" s="1"/>
      <x:c r="T49" s="1"/>
      <x:c r="U49" s="1"/>
      <x:c r="V49" s="1"/>
    </x:row>
    <x:row r="50">
      <x:c r="A50" s="1"/>
      <x:c r="B50" s="1"/>
      <x:c r="C50" s="1"/>
      <x:c r="D50" s="1"/>
      <x:c r="E50" s="1"/>
      <x:c r="F50" s="1"/>
      <x:c r="G50" s="1"/>
      <x:c r="H50" s="1"/>
      <x:c r="I50" s="1"/>
      <x:c r="J50" s="1"/>
      <x:c r="K50" s="1"/>
      <x:c r="L50" s="1"/>
      <x:c r="M50" s="1"/>
      <x:c r="N50" s="1"/>
      <x:c r="O50" s="1"/>
      <x:c r="P50" s="1"/>
      <x:c r="Q50" s="1"/>
      <x:c r="R50" s="1"/>
      <x:c r="S50" s="1"/>
      <x:c r="T50" s="1"/>
      <x:c r="U50" s="1"/>
      <x:c r="V50" s="1"/>
    </x:row>
    <x:row r="51">
      <x:c r="A51" s="1"/>
      <x:c r="B51" s="1"/>
      <x:c r="C51" s="1"/>
      <x:c r="D51" s="1"/>
      <x:c r="E51" s="1"/>
      <x:c r="F51" s="1"/>
      <x:c r="G51" s="1"/>
      <x:c r="H51" s="1"/>
      <x:c r="I51" s="1"/>
      <x:c r="J51" s="1"/>
      <x:c r="K51" s="1"/>
      <x:c r="L51" s="1"/>
      <x:c r="M51" s="1"/>
      <x:c r="N51" s="1"/>
      <x:c r="O51" s="1"/>
      <x:c r="P51" s="1"/>
      <x:c r="Q51" s="1"/>
      <x:c r="R51" s="1"/>
      <x:c r="S51" s="1"/>
      <x:c r="T51" s="1"/>
      <x:c r="U51" s="1"/>
      <x:c r="V51" s="1"/>
    </x:row>
    <x:row r="52">
      <x:c r="A52" s="1"/>
      <x:c r="B52" s="1"/>
      <x:c r="C52" s="1"/>
      <x:c r="D52" s="1"/>
      <x:c r="E52" s="1"/>
      <x:c r="F52" s="1"/>
      <x:c r="G52" s="1"/>
      <x:c r="H52" s="1"/>
      <x:c r="I52" s="1"/>
      <x:c r="J52" s="1"/>
      <x:c r="K52" s="1"/>
      <x:c r="L52" s="1"/>
      <x:c r="M52" s="1"/>
      <x:c r="N52" s="1"/>
      <x:c r="O52" s="1"/>
      <x:c r="P52" s="1"/>
      <x:c r="Q52" s="1"/>
      <x:c r="R52" s="1"/>
      <x:c r="S52" s="1"/>
      <x:c r="T52" s="1"/>
      <x:c r="U52" s="1"/>
      <x:c r="V52" s="1"/>
    </x:row>
    <x:row r="53">
      <x:c r="A53" s="1"/>
      <x:c r="B53" s="1"/>
      <x:c r="C53" s="1"/>
      <x:c r="D53" s="1"/>
      <x:c r="E53" s="1"/>
      <x:c r="F53" s="1"/>
      <x:c r="G53" s="1"/>
      <x:c r="H53" s="1"/>
      <x:c r="I53" s="1"/>
      <x:c r="J53" s="1"/>
      <x:c r="K53" s="1"/>
      <x:c r="L53" s="1"/>
      <x:c r="M53" s="1"/>
      <x:c r="N53" s="1"/>
      <x:c r="O53" s="1"/>
      <x:c r="P53" s="1"/>
      <x:c r="Q53" s="1"/>
      <x:c r="R53" s="1"/>
      <x:c r="S53" s="1"/>
      <x:c r="T53" s="1"/>
      <x:c r="U53" s="1"/>
      <x:c r="V53" s="1"/>
    </x:row>
    <x:row r="54">
      <x:c r="A54" s="1"/>
      <x:c r="B54" s="1"/>
      <x:c r="C54" s="1"/>
      <x:c r="D54" s="1"/>
      <x:c r="E54" s="1"/>
      <x:c r="F54" s="1"/>
      <x:c r="G54" s="1"/>
      <x:c r="H54" s="1"/>
      <x:c r="I54" s="1"/>
      <x:c r="J54" s="1"/>
      <x:c r="K54" s="1"/>
      <x:c r="L54" s="1"/>
      <x:c r="M54" s="1"/>
      <x:c r="N54" s="1"/>
      <x:c r="O54" s="1"/>
      <x:c r="P54" s="1"/>
      <x:c r="Q54" s="1"/>
      <x:c r="R54" s="1"/>
      <x:c r="S54" s="1"/>
      <x:c r="T54" s="1"/>
      <x:c r="U54" s="1"/>
      <x:c r="V54" s="1"/>
    </x:row>
    <x:row r="55">
      <x:c r="A55" s="1"/>
      <x:c r="B55" s="1"/>
      <x:c r="C55" s="1"/>
      <x:c r="D55" s="1"/>
      <x:c r="E55" s="1"/>
      <x:c r="F55" s="1"/>
      <x:c r="G55" s="1"/>
      <x:c r="H55" s="1"/>
      <x:c r="I55" s="1"/>
      <x:c r="J55" s="1"/>
      <x:c r="K55" s="1"/>
      <x:c r="L55" s="1"/>
      <x:c r="M55" s="1"/>
      <x:c r="N55" s="1"/>
      <x:c r="O55" s="1"/>
      <x:c r="P55" s="1"/>
      <x:c r="Q55" s="1"/>
      <x:c r="R55" s="1"/>
      <x:c r="S55" s="1"/>
      <x:c r="T55" s="1"/>
      <x:c r="U55" s="1"/>
      <x:c r="V55" s="1"/>
    </x:row>
    <x:row r="56">
      <x:c r="A56" s="1"/>
      <x:c r="B56" s="1"/>
      <x:c r="C56" s="1"/>
      <x:c r="D56" s="1"/>
      <x:c r="E56" s="1"/>
      <x:c r="F56" s="1"/>
      <x:c r="G56" s="1"/>
      <x:c r="H56" s="1"/>
      <x:c r="I56" s="1"/>
      <x:c r="J56" s="1"/>
      <x:c r="K56" s="1"/>
      <x:c r="L56" s="1"/>
      <x:c r="M56" s="1"/>
      <x:c r="N56" s="1"/>
      <x:c r="O56" s="1"/>
      <x:c r="P56" s="1"/>
      <x:c r="Q56" s="1"/>
      <x:c r="R56" s="1"/>
      <x:c r="S56" s="1"/>
      <x:c r="T56" s="1"/>
      <x:c r="U56" s="1"/>
      <x:c r="V56" s="1"/>
    </x:row>
    <x:row r="57">
      <x:c r="A57" s="1"/>
      <x:c r="B57" s="1"/>
      <x:c r="C57" s="1"/>
      <x:c r="D57" s="1"/>
      <x:c r="E57" s="1"/>
      <x:c r="F57" s="1"/>
      <x:c r="G57" s="1"/>
      <x:c r="H57" s="1"/>
      <x:c r="I57" s="1"/>
      <x:c r="J57" s="1"/>
      <x:c r="K57" s="1"/>
      <x:c r="L57" s="1"/>
      <x:c r="M57" s="1"/>
      <x:c r="N57" s="1"/>
      <x:c r="O57" s="1"/>
      <x:c r="P57" s="1"/>
      <x:c r="Q57" s="1"/>
      <x:c r="R57" s="1"/>
      <x:c r="S57" s="1"/>
      <x:c r="T57" s="1"/>
      <x:c r="U57" s="1"/>
      <x:c r="V57" s="1"/>
    </x:row>
    <x:row r="58">
      <x:c r="A58" s="1"/>
      <x:c r="B58" s="1"/>
      <x:c r="C58" s="1"/>
      <x:c r="D58" s="1"/>
      <x:c r="E58" s="1"/>
      <x:c r="F58" s="1"/>
      <x:c r="G58" s="1"/>
      <x:c r="H58" s="1"/>
      <x:c r="I58" s="1"/>
      <x:c r="J58" s="1"/>
      <x:c r="K58" s="1"/>
      <x:c r="L58" s="1"/>
      <x:c r="M58" s="1"/>
      <x:c r="N58" s="1"/>
      <x:c r="O58" s="1"/>
      <x:c r="P58" s="1"/>
      <x:c r="Q58" s="1"/>
      <x:c r="R58" s="1"/>
      <x:c r="S58" s="1"/>
      <x:c r="T58" s="1"/>
      <x:c r="U58" s="1"/>
      <x:c r="V58" s="1"/>
    </x:row>
    <x:row r="59">
      <x:c r="A59" s="1"/>
      <x:c r="B59" s="1"/>
      <x:c r="C59" s="1"/>
      <x:c r="D59" s="1"/>
      <x:c r="E59" s="1"/>
      <x:c r="F59" s="1"/>
      <x:c r="G59" s="1"/>
      <x:c r="H59" s="1"/>
      <x:c r="I59" s="1"/>
      <x:c r="J59" s="1"/>
      <x:c r="K59" s="1"/>
      <x:c r="L59" s="1"/>
      <x:c r="M59" s="1"/>
      <x:c r="N59" s="1"/>
      <x:c r="O59" s="1"/>
      <x:c r="P59" s="1"/>
      <x:c r="Q59" s="1"/>
      <x:c r="R59" s="1"/>
      <x:c r="S59" s="1"/>
      <x:c r="T59" s="1"/>
      <x:c r="U59" s="1"/>
      <x:c r="V59" s="1"/>
    </x:row>
    <x:row r="60">
      <x:c r="A60" s="1"/>
      <x:c r="B60" s="1"/>
      <x:c r="C60" s="1"/>
      <x:c r="D60" s="1"/>
      <x:c r="E60" s="1"/>
      <x:c r="F60" s="1"/>
      <x:c r="G60" s="1"/>
      <x:c r="H60" s="1"/>
      <x:c r="I60" s="1"/>
      <x:c r="J60" s="1"/>
      <x:c r="K60" s="1"/>
      <x:c r="L60" s="1"/>
      <x:c r="M60" s="1"/>
      <x:c r="N60" s="1"/>
      <x:c r="O60" s="1"/>
      <x:c r="P60" s="1"/>
      <x:c r="Q60" s="1"/>
      <x:c r="R60" s="1"/>
      <x:c r="S60" s="1"/>
      <x:c r="T60" s="1"/>
      <x:c r="U60" s="1"/>
      <x:c r="V60" s="1"/>
    </x:row>
    <x:row r="61">
      <x:c r="A61" s="1"/>
      <x:c r="B61" s="1"/>
      <x:c r="C61" s="1"/>
      <x:c r="D61" s="1"/>
      <x:c r="E61" s="1"/>
      <x:c r="F61" s="1"/>
      <x:c r="G61" s="1"/>
      <x:c r="H61" s="1"/>
      <x:c r="I61" s="1"/>
      <x:c r="J61" s="1"/>
      <x:c r="K61" s="1"/>
      <x:c r="L61" s="1"/>
      <x:c r="M61" s="1"/>
      <x:c r="N61" s="1"/>
      <x:c r="O61" s="1"/>
      <x:c r="P61" s="1"/>
      <x:c r="Q61" s="1"/>
      <x:c r="R61" s="1"/>
      <x:c r="S61" s="1"/>
      <x:c r="T61" s="1"/>
      <x:c r="U61" s="1"/>
      <x:c r="V61" s="1"/>
    </x:row>
    <x:row r="62">
      <x:c r="A62" s="1"/>
      <x:c r="B62" s="1"/>
      <x:c r="C62" s="1"/>
      <x:c r="D62" s="1"/>
      <x:c r="E62" s="1"/>
      <x:c r="F62" s="1"/>
      <x:c r="G62" s="1"/>
      <x:c r="H62" s="1"/>
      <x:c r="I62" s="1"/>
      <x:c r="J62" s="1"/>
      <x:c r="K62" s="1"/>
      <x:c r="L62" s="1"/>
      <x:c r="M62" s="1"/>
      <x:c r="N62" s="1"/>
      <x:c r="O62" s="1"/>
      <x:c r="P62" s="1"/>
      <x:c r="Q62" s="1"/>
      <x:c r="R62" s="1"/>
      <x:c r="S62" s="1"/>
      <x:c r="T62" s="1"/>
      <x:c r="U62" s="1"/>
      <x:c r="V62" s="1"/>
    </x:row>
    <x:row r="63">
      <x:c r="A63" s="1"/>
      <x:c r="B63" s="1"/>
      <x:c r="C63" s="1"/>
      <x:c r="D63" s="1"/>
      <x:c r="E63" s="1"/>
      <x:c r="F63" s="1"/>
      <x:c r="G63" s="1"/>
      <x:c r="H63" s="1"/>
      <x:c r="I63" s="1"/>
      <x:c r="J63" s="1"/>
      <x:c r="K63" s="1"/>
      <x:c r="L63" s="1"/>
      <x:c r="M63" s="1"/>
      <x:c r="N63" s="1"/>
      <x:c r="O63" s="1"/>
      <x:c r="P63" s="1"/>
      <x:c r="Q63" s="1"/>
      <x:c r="R63" s="1"/>
      <x:c r="S63" s="1"/>
      <x:c r="T63" s="1"/>
      <x:c r="U63" s="1"/>
      <x:c r="V63" s="1"/>
    </x:row>
    <x:row r="64">
      <x:c r="A64" s="1"/>
      <x:c r="B64" s="1"/>
      <x:c r="C64" s="1"/>
      <x:c r="D64" s="1"/>
      <x:c r="E64" s="1"/>
      <x:c r="F64" s="1"/>
      <x:c r="G64" s="1"/>
      <x:c r="H64" s="1"/>
      <x:c r="I64" s="1"/>
      <x:c r="J64" s="1"/>
      <x:c r="K64" s="1"/>
      <x:c r="L64" s="1"/>
      <x:c r="M64" s="1"/>
      <x:c r="N64" s="1"/>
      <x:c r="O64" s="1"/>
      <x:c r="P64" s="1"/>
      <x:c r="Q64" s="1"/>
      <x:c r="R64" s="1"/>
      <x:c r="S64" s="1"/>
      <x:c r="T64" s="1"/>
      <x:c r="U64" s="1"/>
      <x:c r="V64" s="1"/>
    </x:row>
    <x:row r="65">
      <x:c r="A65" s="1"/>
      <x:c r="B65" s="1"/>
      <x:c r="C65" s="1"/>
      <x:c r="D65" s="1"/>
      <x:c r="E65" s="1"/>
      <x:c r="F65" s="1"/>
      <x:c r="G65" s="1"/>
      <x:c r="H65" s="1"/>
      <x:c r="I65" s="1"/>
      <x:c r="J65" s="1"/>
      <x:c r="K65" s="1"/>
      <x:c r="L65" s="1"/>
      <x:c r="M65" s="1"/>
      <x:c r="N65" s="1"/>
      <x:c r="O65" s="1"/>
      <x:c r="P65" s="1"/>
      <x:c r="Q65" s="1"/>
      <x:c r="R65" s="1"/>
      <x:c r="S65" s="1"/>
      <x:c r="T65" s="1"/>
      <x:c r="U65" s="1"/>
      <x:c r="V65" s="1"/>
    </x:row>
    <x:row r="66">
      <x:c r="A66" s="1"/>
      <x:c r="B66" s="1"/>
      <x:c r="C66" s="1"/>
      <x:c r="D66" s="1"/>
      <x:c r="E66" s="1"/>
      <x:c r="F66" s="1"/>
      <x:c r="G66" s="1"/>
      <x:c r="H66" s="1"/>
      <x:c r="I66" s="1"/>
      <x:c r="J66" s="1"/>
      <x:c r="K66" s="1"/>
      <x:c r="L66" s="1"/>
      <x:c r="M66" s="1"/>
      <x:c r="N66" s="1"/>
      <x:c r="O66" s="1"/>
      <x:c r="P66" s="1"/>
      <x:c r="Q66" s="1"/>
      <x:c r="R66" s="1"/>
      <x:c r="S66" s="1"/>
      <x:c r="T66" s="1"/>
      <x:c r="U66" s="1"/>
      <x:c r="V66" s="1"/>
    </x:row>
    <x:row r="67">
      <x:c r="A67" s="1"/>
      <x:c r="B67" s="1"/>
      <x:c r="C67" s="1"/>
      <x:c r="D67" s="1"/>
      <x:c r="E67" s="1"/>
      <x:c r="F67" s="1"/>
      <x:c r="G67" s="1"/>
      <x:c r="H67" s="1"/>
      <x:c r="I67" s="1"/>
      <x:c r="J67" s="1"/>
      <x:c r="K67" s="1"/>
      <x:c r="L67" s="1"/>
      <x:c r="M67" s="1"/>
      <x:c r="N67" s="1"/>
      <x:c r="O67" s="1"/>
      <x:c r="P67" s="1"/>
      <x:c r="Q67" s="1"/>
      <x:c r="R67" s="1"/>
      <x:c r="S67" s="1"/>
      <x:c r="T67" s="1"/>
      <x:c r="U67" s="1"/>
      <x:c r="V67" s="1"/>
    </x:row>
    <x:row r="68">
      <x:c r="A68" s="1"/>
      <x:c r="B68" s="1"/>
      <x:c r="C68" s="1"/>
      <x:c r="D68" s="1"/>
      <x:c r="E68" s="1"/>
      <x:c r="F68" s="1"/>
      <x:c r="G68" s="1"/>
      <x:c r="H68" s="1"/>
      <x:c r="I68" s="1"/>
      <x:c r="J68" s="1"/>
      <x:c r="K68" s="1"/>
      <x:c r="L68" s="1"/>
      <x:c r="M68" s="1"/>
      <x:c r="N68" s="1"/>
      <x:c r="O68" s="1"/>
      <x:c r="P68" s="1"/>
      <x:c r="Q68" s="1"/>
      <x:c r="R68" s="1"/>
      <x:c r="S68" s="1"/>
      <x:c r="T68" s="1"/>
      <x:c r="U68" s="1"/>
      <x:c r="V68" s="1"/>
    </x:row>
    <x:row r="69">
      <x:c r="A69" s="1"/>
      <x:c r="B69" s="1"/>
      <x:c r="C69" s="1"/>
      <x:c r="D69" s="1"/>
      <x:c r="E69" s="1"/>
      <x:c r="F69" s="1"/>
      <x:c r="G69" s="1"/>
      <x:c r="H69" s="1"/>
      <x:c r="I69" s="1"/>
      <x:c r="J69" s="1"/>
      <x:c r="K69" s="1"/>
      <x:c r="L69" s="1"/>
      <x:c r="M69" s="1"/>
      <x:c r="N69" s="1"/>
      <x:c r="O69" s="1"/>
      <x:c r="P69" s="1"/>
      <x:c r="Q69" s="1"/>
      <x:c r="R69" s="1"/>
      <x:c r="S69" s="1"/>
      <x:c r="T69" s="1"/>
      <x:c r="U69" s="1"/>
      <x:c r="V69" s="1"/>
    </x:row>
    <x:row r="70">
      <x:c r="A70" s="1"/>
      <x:c r="B70" s="1"/>
      <x:c r="C70" s="1"/>
      <x:c r="D70" s="1"/>
      <x:c r="E70" s="1"/>
      <x:c r="F70" s="1"/>
      <x:c r="G70" s="1"/>
      <x:c r="H70" s="1"/>
      <x:c r="I70" s="1"/>
      <x:c r="J70" s="1"/>
      <x:c r="K70" s="1"/>
      <x:c r="L70" s="1"/>
      <x:c r="M70" s="1"/>
      <x:c r="N70" s="1"/>
      <x:c r="O70" s="1"/>
      <x:c r="P70" s="1"/>
      <x:c r="Q70" s="1"/>
      <x:c r="R70" s="1"/>
      <x:c r="S70" s="1"/>
      <x:c r="T70" s="1"/>
      <x:c r="U70" s="1"/>
      <x:c r="V70" s="1"/>
    </x:row>
    <x:row r="71">
      <x:c r="A71" s="1"/>
      <x:c r="B71" s="1"/>
      <x:c r="C71" s="1"/>
      <x:c r="D71" s="1"/>
      <x:c r="E71" s="1"/>
      <x:c r="F71" s="1"/>
      <x:c r="G71" s="1"/>
      <x:c r="H71" s="1"/>
      <x:c r="I71" s="1"/>
      <x:c r="J71" s="1"/>
      <x:c r="K71" s="1"/>
      <x:c r="L71" s="1"/>
      <x:c r="M71" s="1"/>
      <x:c r="N71" s="1"/>
      <x:c r="O71" s="1"/>
      <x:c r="P71" s="1"/>
      <x:c r="Q71" s="1"/>
      <x:c r="R71" s="1"/>
      <x:c r="S71" s="1"/>
      <x:c r="T71" s="1"/>
      <x:c r="U71" s="1"/>
      <x:c r="V71" s="1"/>
    </x:row>
    <x:row r="72">
      <x:c r="A72" s="1"/>
      <x:c r="B72" s="1"/>
      <x:c r="C72" s="1"/>
      <x:c r="D72" s="1"/>
      <x:c r="E72" s="1"/>
      <x:c r="F72" s="1"/>
      <x:c r="G72" s="1"/>
      <x:c r="H72" s="1"/>
      <x:c r="I72" s="1"/>
      <x:c r="J72" s="1"/>
      <x:c r="K72" s="1"/>
      <x:c r="L72" s="1"/>
      <x:c r="M72" s="1"/>
      <x:c r="N72" s="1"/>
      <x:c r="O72" s="1"/>
      <x:c r="P72" s="1"/>
      <x:c r="Q72" s="1"/>
      <x:c r="R72" s="1"/>
      <x:c r="S72" s="1"/>
      <x:c r="T72" s="1"/>
      <x:c r="U72" s="1"/>
      <x:c r="V72" s="1"/>
    </x:row>
    <x:row r="73">
      <x:c r="A73" s="1"/>
      <x:c r="B73" s="1"/>
      <x:c r="C73" s="1"/>
      <x:c r="D73" s="1"/>
      <x:c r="E73" s="1"/>
      <x:c r="F73" s="1"/>
      <x:c r="G73" s="1"/>
      <x:c r="H73" s="1"/>
      <x:c r="I73" s="1"/>
      <x:c r="J73" s="1"/>
      <x:c r="K73" s="1"/>
      <x:c r="L73" s="1"/>
      <x:c r="M73" s="1"/>
      <x:c r="N73" s="1"/>
      <x:c r="O73" s="1"/>
      <x:c r="P73" s="1"/>
      <x:c r="Q73" s="1"/>
      <x:c r="R73" s="1"/>
      <x:c r="S73" s="1"/>
      <x:c r="T73" s="1"/>
      <x:c r="U73" s="1"/>
      <x:c r="V73" s="1"/>
    </x:row>
    <x:row r="74">
      <x:c r="A74" s="1"/>
      <x:c r="B74" s="1"/>
      <x:c r="C74" s="1"/>
      <x:c r="D74" s="1"/>
      <x:c r="E74" s="1"/>
      <x:c r="F74" s="1"/>
      <x:c r="G74" s="1"/>
      <x:c r="H74" s="1"/>
      <x:c r="I74" s="1"/>
      <x:c r="J74" s="1"/>
      <x:c r="K74" s="1"/>
      <x:c r="L74" s="1"/>
      <x:c r="M74" s="1"/>
      <x:c r="N74" s="1"/>
      <x:c r="O74" s="1"/>
      <x:c r="P74" s="1"/>
      <x:c r="Q74" s="1"/>
      <x:c r="R74" s="1"/>
      <x:c r="S74" s="1"/>
      <x:c r="T74" s="1"/>
      <x:c r="U74" s="1"/>
      <x:c r="V74" s="1"/>
    </x:row>
    <x:row r="75">
      <x:c r="A75" s="1"/>
      <x:c r="B75" s="1"/>
      <x:c r="C75" s="1"/>
      <x:c r="D75" s="1"/>
      <x:c r="E75" s="1"/>
      <x:c r="F75" s="1"/>
      <x:c r="G75" s="1"/>
      <x:c r="H75" s="1"/>
      <x:c r="I75" s="1"/>
      <x:c r="J75" s="1"/>
      <x:c r="K75" s="1"/>
      <x:c r="L75" s="1"/>
      <x:c r="M75" s="1"/>
      <x:c r="N75" s="1"/>
      <x:c r="O75" s="1"/>
      <x:c r="P75" s="1"/>
      <x:c r="Q75" s="1"/>
      <x:c r="R75" s="1"/>
      <x:c r="S75" s="1"/>
      <x:c r="T75" s="1"/>
      <x:c r="U75" s="1"/>
      <x:c r="V75" s="1"/>
    </x:row>
    <x:row r="76">
      <x:c r="A76" s="1"/>
      <x:c r="B76" s="1"/>
      <x:c r="C76" s="1"/>
      <x:c r="D76" s="1"/>
      <x:c r="E76" s="1"/>
      <x:c r="F76" s="1"/>
      <x:c r="G76" s="1"/>
      <x:c r="H76" s="1"/>
      <x:c r="I76" s="1"/>
      <x:c r="J76" s="1"/>
      <x:c r="K76" s="1"/>
      <x:c r="L76" s="1"/>
      <x:c r="M76" s="1"/>
      <x:c r="N76" s="1"/>
      <x:c r="O76" s="1"/>
      <x:c r="P76" s="1"/>
      <x:c r="Q76" s="1"/>
      <x:c r="R76" s="1"/>
      <x:c r="S76" s="1"/>
      <x:c r="T76" s="1"/>
      <x:c r="U76" s="1"/>
      <x:c r="V76" s="1"/>
    </x:row>
    <x:row r="77">
      <x:c r="A77" s="1"/>
      <x:c r="B77" s="1"/>
      <x:c r="C77" s="1"/>
      <x:c r="D77" s="1"/>
      <x:c r="E77" s="1"/>
      <x:c r="F77" s="1"/>
      <x:c r="G77" s="1"/>
      <x:c r="H77" s="1"/>
      <x:c r="I77" s="1"/>
      <x:c r="J77" s="1"/>
      <x:c r="K77" s="1"/>
      <x:c r="L77" s="1"/>
      <x:c r="M77" s="1"/>
      <x:c r="N77" s="1"/>
      <x:c r="O77" s="1"/>
      <x:c r="P77" s="1"/>
      <x:c r="Q77" s="1"/>
      <x:c r="R77" s="1"/>
      <x:c r="S77" s="1"/>
      <x:c r="T77" s="1"/>
      <x:c r="U77" s="1"/>
      <x:c r="V77" s="1"/>
    </x:row>
    <x:row r="78">
      <x:c r="A78" s="1"/>
      <x:c r="B78" s="1"/>
      <x:c r="C78" s="1"/>
      <x:c r="D78" s="1"/>
      <x:c r="E78" s="1"/>
      <x:c r="F78" s="1"/>
      <x:c r="G78" s="1"/>
      <x:c r="H78" s="1"/>
      <x:c r="I78" s="1"/>
      <x:c r="J78" s="1"/>
      <x:c r="K78" s="1"/>
      <x:c r="L78" s="1"/>
      <x:c r="M78" s="1"/>
      <x:c r="N78" s="1"/>
      <x:c r="O78" s="1"/>
      <x:c r="P78" s="1"/>
      <x:c r="Q78" s="1"/>
      <x:c r="R78" s="1"/>
      <x:c r="S78" s="1"/>
      <x:c r="T78" s="1"/>
      <x:c r="U78" s="1"/>
      <x:c r="V78" s="1"/>
    </x:row>
    <x:row r="79">
      <x:c r="A79" s="1"/>
      <x:c r="B79" s="1"/>
      <x:c r="C79" s="1"/>
      <x:c r="D79" s="1"/>
      <x:c r="E79" s="1"/>
      <x:c r="F79" s="1"/>
      <x:c r="G79" s="1"/>
      <x:c r="H79" s="1"/>
      <x:c r="I79" s="1"/>
      <x:c r="J79" s="1"/>
      <x:c r="K79" s="1"/>
      <x:c r="L79" s="1"/>
      <x:c r="M79" s="1"/>
      <x:c r="N79" s="1"/>
      <x:c r="O79" s="1"/>
      <x:c r="P79" s="1"/>
      <x:c r="Q79" s="1"/>
      <x:c r="R79" s="1"/>
      <x:c r="S79" s="1"/>
      <x:c r="T79" s="1"/>
      <x:c r="U79" s="1"/>
      <x:c r="V79" s="1"/>
    </x:row>
    <x:row r="80">
      <x:c r="A80" s="1"/>
      <x:c r="B80" s="1"/>
      <x:c r="C80" s="1"/>
      <x:c r="D80" s="1"/>
      <x:c r="E80" s="1"/>
      <x:c r="F80" s="1"/>
      <x:c r="G80" s="1"/>
      <x:c r="H80" s="1"/>
      <x:c r="I80" s="1"/>
      <x:c r="J80" s="1"/>
      <x:c r="K80" s="1"/>
      <x:c r="L80" s="1"/>
      <x:c r="M80" s="1"/>
      <x:c r="N80" s="1"/>
      <x:c r="O80" s="1"/>
      <x:c r="P80" s="1"/>
      <x:c r="Q80" s="1"/>
      <x:c r="R80" s="1"/>
      <x:c r="S80" s="1"/>
      <x:c r="T80" s="1"/>
      <x:c r="U80" s="1"/>
      <x:c r="V80" s="1"/>
    </x:row>
    <x:row r="81">
      <x:c r="A81" s="1"/>
      <x:c r="B81" s="1"/>
      <x:c r="C81" s="1"/>
      <x:c r="D81" s="1"/>
      <x:c r="E81" s="1"/>
      <x:c r="F81" s="1"/>
      <x:c r="G81" s="1"/>
      <x:c r="H81" s="1"/>
      <x:c r="I81" s="1"/>
      <x:c r="J81" s="1"/>
      <x:c r="K81" s="1"/>
      <x:c r="L81" s="1"/>
      <x:c r="M81" s="1"/>
      <x:c r="N81" s="1"/>
      <x:c r="O81" s="1"/>
      <x:c r="P81" s="1"/>
      <x:c r="Q81" s="1"/>
      <x:c r="R81" s="1"/>
      <x:c r="S81" s="1"/>
      <x:c r="T81" s="1"/>
      <x:c r="U81" s="1"/>
      <x:c r="V81" s="1"/>
    </x:row>
    <x:row r="82">
      <x:c r="A82" s="1"/>
      <x:c r="B82" s="1"/>
      <x:c r="C82" s="1"/>
      <x:c r="D82" s="1"/>
      <x:c r="E82" s="1"/>
      <x:c r="F82" s="1"/>
      <x:c r="G82" s="1"/>
      <x:c r="H82" s="1"/>
      <x:c r="I82" s="1"/>
      <x:c r="J82" s="1"/>
      <x:c r="K82" s="1"/>
      <x:c r="L82" s="1"/>
      <x:c r="M82" s="1"/>
      <x:c r="N82" s="1"/>
      <x:c r="O82" s="1"/>
      <x:c r="P82" s="1"/>
      <x:c r="Q82" s="1"/>
      <x:c r="R82" s="1"/>
      <x:c r="S82" s="1"/>
      <x:c r="T82" s="1"/>
      <x:c r="U82" s="1"/>
      <x:c r="V82" s="1"/>
    </x:row>
    <x:row r="83">
      <x:c r="A83" s="1"/>
      <x:c r="B83" s="1"/>
      <x:c r="C83" s="1"/>
      <x:c r="D83" s="1"/>
      <x:c r="E83" s="1"/>
      <x:c r="F83" s="1"/>
      <x:c r="G83" s="1"/>
      <x:c r="H83" s="1"/>
      <x:c r="I83" s="1"/>
      <x:c r="J83" s="1"/>
      <x:c r="K83" s="1"/>
      <x:c r="L83" s="1"/>
      <x:c r="M83" s="1"/>
      <x:c r="N83" s="1"/>
      <x:c r="O83" s="1"/>
      <x:c r="P83" s="1"/>
      <x:c r="Q83" s="1"/>
      <x:c r="R83" s="1"/>
      <x:c r="S83" s="1"/>
      <x:c r="T83" s="1"/>
      <x:c r="U83" s="1"/>
      <x:c r="V83" s="1"/>
    </x:row>
    <x:row r="84">
      <x:c r="A84" s="1"/>
      <x:c r="B84" s="1"/>
      <x:c r="C84" s="1"/>
      <x:c r="D84" s="1"/>
      <x:c r="E84" s="1"/>
      <x:c r="F84" s="1"/>
      <x:c r="G84" s="1"/>
      <x:c r="H84" s="1"/>
      <x:c r="I84" s="1"/>
      <x:c r="J84" s="1"/>
      <x:c r="K84" s="1"/>
      <x:c r="L84" s="1"/>
      <x:c r="M84" s="1"/>
      <x:c r="N84" s="1"/>
      <x:c r="O84" s="1"/>
      <x:c r="P84" s="1"/>
      <x:c r="Q84" s="1"/>
      <x:c r="R84" s="1"/>
      <x:c r="S84" s="1"/>
      <x:c r="T84" s="1"/>
      <x:c r="U84" s="1"/>
      <x:c r="V84" s="1"/>
    </x:row>
    <x:row r="85">
      <x:c r="A85" s="1"/>
      <x:c r="B85" s="1"/>
      <x:c r="C85" s="1"/>
      <x:c r="D85" s="1"/>
      <x:c r="E85" s="1"/>
      <x:c r="F85" s="1"/>
      <x:c r="G85" s="1"/>
      <x:c r="H85" s="1"/>
      <x:c r="I85" s="1"/>
      <x:c r="J85" s="1"/>
      <x:c r="K85" s="1"/>
      <x:c r="L85" s="1"/>
      <x:c r="M85" s="1"/>
      <x:c r="N85" s="1"/>
      <x:c r="O85" s="1"/>
      <x:c r="P85" s="1"/>
      <x:c r="Q85" s="1"/>
      <x:c r="R85" s="1"/>
      <x:c r="S85" s="1"/>
      <x:c r="T85" s="1"/>
      <x:c r="U85" s="1"/>
      <x:c r="V85" s="1"/>
    </x:row>
    <x:row r="86">
      <x:c r="A86" s="1"/>
      <x:c r="B86" s="1"/>
      <x:c r="C86" s="1"/>
      <x:c r="D86" s="1"/>
      <x:c r="E86" s="1"/>
      <x:c r="F86" s="1"/>
      <x:c r="G86" s="1"/>
      <x:c r="H86" s="1"/>
      <x:c r="I86" s="1"/>
      <x:c r="J86" s="1"/>
      <x:c r="K86" s="1"/>
      <x:c r="L86" s="1"/>
      <x:c r="M86" s="1"/>
      <x:c r="N86" s="1"/>
      <x:c r="O86" s="1"/>
      <x:c r="P86" s="1"/>
      <x:c r="Q86" s="1"/>
      <x:c r="R86" s="1"/>
      <x:c r="S86" s="1"/>
      <x:c r="T86" s="1"/>
      <x:c r="U86" s="1"/>
      <x:c r="V86" s="1"/>
    </x:row>
    <x:row r="87">
      <x:c r="A87" s="1"/>
      <x:c r="B87" s="1"/>
      <x:c r="C87" s="1"/>
      <x:c r="D87" s="1"/>
      <x:c r="E87" s="1"/>
      <x:c r="F87" s="1"/>
      <x:c r="G87" s="1"/>
      <x:c r="H87" s="1"/>
      <x:c r="I87" s="1"/>
      <x:c r="J87" s="1"/>
      <x:c r="K87" s="1"/>
      <x:c r="L87" s="1"/>
      <x:c r="M87" s="1"/>
      <x:c r="N87" s="1"/>
      <x:c r="O87" s="1"/>
      <x:c r="P87" s="1"/>
      <x:c r="Q87" s="1"/>
      <x:c r="R87" s="1"/>
      <x:c r="S87" s="1"/>
      <x:c r="T87" s="1"/>
      <x:c r="U87" s="1"/>
      <x:c r="V87" s="1"/>
    </x:row>
    <x:row r="88">
      <x:c r="A88" s="1"/>
      <x:c r="B88" s="1"/>
      <x:c r="C88" s="1"/>
      <x:c r="D88" s="1"/>
      <x:c r="E88" s="1"/>
      <x:c r="F88" s="1"/>
      <x:c r="G88" s="1"/>
      <x:c r="H88" s="1"/>
      <x:c r="I88" s="1"/>
      <x:c r="J88" s="1"/>
      <x:c r="K88" s="1"/>
      <x:c r="L88" s="1"/>
      <x:c r="M88" s="1"/>
      <x:c r="N88" s="1"/>
      <x:c r="O88" s="1"/>
      <x:c r="P88" s="1"/>
      <x:c r="Q88" s="1"/>
      <x:c r="R88" s="1"/>
      <x:c r="S88" s="1"/>
      <x:c r="T88" s="1"/>
      <x:c r="U88" s="1"/>
      <x:c r="V88" s="1"/>
    </x:row>
    <x:row r="89">
      <x:c r="A89" s="1"/>
      <x:c r="B89" s="1"/>
      <x:c r="C89" s="1"/>
      <x:c r="D89" s="1"/>
      <x:c r="E89" s="1"/>
      <x:c r="F89" s="1"/>
      <x:c r="G89" s="1"/>
      <x:c r="H89" s="1"/>
      <x:c r="I89" s="1"/>
      <x:c r="J89" s="1"/>
      <x:c r="K89" s="1"/>
      <x:c r="L89" s="1"/>
      <x:c r="M89" s="1"/>
      <x:c r="N89" s="1"/>
      <x:c r="O89" s="1"/>
      <x:c r="P89" s="1"/>
      <x:c r="Q89" s="1"/>
      <x:c r="R89" s="1"/>
      <x:c r="S89" s="1"/>
      <x:c r="T89" s="1"/>
      <x:c r="U89" s="1"/>
      <x:c r="V89" s="1"/>
    </x:row>
    <x:row r="90">
      <x:c r="A90" s="1"/>
      <x:c r="B90" s="1"/>
      <x:c r="C90" s="1"/>
      <x:c r="D90" s="1"/>
      <x:c r="E90" s="1"/>
      <x:c r="F90" s="1"/>
      <x:c r="G90" s="1"/>
      <x:c r="H90" s="1"/>
      <x:c r="I90" s="1"/>
      <x:c r="J90" s="1"/>
      <x:c r="K90" s="1"/>
      <x:c r="L90" s="1"/>
      <x:c r="M90" s="1"/>
      <x:c r="N90" s="1"/>
      <x:c r="O90" s="1"/>
      <x:c r="P90" s="1"/>
      <x:c r="Q90" s="1"/>
      <x:c r="R90" s="1"/>
      <x:c r="S90" s="1"/>
      <x:c r="T90" s="1"/>
      <x:c r="U90" s="1"/>
      <x:c r="V90" s="1"/>
    </x:row>
    <x:row r="91">
      <x:c r="A91" s="1"/>
      <x:c r="B91" s="1"/>
      <x:c r="C91" s="1"/>
      <x:c r="D91" s="1"/>
      <x:c r="E91" s="1"/>
      <x:c r="F91" s="1"/>
      <x:c r="G91" s="1"/>
      <x:c r="H91" s="1"/>
      <x:c r="I91" s="1"/>
      <x:c r="J91" s="1"/>
      <x:c r="K91" s="1"/>
      <x:c r="L91" s="1"/>
      <x:c r="M91" s="1"/>
      <x:c r="N91" s="1"/>
      <x:c r="O91" s="1"/>
      <x:c r="P91" s="1"/>
      <x:c r="Q91" s="1"/>
      <x:c r="R91" s="1"/>
      <x:c r="S91" s="1"/>
      <x:c r="T91" s="1"/>
      <x:c r="U91" s="1"/>
      <x:c r="V91" s="1"/>
    </x:row>
    <x:row r="92">
      <x:c r="A92" s="1"/>
      <x:c r="B92" s="1"/>
      <x:c r="C92" s="1"/>
      <x:c r="D92" s="1"/>
      <x:c r="E92" s="1"/>
      <x:c r="F92" s="1"/>
      <x:c r="G92" s="1"/>
      <x:c r="H92" s="1"/>
      <x:c r="I92" s="1"/>
      <x:c r="J92" s="1"/>
      <x:c r="K92" s="1"/>
      <x:c r="L92" s="1"/>
      <x:c r="M92" s="1"/>
      <x:c r="N92" s="1"/>
      <x:c r="O92" s="1"/>
      <x:c r="P92" s="1"/>
      <x:c r="Q92" s="1"/>
      <x:c r="R92" s="1"/>
      <x:c r="S92" s="1"/>
      <x:c r="T92" s="1"/>
      <x:c r="U92" s="1"/>
      <x:c r="V92" s="1"/>
    </x:row>
    <x:row r="93">
      <x:c r="A93" s="1"/>
      <x:c r="B93" s="1"/>
      <x:c r="C93" s="1"/>
      <x:c r="D93" s="1"/>
      <x:c r="E93" s="1"/>
      <x:c r="F93" s="1"/>
      <x:c r="G93" s="1"/>
      <x:c r="H93" s="1"/>
      <x:c r="I93" s="1"/>
      <x:c r="J93" s="1"/>
      <x:c r="K93" s="1"/>
      <x:c r="L93" s="1"/>
      <x:c r="M93" s="1"/>
      <x:c r="N93" s="1"/>
      <x:c r="O93" s="1"/>
      <x:c r="P93" s="1"/>
      <x:c r="Q93" s="1"/>
      <x:c r="R93" s="1"/>
      <x:c r="S93" s="1"/>
      <x:c r="T93" s="1"/>
      <x:c r="U93" s="1"/>
      <x:c r="V93" s="1"/>
    </x:row>
    <x:row r="94">
      <x:c r="A94" s="1"/>
      <x:c r="B94" s="1"/>
      <x:c r="C94" s="1"/>
      <x:c r="D94" s="1"/>
      <x:c r="E94" s="1"/>
      <x:c r="F94" s="1"/>
      <x:c r="G94" s="1"/>
      <x:c r="H94" s="1"/>
      <x:c r="I94" s="1"/>
      <x:c r="J94" s="1"/>
      <x:c r="K94" s="1"/>
      <x:c r="L94" s="1"/>
      <x:c r="M94" s="1"/>
      <x:c r="N94" s="1"/>
      <x:c r="O94" s="1"/>
      <x:c r="P94" s="1"/>
      <x:c r="Q94" s="1"/>
      <x:c r="R94" s="1"/>
      <x:c r="S94" s="1"/>
      <x:c r="T94" s="1"/>
      <x:c r="U94" s="1"/>
      <x:c r="V94" s="1"/>
    </x:row>
    <x:row r="95">
      <x:c r="A95" s="1"/>
      <x:c r="B95" s="1"/>
      <x:c r="C95" s="1"/>
      <x:c r="D95" s="1"/>
      <x:c r="E95" s="1"/>
      <x:c r="F95" s="1"/>
      <x:c r="G95" s="1"/>
      <x:c r="H95" s="1"/>
      <x:c r="I95" s="1"/>
      <x:c r="J95" s="1"/>
      <x:c r="K95" s="1"/>
      <x:c r="L95" s="1"/>
      <x:c r="M95" s="1"/>
      <x:c r="N95" s="1"/>
      <x:c r="O95" s="1"/>
      <x:c r="P95" s="1"/>
      <x:c r="Q95" s="1"/>
      <x:c r="R95" s="1"/>
      <x:c r="S95" s="1"/>
      <x:c r="T95" s="1"/>
      <x:c r="U95" s="1"/>
      <x:c r="V95" s="1"/>
    </x:row>
    <x:row r="96">
      <x:c r="A96" s="1"/>
      <x:c r="B96" s="1"/>
      <x:c r="C96" s="1"/>
      <x:c r="D96" s="1"/>
      <x:c r="E96" s="1"/>
      <x:c r="F96" s="1"/>
      <x:c r="G96" s="1"/>
      <x:c r="H96" s="1"/>
      <x:c r="I96" s="1"/>
      <x:c r="J96" s="1"/>
      <x:c r="K96" s="1"/>
      <x:c r="L96" s="1"/>
      <x:c r="M96" s="1"/>
      <x:c r="N96" s="1"/>
      <x:c r="O96" s="1"/>
      <x:c r="P96" s="1"/>
      <x:c r="Q96" s="1"/>
      <x:c r="R96" s="1"/>
      <x:c r="S96" s="1"/>
      <x:c r="T96" s="1"/>
      <x:c r="U96" s="1"/>
      <x:c r="V96" s="1"/>
    </x:row>
    <x:row r="97">
      <x:c r="A97" s="1"/>
      <x:c r="B97" s="1"/>
      <x:c r="C97" s="1"/>
      <x:c r="D97" s="1"/>
      <x:c r="E97" s="1"/>
      <x:c r="F97" s="1"/>
      <x:c r="G97" s="1"/>
      <x:c r="H97" s="1"/>
      <x:c r="I97" s="1"/>
      <x:c r="J97" s="1"/>
      <x:c r="K97" s="1"/>
      <x:c r="L97" s="1"/>
      <x:c r="M97" s="1"/>
      <x:c r="N97" s="1"/>
      <x:c r="O97" s="1"/>
      <x:c r="P97" s="1"/>
      <x:c r="Q97" s="1"/>
      <x:c r="R97" s="1"/>
      <x:c r="S97" s="1"/>
      <x:c r="T97" s="1"/>
      <x:c r="U97" s="1"/>
      <x:c r="V97" s="1"/>
    </x:row>
    <x:row r="98">
      <x:c r="A98" s="1"/>
      <x:c r="B98" s="1"/>
      <x:c r="C98" s="1"/>
      <x:c r="D98" s="1"/>
      <x:c r="E98" s="1"/>
      <x:c r="F98" s="1"/>
      <x:c r="G98" s="1"/>
      <x:c r="H98" s="1"/>
      <x:c r="I98" s="1"/>
      <x:c r="J98" s="1"/>
      <x:c r="K98" s="1"/>
      <x:c r="L98" s="1"/>
      <x:c r="M98" s="1"/>
      <x:c r="N98" s="1"/>
      <x:c r="O98" s="1"/>
      <x:c r="P98" s="1"/>
      <x:c r="Q98" s="1"/>
      <x:c r="R98" s="1"/>
      <x:c r="S98" s="1"/>
      <x:c r="T98" s="1"/>
      <x:c r="U98" s="1"/>
      <x:c r="V98" s="1"/>
    </x:row>
    <x:row r="99">
      <x:c r="A99" s="1"/>
      <x:c r="B99" s="1"/>
      <x:c r="C99" s="1"/>
      <x:c r="D99" s="1"/>
      <x:c r="E99" s="1"/>
      <x:c r="F99" s="1"/>
      <x:c r="G99" s="1"/>
      <x:c r="H99" s="1"/>
      <x:c r="I99" s="1"/>
      <x:c r="J99" s="1"/>
      <x:c r="K99" s="1"/>
      <x:c r="L99" s="1"/>
      <x:c r="M99" s="1"/>
      <x:c r="N99" s="1"/>
      <x:c r="O99" s="1"/>
      <x:c r="P99" s="1"/>
      <x:c r="Q99" s="1"/>
      <x:c r="R99" s="1"/>
      <x:c r="S99" s="1"/>
      <x:c r="T99" s="1"/>
      <x:c r="U99" s="1"/>
      <x:c r="V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row>
    <x:row r="100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row>
    <x:row r="1002">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row>
    <x:row r="1003">
      <x:c r="A1003" s="1"/>
      <x:c r="B1003" s="1"/>
      <x:c r="C1003" s="1"/>
      <x:c r="D1003" s="1"/>
      <x:c r="E1003" s="1"/>
      <x:c r="F1003" s="1"/>
      <x:c r="G1003" s="1"/>
      <x:c r="H1003" s="1"/>
      <x:c r="I1003" s="1"/>
      <x:c r="J1003" s="1"/>
      <x:c r="K1003" s="1"/>
      <x:c r="L1003" s="1"/>
      <x:c r="M1003" s="1"/>
      <x:c r="N1003" s="1"/>
      <x:c r="O1003" s="1"/>
      <x:c r="P1003" s="1"/>
      <x:c r="Q1003" s="1"/>
      <x:c r="R1003" s="1"/>
      <x:c r="S1003" s="1"/>
      <x:c r="T1003" s="1"/>
      <x:c r="U1003" s="1"/>
      <x:c r="V1003" s="1"/>
    </x:row>
    <x:row r="1004">
      <x:c r="A1004" s="1"/>
      <x:c r="B1004" s="1"/>
      <x:c r="C1004" s="1"/>
      <x:c r="D1004" s="1"/>
      <x:c r="E1004" s="1"/>
      <x:c r="F1004" s="1"/>
      <x:c r="G1004" s="1"/>
      <x:c r="H1004" s="1"/>
      <x:c r="I1004" s="1"/>
      <x:c r="J1004" s="1"/>
      <x:c r="K1004" s="1"/>
      <x:c r="L1004" s="1"/>
      <x:c r="M1004" s="1"/>
      <x:c r="N1004" s="1"/>
      <x:c r="O1004" s="1"/>
      <x:c r="P1004" s="1"/>
      <x:c r="Q1004" s="1"/>
      <x:c r="R1004" s="1"/>
      <x:c r="S1004" s="1"/>
      <x:c r="T1004" s="1"/>
      <x:c r="U1004" s="1"/>
      <x:c r="V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row>
    <x:row r="1201">
      <x:c r="A1201" s="1"/>
      <x:c r="B1201" s="1"/>
      <x:c r="C1201" s="1"/>
      <x:c r="D1201" s="1"/>
      <x:c r="E1201" s="1"/>
      <x:c r="F1201" s="1"/>
      <x:c r="G1201" s="1"/>
      <x:c r="H1201" s="1"/>
      <x:c r="I1201" s="1"/>
      <x:c r="J1201" s="1"/>
      <x:c r="K1201" s="1"/>
      <x:c r="L1201" s="1"/>
      <x:c r="M1201" s="1"/>
      <x:c r="N1201" s="1"/>
      <x:c r="O1201" s="1"/>
      <x:c r="P1201" s="1"/>
      <x:c r="Q1201" s="1"/>
      <x:c r="R1201" s="1"/>
      <x:c r="S1201" s="1"/>
      <x:c r="T1201" s="1"/>
      <x:c r="U1201" s="1"/>
      <x:c r="V1201" s="1"/>
    </x:row>
    <x:row r="1202">
      <x:c r="A1202" s="1"/>
      <x:c r="B1202" s="1"/>
      <x:c r="C1202" s="1"/>
      <x:c r="D1202" s="1"/>
      <x:c r="E1202" s="1"/>
      <x:c r="F1202" s="1"/>
      <x:c r="G1202" s="1"/>
      <x:c r="H1202" s="1"/>
      <x:c r="I1202" s="1"/>
      <x:c r="J1202" s="1"/>
      <x:c r="K1202" s="1"/>
      <x:c r="L1202" s="1"/>
      <x:c r="M1202" s="1"/>
      <x:c r="N1202" s="1"/>
      <x:c r="O1202" s="1"/>
      <x:c r="P1202" s="1"/>
      <x:c r="Q1202" s="1"/>
      <x:c r="R1202" s="1"/>
      <x:c r="S1202" s="1"/>
      <x:c r="T1202" s="1"/>
      <x:c r="U1202" s="1"/>
      <x:c r="V1202" s="1"/>
    </x:row>
    <x:row r="1203">
      <x:c r="A1203" s="1"/>
      <x:c r="B1203" s="1"/>
      <x:c r="C1203" s="1"/>
      <x:c r="D1203" s="1"/>
      <x:c r="E1203" s="1"/>
      <x:c r="F1203" s="1"/>
      <x:c r="G1203" s="1"/>
      <x:c r="H1203" s="1"/>
      <x:c r="I1203" s="1"/>
      <x:c r="J1203" s="1"/>
      <x:c r="K1203" s="1"/>
      <x:c r="L1203" s="1"/>
      <x:c r="M1203" s="1"/>
      <x:c r="N1203" s="1"/>
      <x:c r="O1203" s="1"/>
      <x:c r="P1203" s="1"/>
      <x:c r="Q1203" s="1"/>
      <x:c r="R1203" s="1"/>
      <x:c r="S1203" s="1"/>
      <x:c r="T1203" s="1"/>
      <x:c r="U1203" s="1"/>
      <x:c r="V1203" s="1"/>
    </x:row>
    <x:row r="1204">
      <x:c r="A1204" s="1"/>
      <x:c r="B1204" s="1"/>
      <x:c r="C1204" s="1"/>
      <x:c r="D1204" s="1"/>
      <x:c r="E1204" s="1"/>
      <x:c r="F1204" s="1"/>
      <x:c r="G1204" s="1"/>
      <x:c r="H1204" s="1"/>
      <x:c r="I1204" s="1"/>
      <x:c r="J1204" s="1"/>
      <x:c r="K1204" s="1"/>
      <x:c r="L1204" s="1"/>
      <x:c r="M1204" s="1"/>
      <x:c r="N1204" s="1"/>
      <x:c r="O1204" s="1"/>
      <x:c r="P1204" s="1"/>
      <x:c r="Q1204" s="1"/>
      <x:c r="R1204" s="1"/>
      <x:c r="S1204" s="1"/>
      <x:c r="T1204" s="1"/>
      <x:c r="U1204" s="1"/>
      <x:c r="V1204" s="1"/>
    </x:row>
    <x:row r="1205">
      <x:c r="A1205" s="1"/>
      <x:c r="B1205" s="1"/>
      <x:c r="C1205" s="1"/>
      <x:c r="D1205" s="1"/>
      <x:c r="E1205" s="1"/>
      <x:c r="F1205" s="1"/>
      <x:c r="G1205" s="1"/>
      <x:c r="H1205" s="1"/>
      <x:c r="I1205" s="1"/>
      <x:c r="J1205" s="1"/>
      <x:c r="K1205" s="1"/>
      <x:c r="L1205" s="1"/>
      <x:c r="M1205" s="1"/>
      <x:c r="N1205" s="1"/>
      <x:c r="O1205" s="1"/>
      <x:c r="P1205" s="1"/>
      <x:c r="Q1205" s="1"/>
      <x:c r="R1205" s="1"/>
      <x:c r="S1205" s="1"/>
      <x:c r="T1205" s="1"/>
      <x:c r="U1205" s="1"/>
      <x:c r="V1205" s="1"/>
    </x:row>
    <x:row r="1206">
      <x:c r="A1206" s="1"/>
      <x:c r="B1206" s="1"/>
      <x:c r="C1206" s="1"/>
      <x:c r="D1206" s="1"/>
      <x:c r="E1206" s="1"/>
      <x:c r="F1206" s="1"/>
      <x:c r="G1206" s="1"/>
      <x:c r="H1206" s="1"/>
      <x:c r="I1206" s="1"/>
      <x:c r="J1206" s="1"/>
      <x:c r="K1206" s="1"/>
      <x:c r="L1206" s="1"/>
      <x:c r="M1206" s="1"/>
      <x:c r="N1206" s="1"/>
      <x:c r="O1206" s="1"/>
      <x:c r="P1206" s="1"/>
      <x:c r="Q1206" s="1"/>
      <x:c r="R1206" s="1"/>
      <x:c r="S1206" s="1"/>
      <x:c r="T1206" s="1"/>
      <x:c r="U1206" s="1"/>
      <x:c r="V1206" s="1"/>
    </x:row>
    <x:row r="1207">
      <x:c r="A1207" s="1"/>
      <x:c r="B1207" s="1"/>
      <x:c r="C1207" s="1"/>
      <x:c r="D1207" s="1"/>
      <x:c r="E1207" s="1"/>
      <x:c r="F1207" s="1"/>
      <x:c r="G1207" s="1"/>
      <x:c r="H1207" s="1"/>
      <x:c r="I1207" s="1"/>
      <x:c r="J1207" s="1"/>
      <x:c r="K1207" s="1"/>
      <x:c r="L1207" s="1"/>
      <x:c r="M1207" s="1"/>
      <x:c r="N1207" s="1"/>
      <x:c r="O1207" s="1"/>
      <x:c r="P1207" s="1"/>
      <x:c r="Q1207" s="1"/>
      <x:c r="R1207" s="1"/>
      <x:c r="S1207" s="1"/>
      <x:c r="T1207" s="1"/>
      <x:c r="U1207" s="1"/>
      <x:c r="V1207" s="1"/>
    </x:row>
    <x:row r="1208">
      <x:c r="A1208" s="1"/>
      <x:c r="B1208" s="1"/>
      <x:c r="C1208" s="1"/>
      <x:c r="D1208" s="1"/>
      <x:c r="E1208" s="1"/>
      <x:c r="F1208" s="1"/>
      <x:c r="G1208" s="1"/>
      <x:c r="H1208" s="1"/>
      <x:c r="I1208" s="1"/>
      <x:c r="J1208" s="1"/>
      <x:c r="K1208" s="1"/>
      <x:c r="L1208" s="1"/>
      <x:c r="M1208" s="1"/>
      <x:c r="N1208" s="1"/>
      <x:c r="O1208" s="1"/>
      <x:c r="P1208" s="1"/>
      <x:c r="Q1208" s="1"/>
      <x:c r="R1208" s="1"/>
      <x:c r="S1208" s="1"/>
      <x:c r="T1208" s="1"/>
      <x:c r="U1208" s="1"/>
      <x:c r="V1208" s="1"/>
    </x:row>
    <x:row r="1209">
      <x:c r="A1209" s="1"/>
      <x:c r="B1209" s="1"/>
      <x:c r="C1209" s="1"/>
      <x:c r="D1209" s="1"/>
      <x:c r="E1209" s="1"/>
      <x:c r="F1209" s="1"/>
      <x:c r="G1209" s="1"/>
      <x:c r="H1209" s="1"/>
      <x:c r="I1209" s="1"/>
      <x:c r="J1209" s="1"/>
      <x:c r="K1209" s="1"/>
      <x:c r="L1209" s="1"/>
      <x:c r="M1209" s="1"/>
      <x:c r="N1209" s="1"/>
      <x:c r="O1209" s="1"/>
      <x:c r="P1209" s="1"/>
      <x:c r="Q1209" s="1"/>
      <x:c r="R1209" s="1"/>
      <x:c r="S1209" s="1"/>
      <x:c r="T1209" s="1"/>
      <x:c r="U1209" s="1"/>
      <x:c r="V1209" s="1"/>
    </x:row>
    <x:row r="1210">
      <x:c r="A1210" s="1"/>
      <x:c r="B1210" s="1"/>
      <x:c r="C1210" s="1"/>
      <x:c r="D1210" s="1"/>
      <x:c r="E1210" s="1"/>
      <x:c r="F1210" s="1"/>
      <x:c r="G1210" s="1"/>
      <x:c r="H1210" s="1"/>
      <x:c r="I1210" s="1"/>
      <x:c r="J1210" s="1"/>
      <x:c r="K1210" s="1"/>
      <x:c r="L1210" s="1"/>
      <x:c r="M1210" s="1"/>
      <x:c r="N1210" s="1"/>
      <x:c r="O1210" s="1"/>
      <x:c r="P1210" s="1"/>
      <x:c r="Q1210" s="1"/>
      <x:c r="R1210" s="1"/>
      <x:c r="S1210" s="1"/>
      <x:c r="T1210" s="1"/>
      <x:c r="U1210" s="1"/>
      <x:c r="V1210" s="1"/>
    </x:row>
    <x:row r="1211">
      <x:c r="A1211" s="1"/>
      <x:c r="B1211" s="1"/>
      <x:c r="C1211" s="1"/>
      <x:c r="D1211" s="1"/>
      <x:c r="E1211" s="1"/>
      <x:c r="F1211" s="1"/>
      <x:c r="G1211" s="1"/>
      <x:c r="H1211" s="1"/>
      <x:c r="I1211" s="1"/>
      <x:c r="J1211" s="1"/>
      <x:c r="K1211" s="1"/>
      <x:c r="L1211" s="1"/>
      <x:c r="M1211" s="1"/>
      <x:c r="N1211" s="1"/>
      <x:c r="O1211" s="1"/>
      <x:c r="P1211" s="1"/>
      <x:c r="Q1211" s="1"/>
      <x:c r="R1211" s="1"/>
      <x:c r="S1211" s="1"/>
      <x:c r="T1211" s="1"/>
      <x:c r="U1211" s="1"/>
      <x:c r="V1211" s="1"/>
    </x:row>
    <x:row r="1212">
      <x:c r="A1212" s="1"/>
      <x:c r="B1212" s="1"/>
      <x:c r="C1212" s="1"/>
      <x:c r="D1212" s="1"/>
      <x:c r="E1212" s="1"/>
      <x:c r="F1212" s="1"/>
      <x:c r="G1212" s="1"/>
      <x:c r="H1212" s="1"/>
      <x:c r="I1212" s="1"/>
      <x:c r="J1212" s="1"/>
      <x:c r="K1212" s="1"/>
      <x:c r="L1212" s="1"/>
      <x:c r="M1212" s="1"/>
      <x:c r="N1212" s="1"/>
      <x:c r="O1212" s="1"/>
      <x:c r="P1212" s="1"/>
      <x:c r="Q1212" s="1"/>
      <x:c r="R1212" s="1"/>
      <x:c r="S1212" s="1"/>
      <x:c r="T1212" s="1"/>
      <x:c r="U1212" s="1"/>
      <x:c r="V1212" s="1"/>
    </x:row>
    <x:row r="1213">
      <x:c r="A1213" s="1"/>
      <x:c r="B1213" s="1"/>
      <x:c r="C1213" s="1"/>
      <x:c r="D1213" s="1"/>
      <x:c r="E1213" s="1"/>
      <x:c r="F1213" s="1"/>
      <x:c r="G1213" s="1"/>
      <x:c r="H1213" s="1"/>
      <x:c r="I1213" s="1"/>
      <x:c r="J1213" s="1"/>
      <x:c r="K1213" s="1"/>
      <x:c r="L1213" s="1"/>
      <x:c r="M1213" s="1"/>
      <x:c r="N1213" s="1"/>
      <x:c r="O1213" s="1"/>
      <x:c r="P1213" s="1"/>
      <x:c r="Q1213" s="1"/>
      <x:c r="R1213" s="1"/>
      <x:c r="S1213" s="1"/>
      <x:c r="T1213" s="1"/>
      <x:c r="U1213" s="1"/>
      <x:c r="V1213" s="1"/>
    </x:row>
    <x:row r="1214">
      <x:c r="A1214" s="1"/>
      <x:c r="B1214" s="1"/>
      <x:c r="C1214" s="1"/>
      <x:c r="D1214" s="1"/>
      <x:c r="E1214" s="1"/>
      <x:c r="F1214" s="1"/>
      <x:c r="G1214" s="1"/>
      <x:c r="H1214" s="1"/>
      <x:c r="I1214" s="1"/>
      <x:c r="J1214" s="1"/>
      <x:c r="K1214" s="1"/>
      <x:c r="L1214" s="1"/>
      <x:c r="M1214" s="1"/>
      <x:c r="N1214" s="1"/>
      <x:c r="O1214" s="1"/>
      <x:c r="P1214" s="1"/>
      <x:c r="Q1214" s="1"/>
      <x:c r="R1214" s="1"/>
      <x:c r="S1214" s="1"/>
      <x:c r="T1214" s="1"/>
      <x:c r="U1214" s="1"/>
      <x:c r="V1214" s="1"/>
    </x:row>
    <x:row r="1215">
      <x:c r="A1215" s="1"/>
      <x:c r="B1215" s="1"/>
      <x:c r="C1215" s="1"/>
      <x:c r="D1215" s="1"/>
      <x:c r="E1215" s="1"/>
      <x:c r="F1215" s="1"/>
      <x:c r="G1215" s="1"/>
      <x:c r="H1215" s="1"/>
      <x:c r="I1215" s="1"/>
      <x:c r="J1215" s="1"/>
      <x:c r="K1215" s="1"/>
      <x:c r="L1215" s="1"/>
      <x:c r="M1215" s="1"/>
      <x:c r="N1215" s="1"/>
      <x:c r="O1215" s="1"/>
      <x:c r="P1215" s="1"/>
      <x:c r="Q1215" s="1"/>
      <x:c r="R1215" s="1"/>
      <x:c r="S1215" s="1"/>
      <x:c r="T1215" s="1"/>
      <x:c r="U1215" s="1"/>
      <x:c r="V1215" s="1"/>
    </x:row>
    <x:row r="1216">
      <x:c r="A1216" s="1"/>
      <x:c r="B1216" s="1"/>
      <x:c r="C1216" s="1"/>
      <x:c r="D1216" s="1"/>
      <x:c r="E1216" s="1"/>
      <x:c r="F1216" s="1"/>
      <x:c r="G1216" s="1"/>
      <x:c r="H1216" s="1"/>
      <x:c r="I1216" s="1"/>
      <x:c r="J1216" s="1"/>
      <x:c r="K1216" s="1"/>
      <x:c r="L1216" s="1"/>
      <x:c r="M1216" s="1"/>
      <x:c r="N1216" s="1"/>
      <x:c r="O1216" s="1"/>
      <x:c r="P1216" s="1"/>
      <x:c r="Q1216" s="1"/>
      <x:c r="R1216" s="1"/>
      <x:c r="S1216" s="1"/>
      <x:c r="T1216" s="1"/>
      <x:c r="U1216" s="1"/>
      <x:c r="V1216" s="1"/>
    </x:row>
    <x:row r="1217">
      <x:c r="A1217" s="1"/>
      <x:c r="B1217" s="1"/>
      <x:c r="C1217" s="1"/>
      <x:c r="D1217" s="1"/>
      <x:c r="E1217" s="1"/>
      <x:c r="F1217" s="1"/>
      <x:c r="G1217" s="1"/>
      <x:c r="H1217" s="1"/>
      <x:c r="I1217" s="1"/>
      <x:c r="J1217" s="1"/>
      <x:c r="K1217" s="1"/>
      <x:c r="L1217" s="1"/>
      <x:c r="M1217" s="1"/>
      <x:c r="N1217" s="1"/>
      <x:c r="O1217" s="1"/>
      <x:c r="P1217" s="1"/>
      <x:c r="Q1217" s="1"/>
      <x:c r="R1217" s="1"/>
      <x:c r="S1217" s="1"/>
      <x:c r="T1217" s="1"/>
      <x:c r="U1217" s="1"/>
      <x:c r="V1217" s="1"/>
    </x:row>
    <x:row r="1218">
      <x:c r="A1218" s="1"/>
      <x:c r="B1218" s="1"/>
      <x:c r="C1218" s="1"/>
      <x:c r="D1218" s="1"/>
      <x:c r="E1218" s="1"/>
      <x:c r="F1218" s="1"/>
      <x:c r="G1218" s="1"/>
      <x:c r="H1218" s="1"/>
      <x:c r="I1218" s="1"/>
      <x:c r="J1218" s="1"/>
      <x:c r="K1218" s="1"/>
      <x:c r="L1218" s="1"/>
      <x:c r="M1218" s="1"/>
      <x:c r="N1218" s="1"/>
      <x:c r="O1218" s="1"/>
      <x:c r="P1218" s="1"/>
      <x:c r="Q1218" s="1"/>
      <x:c r="R1218" s="1"/>
      <x:c r="S1218" s="1"/>
      <x:c r="T1218" s="1"/>
      <x:c r="U1218" s="1"/>
      <x:c r="V1218" s="1"/>
    </x:row>
    <x:row r="1219">
      <x:c r="A1219" s="1"/>
      <x:c r="B1219" s="1"/>
      <x:c r="C1219" s="1"/>
      <x:c r="D1219" s="1"/>
      <x:c r="E1219" s="1"/>
      <x:c r="F1219" s="1"/>
      <x:c r="G1219" s="1"/>
      <x:c r="H1219" s="1"/>
      <x:c r="I1219" s="1"/>
      <x:c r="J1219" s="1"/>
      <x:c r="K1219" s="1"/>
      <x:c r="L1219" s="1"/>
      <x:c r="M1219" s="1"/>
      <x:c r="N1219" s="1"/>
      <x:c r="O1219" s="1"/>
      <x:c r="P1219" s="1"/>
      <x:c r="Q1219" s="1"/>
      <x:c r="R1219" s="1"/>
      <x:c r="S1219" s="1"/>
      <x:c r="T1219" s="1"/>
      <x:c r="U1219" s="1"/>
      <x:c r="V1219" s="1"/>
    </x:row>
    <x:row r="1220">
      <x:c r="A1220" s="1"/>
      <x:c r="B1220" s="1"/>
      <x:c r="C1220" s="1"/>
      <x:c r="D1220" s="1"/>
      <x:c r="E1220" s="1"/>
      <x:c r="F1220" s="1"/>
      <x:c r="G1220" s="1"/>
      <x:c r="H1220" s="1"/>
      <x:c r="I1220" s="1"/>
      <x:c r="J1220" s="1"/>
      <x:c r="K1220" s="1"/>
      <x:c r="L1220" s="1"/>
      <x:c r="M1220" s="1"/>
      <x:c r="N1220" s="1"/>
      <x:c r="O1220" s="1"/>
      <x:c r="P1220" s="1"/>
      <x:c r="Q1220" s="1"/>
      <x:c r="R1220" s="1"/>
      <x:c r="S1220" s="1"/>
      <x:c r="T1220" s="1"/>
      <x:c r="U1220" s="1"/>
      <x:c r="V1220" s="1"/>
    </x:row>
    <x:row r="1221">
      <x:c r="A1221" s="1"/>
      <x:c r="B1221" s="1"/>
      <x:c r="C1221" s="1"/>
      <x:c r="D1221" s="1"/>
      <x:c r="E1221" s="1"/>
      <x:c r="F1221" s="1"/>
      <x:c r="G1221" s="1"/>
      <x:c r="H1221" s="1"/>
      <x:c r="I1221" s="1"/>
      <x:c r="J1221" s="1"/>
      <x:c r="K1221" s="1"/>
      <x:c r="L1221" s="1"/>
      <x:c r="M1221" s="1"/>
      <x:c r="N1221" s="1"/>
      <x:c r="O1221" s="1"/>
      <x:c r="P1221" s="1"/>
      <x:c r="Q1221" s="1"/>
      <x:c r="R1221" s="1"/>
      <x:c r="S1221" s="1"/>
      <x:c r="T1221" s="1"/>
      <x:c r="U1221" s="1"/>
      <x:c r="V1221" s="1"/>
    </x:row>
    <x:row r="1222">
      <x:c r="A1222" s="1"/>
      <x:c r="B1222" s="1"/>
      <x:c r="C1222" s="1"/>
      <x:c r="D1222" s="1"/>
      <x:c r="E1222" s="1"/>
      <x:c r="F1222" s="1"/>
      <x:c r="G1222" s="1"/>
      <x:c r="H1222" s="1"/>
      <x:c r="I1222" s="1"/>
      <x:c r="J1222" s="1"/>
      <x:c r="K1222" s="1"/>
      <x:c r="L1222" s="1"/>
      <x:c r="M1222" s="1"/>
      <x:c r="N1222" s="1"/>
      <x:c r="O1222" s="1"/>
      <x:c r="P1222" s="1"/>
      <x:c r="Q1222" s="1"/>
      <x:c r="R1222" s="1"/>
      <x:c r="S1222" s="1"/>
      <x:c r="T1222" s="1"/>
      <x:c r="U1222" s="1"/>
      <x:c r="V1222" s="1"/>
    </x:row>
    <x:row r="1223">
      <x:c r="A1223" s="1"/>
      <x:c r="B1223" s="1"/>
      <x:c r="C1223" s="1"/>
      <x:c r="D1223" s="1"/>
      <x:c r="E1223" s="1"/>
      <x:c r="F1223" s="1"/>
      <x:c r="G1223" s="1"/>
      <x:c r="H1223" s="1"/>
      <x:c r="I1223" s="1"/>
      <x:c r="J1223" s="1"/>
      <x:c r="K1223" s="1"/>
      <x:c r="L1223" s="1"/>
      <x:c r="M1223" s="1"/>
      <x:c r="N1223" s="1"/>
      <x:c r="O1223" s="1"/>
      <x:c r="P1223" s="1"/>
      <x:c r="Q1223" s="1"/>
      <x:c r="R1223" s="1"/>
      <x:c r="S1223" s="1"/>
      <x:c r="T1223" s="1"/>
      <x:c r="U1223" s="1"/>
      <x:c r="V1223" s="1"/>
    </x:row>
    <x:row r="1224">
      <x:c r="A1224" s="1"/>
      <x:c r="B1224" s="1"/>
      <x:c r="C1224" s="1"/>
      <x:c r="D1224" s="1"/>
      <x:c r="E1224" s="1"/>
      <x:c r="F1224" s="1"/>
      <x:c r="G1224" s="1"/>
      <x:c r="H1224" s="1"/>
      <x:c r="I1224" s="1"/>
      <x:c r="J1224" s="1"/>
      <x:c r="K1224" s="1"/>
      <x:c r="L1224" s="1"/>
      <x:c r="M1224" s="1"/>
      <x:c r="N1224" s="1"/>
      <x:c r="O1224" s="1"/>
      <x:c r="P1224" s="1"/>
      <x:c r="Q1224" s="1"/>
      <x:c r="R1224" s="1"/>
      <x:c r="S1224" s="1"/>
      <x:c r="T1224" s="1"/>
      <x:c r="U1224" s="1"/>
      <x:c r="V1224" s="1"/>
    </x:row>
    <x:row r="1225">
      <x:c r="A1225" s="1"/>
      <x:c r="B1225" s="1"/>
      <x:c r="C1225" s="1"/>
      <x:c r="D1225" s="1"/>
      <x:c r="E1225" s="1"/>
      <x:c r="F1225" s="1"/>
      <x:c r="G1225" s="1"/>
      <x:c r="H1225" s="1"/>
      <x:c r="I1225" s="1"/>
      <x:c r="J1225" s="1"/>
      <x:c r="K1225" s="1"/>
      <x:c r="L1225" s="1"/>
      <x:c r="M1225" s="1"/>
      <x:c r="N1225" s="1"/>
      <x:c r="O1225" s="1"/>
      <x:c r="P1225" s="1"/>
      <x:c r="Q1225" s="1"/>
      <x:c r="R1225" s="1"/>
      <x:c r="S1225" s="1"/>
      <x:c r="T1225" s="1"/>
      <x:c r="U1225" s="1"/>
      <x:c r="V1225" s="1"/>
    </x:row>
    <x:row r="1226">
      <x:c r="A1226" s="1"/>
      <x:c r="B1226" s="1"/>
      <x:c r="C1226" s="1"/>
      <x:c r="D1226" s="1"/>
      <x:c r="E1226" s="1"/>
      <x:c r="F1226" s="1"/>
      <x:c r="G1226" s="1"/>
      <x:c r="H1226" s="1"/>
      <x:c r="I1226" s="1"/>
      <x:c r="J1226" s="1"/>
      <x:c r="K1226" s="1"/>
      <x:c r="L1226" s="1"/>
      <x:c r="M1226" s="1"/>
      <x:c r="N1226" s="1"/>
      <x:c r="O1226" s="1"/>
      <x:c r="P1226" s="1"/>
      <x:c r="Q1226" s="1"/>
      <x:c r="R1226" s="1"/>
      <x:c r="S1226" s="1"/>
      <x:c r="T1226" s="1"/>
      <x:c r="U1226" s="1"/>
      <x:c r="V1226" s="1"/>
    </x:row>
    <x:row r="1227">
      <x:c r="A1227" s="1"/>
      <x:c r="B1227" s="1"/>
      <x:c r="C1227" s="1"/>
      <x:c r="D1227" s="1"/>
      <x:c r="E1227" s="1"/>
      <x:c r="F1227" s="1"/>
      <x:c r="G1227" s="1"/>
      <x:c r="H1227" s="1"/>
      <x:c r="I1227" s="1"/>
      <x:c r="J1227" s="1"/>
      <x:c r="K1227" s="1"/>
      <x:c r="L1227" s="1"/>
      <x:c r="M1227" s="1"/>
      <x:c r="N1227" s="1"/>
      <x:c r="O1227" s="1"/>
      <x:c r="P1227" s="1"/>
      <x:c r="Q1227" s="1"/>
      <x:c r="R1227" s="1"/>
      <x:c r="S1227" s="1"/>
      <x:c r="T1227" s="1"/>
      <x:c r="U1227" s="1"/>
      <x:c r="V1227" s="1"/>
    </x:row>
    <x:row r="1228">
      <x:c r="A1228" s="1"/>
      <x:c r="B1228" s="1"/>
      <x:c r="C1228" s="1"/>
      <x:c r="D1228" s="1"/>
      <x:c r="E1228" s="1"/>
      <x:c r="F1228" s="1"/>
      <x:c r="G1228" s="1"/>
      <x:c r="H1228" s="1"/>
      <x:c r="I1228" s="1"/>
      <x:c r="J1228" s="1"/>
      <x:c r="K1228" s="1"/>
      <x:c r="L1228" s="1"/>
      <x:c r="M1228" s="1"/>
      <x:c r="N1228" s="1"/>
      <x:c r="O1228" s="1"/>
      <x:c r="P1228" s="1"/>
      <x:c r="Q1228" s="1"/>
      <x:c r="R1228" s="1"/>
      <x:c r="S1228" s="1"/>
      <x:c r="T1228" s="1"/>
      <x:c r="U1228" s="1"/>
      <x:c r="V1228" s="1"/>
    </x:row>
    <x:row r="1229">
      <x:c r="A1229" s="1"/>
      <x:c r="B1229" s="1"/>
      <x:c r="C1229" s="1"/>
      <x:c r="D1229" s="1"/>
      <x:c r="E1229" s="1"/>
      <x:c r="F1229" s="1"/>
      <x:c r="G1229" s="1"/>
      <x:c r="H1229" s="1"/>
      <x:c r="I1229" s="1"/>
      <x:c r="J1229" s="1"/>
      <x:c r="K1229" s="1"/>
      <x:c r="L1229" s="1"/>
      <x:c r="M1229" s="1"/>
      <x:c r="N1229" s="1"/>
      <x:c r="O1229" s="1"/>
      <x:c r="P1229" s="1"/>
      <x:c r="Q1229" s="1"/>
      <x:c r="R1229" s="1"/>
      <x:c r="S1229" s="1"/>
      <x:c r="T1229" s="1"/>
      <x:c r="U1229" s="1"/>
      <x:c r="V1229" s="1"/>
    </x:row>
    <x:row r="1230">
      <x:c r="A1230" s="1"/>
      <x:c r="B1230" s="1"/>
      <x:c r="C1230" s="1"/>
      <x:c r="D1230" s="1"/>
      <x:c r="E1230" s="1"/>
      <x:c r="F1230" s="1"/>
      <x:c r="G1230" s="1"/>
      <x:c r="H1230" s="1"/>
      <x:c r="I1230" s="1"/>
      <x:c r="J1230" s="1"/>
      <x:c r="K1230" s="1"/>
      <x:c r="L1230" s="1"/>
      <x:c r="M1230" s="1"/>
      <x:c r="N1230" s="1"/>
      <x:c r="O1230" s="1"/>
      <x:c r="P1230" s="1"/>
      <x:c r="Q1230" s="1"/>
      <x:c r="R1230" s="1"/>
      <x:c r="S1230" s="1"/>
      <x:c r="T1230" s="1"/>
      <x:c r="U1230" s="1"/>
      <x:c r="V1230" s="1"/>
    </x:row>
    <x:row r="1231">
      <x:c r="A1231" s="1"/>
      <x:c r="B1231" s="1"/>
      <x:c r="C1231" s="1"/>
      <x:c r="D1231" s="1"/>
      <x:c r="E1231" s="1"/>
      <x:c r="F1231" s="1"/>
      <x:c r="G1231" s="1"/>
      <x:c r="H1231" s="1"/>
      <x:c r="I1231" s="1"/>
      <x:c r="J1231" s="1"/>
      <x:c r="K1231" s="1"/>
      <x:c r="L1231" s="1"/>
      <x:c r="M1231" s="1"/>
      <x:c r="N1231" s="1"/>
      <x:c r="O1231" s="1"/>
      <x:c r="P1231" s="1"/>
      <x:c r="Q1231" s="1"/>
      <x:c r="R1231" s="1"/>
      <x:c r="S1231" s="1"/>
      <x:c r="T1231" s="1"/>
      <x:c r="U1231" s="1"/>
      <x:c r="V1231" s="1"/>
    </x:row>
    <x:row r="1232">
      <x:c r="A1232" s="1"/>
      <x:c r="B1232" s="1"/>
      <x:c r="C1232" s="1"/>
      <x:c r="D1232" s="1"/>
      <x:c r="E1232" s="1"/>
      <x:c r="F1232" s="1"/>
      <x:c r="G1232" s="1"/>
      <x:c r="H1232" s="1"/>
      <x:c r="I1232" s="1"/>
      <x:c r="J1232" s="1"/>
      <x:c r="K1232" s="1"/>
      <x:c r="L1232" s="1"/>
      <x:c r="M1232" s="1"/>
      <x:c r="N1232" s="1"/>
      <x:c r="O1232" s="1"/>
      <x:c r="P1232" s="1"/>
      <x:c r="Q1232" s="1"/>
      <x:c r="R1232" s="1"/>
      <x:c r="S1232" s="1"/>
      <x:c r="T1232" s="1"/>
      <x:c r="U1232" s="1"/>
      <x:c r="V1232" s="1"/>
    </x:row>
    <x:row r="1233">
      <x:c r="A1233" s="1"/>
      <x:c r="B1233" s="1"/>
      <x:c r="C1233" s="1"/>
      <x:c r="D1233" s="1"/>
      <x:c r="E1233" s="1"/>
      <x:c r="F1233" s="1"/>
      <x:c r="G1233" s="1"/>
      <x:c r="H1233" s="1"/>
      <x:c r="I1233" s="1"/>
      <x:c r="J1233" s="1"/>
      <x:c r="K1233" s="1"/>
      <x:c r="L1233" s="1"/>
      <x:c r="M1233" s="1"/>
      <x:c r="N1233" s="1"/>
      <x:c r="O1233" s="1"/>
      <x:c r="P1233" s="1"/>
      <x:c r="Q1233" s="1"/>
      <x:c r="R1233" s="1"/>
      <x:c r="S1233" s="1"/>
      <x:c r="T1233" s="1"/>
      <x:c r="U1233" s="1"/>
      <x:c r="V1233" s="1"/>
    </x:row>
    <x:row r="1234">
      <x:c r="A1234" s="1"/>
      <x:c r="B1234" s="1"/>
      <x:c r="C1234" s="1"/>
      <x:c r="D1234" s="1"/>
      <x:c r="E1234" s="1"/>
      <x:c r="F1234" s="1"/>
      <x:c r="G1234" s="1"/>
      <x:c r="H1234" s="1"/>
      <x:c r="I1234" s="1"/>
      <x:c r="J1234" s="1"/>
      <x:c r="K1234" s="1"/>
      <x:c r="L1234" s="1"/>
      <x:c r="M1234" s="1"/>
      <x:c r="N1234" s="1"/>
      <x:c r="O1234" s="1"/>
      <x:c r="P1234" s="1"/>
      <x:c r="Q1234" s="1"/>
      <x:c r="R1234" s="1"/>
      <x:c r="S1234" s="1"/>
      <x:c r="T1234" s="1"/>
      <x:c r="U1234" s="1"/>
      <x:c r="V1234" s="1"/>
    </x:row>
    <x:row r="1235">
      <x:c r="A1235" s="1"/>
      <x:c r="B1235" s="1"/>
      <x:c r="C1235" s="1"/>
      <x:c r="D1235" s="1"/>
      <x:c r="E1235" s="1"/>
      <x:c r="F1235" s="1"/>
      <x:c r="G1235" s="1"/>
      <x:c r="H1235" s="1"/>
      <x:c r="I1235" s="1"/>
      <x:c r="J1235" s="1"/>
      <x:c r="K1235" s="1"/>
      <x:c r="L1235" s="1"/>
      <x:c r="M1235" s="1"/>
      <x:c r="N1235" s="1"/>
      <x:c r="O1235" s="1"/>
      <x:c r="P1235" s="1"/>
      <x:c r="Q1235" s="1"/>
      <x:c r="R1235" s="1"/>
      <x:c r="S1235" s="1"/>
      <x:c r="T1235" s="1"/>
      <x:c r="U1235" s="1"/>
      <x:c r="V1235" s="1"/>
    </x:row>
    <x:row r="1236">
      <x:c r="A1236" s="1"/>
      <x:c r="B1236" s="1"/>
      <x:c r="C1236" s="1"/>
      <x:c r="D1236" s="1"/>
      <x:c r="E1236" s="1"/>
      <x:c r="F1236" s="1"/>
      <x:c r="G1236" s="1"/>
      <x:c r="H1236" s="1"/>
      <x:c r="I1236" s="1"/>
      <x:c r="J1236" s="1"/>
      <x:c r="K1236" s="1"/>
      <x:c r="L1236" s="1"/>
      <x:c r="M1236" s="1"/>
      <x:c r="N1236" s="1"/>
      <x:c r="O1236" s="1"/>
      <x:c r="P1236" s="1"/>
      <x:c r="Q1236" s="1"/>
      <x:c r="R1236" s="1"/>
      <x:c r="S1236" s="1"/>
      <x:c r="T1236" s="1"/>
      <x:c r="U1236" s="1"/>
      <x:c r="V1236" s="1"/>
    </x:row>
    <x:row r="1237">
      <x:c r="A1237" s="1"/>
      <x:c r="B1237" s="1"/>
      <x:c r="C1237" s="1"/>
      <x:c r="D1237" s="1"/>
      <x:c r="E1237" s="1"/>
      <x:c r="F1237" s="1"/>
      <x:c r="G1237" s="1"/>
      <x:c r="H1237" s="1"/>
      <x:c r="I1237" s="1"/>
      <x:c r="J1237" s="1"/>
      <x:c r="K1237" s="1"/>
      <x:c r="L1237" s="1"/>
      <x:c r="M1237" s="1"/>
      <x:c r="N1237" s="1"/>
      <x:c r="O1237" s="1"/>
      <x:c r="P1237" s="1"/>
      <x:c r="Q1237" s="1"/>
      <x:c r="R1237" s="1"/>
      <x:c r="S1237" s="1"/>
      <x:c r="T1237" s="1"/>
      <x:c r="U1237" s="1"/>
      <x:c r="V1237" s="1"/>
    </x:row>
    <x:row r="1238">
      <x:c r="A1238" s="1"/>
      <x:c r="B1238" s="1"/>
      <x:c r="C1238" s="1"/>
      <x:c r="D1238" s="1"/>
      <x:c r="E1238" s="1"/>
      <x:c r="F1238" s="1"/>
      <x:c r="G1238" s="1"/>
      <x:c r="H1238" s="1"/>
      <x:c r="I1238" s="1"/>
      <x:c r="J1238" s="1"/>
      <x:c r="K1238" s="1"/>
      <x:c r="L1238" s="1"/>
      <x:c r="M1238" s="1"/>
      <x:c r="N1238" s="1"/>
      <x:c r="O1238" s="1"/>
      <x:c r="P1238" s="1"/>
      <x:c r="Q1238" s="1"/>
      <x:c r="R1238" s="1"/>
      <x:c r="S1238" s="1"/>
      <x:c r="T1238" s="1"/>
      <x:c r="U1238" s="1"/>
      <x:c r="V1238" s="1"/>
    </x:row>
    <x:row r="1239">
      <x:c r="A1239" s="1"/>
      <x:c r="B1239" s="1"/>
      <x:c r="C1239" s="1"/>
      <x:c r="D1239" s="1"/>
      <x:c r="E1239" s="1"/>
      <x:c r="F1239" s="1"/>
      <x:c r="G1239" s="1"/>
      <x:c r="H1239" s="1"/>
      <x:c r="I1239" s="1"/>
      <x:c r="J1239" s="1"/>
      <x:c r="K1239" s="1"/>
      <x:c r="L1239" s="1"/>
      <x:c r="M1239" s="1"/>
      <x:c r="N1239" s="1"/>
      <x:c r="O1239" s="1"/>
      <x:c r="P1239" s="1"/>
      <x:c r="Q1239" s="1"/>
      <x:c r="R1239" s="1"/>
      <x:c r="S1239" s="1"/>
      <x:c r="T1239" s="1"/>
      <x:c r="U1239" s="1"/>
      <x:c r="V1239" s="1"/>
    </x:row>
    <x:row r="1240">
      <x:c r="A1240" s="1"/>
      <x:c r="B1240" s="1"/>
      <x:c r="C1240" s="1"/>
      <x:c r="D1240" s="1"/>
      <x:c r="E1240" s="1"/>
      <x:c r="F1240" s="1"/>
      <x:c r="G1240" s="1"/>
      <x:c r="H1240" s="1"/>
      <x:c r="I1240" s="1"/>
      <x:c r="J1240" s="1"/>
      <x:c r="K1240" s="1"/>
      <x:c r="L1240" s="1"/>
      <x:c r="M1240" s="1"/>
      <x:c r="N1240" s="1"/>
      <x:c r="O1240" s="1"/>
      <x:c r="P1240" s="1"/>
      <x:c r="Q1240" s="1"/>
      <x:c r="R1240" s="1"/>
      <x:c r="S1240" s="1"/>
      <x:c r="T1240" s="1"/>
      <x:c r="U1240" s="1"/>
      <x:c r="V1240" s="1"/>
    </x:row>
    <x:row r="1241">
      <x:c r="A1241" s="1"/>
      <x:c r="B1241" s="1"/>
      <x:c r="C1241" s="1"/>
      <x:c r="D1241" s="1"/>
      <x:c r="E1241" s="1"/>
      <x:c r="F1241" s="1"/>
      <x:c r="G1241" s="1"/>
      <x:c r="H1241" s="1"/>
      <x:c r="I1241" s="1"/>
      <x:c r="J1241" s="1"/>
      <x:c r="K1241" s="1"/>
      <x:c r="L1241" s="1"/>
      <x:c r="M1241" s="1"/>
      <x:c r="N1241" s="1"/>
      <x:c r="O1241" s="1"/>
      <x:c r="P1241" s="1"/>
      <x:c r="Q1241" s="1"/>
      <x:c r="R1241" s="1"/>
      <x:c r="S1241" s="1"/>
      <x:c r="T1241" s="1"/>
      <x:c r="U1241" s="1"/>
      <x:c r="V1241" s="1"/>
    </x:row>
    <x:row r="1242">
      <x:c r="A1242" s="1"/>
      <x:c r="B1242" s="1"/>
      <x:c r="C1242" s="1"/>
      <x:c r="D1242" s="1"/>
      <x:c r="E1242" s="1"/>
      <x:c r="F1242" s="1"/>
      <x:c r="G1242" s="1"/>
      <x:c r="H1242" s="1"/>
      <x:c r="I1242" s="1"/>
      <x:c r="J1242" s="1"/>
      <x:c r="K1242" s="1"/>
      <x:c r="L1242" s="1"/>
      <x:c r="M1242" s="1"/>
      <x:c r="N1242" s="1"/>
      <x:c r="O1242" s="1"/>
      <x:c r="P1242" s="1"/>
      <x:c r="Q1242" s="1"/>
      <x:c r="R1242" s="1"/>
      <x:c r="S1242" s="1"/>
      <x:c r="T1242" s="1"/>
      <x:c r="U1242" s="1"/>
      <x:c r="V1242" s="1"/>
    </x:row>
    <x:row r="1243">
      <x:c r="A1243" s="1"/>
      <x:c r="B1243" s="1"/>
      <x:c r="C1243" s="1"/>
      <x:c r="D1243" s="1"/>
      <x:c r="E1243" s="1"/>
      <x:c r="F1243" s="1"/>
      <x:c r="G1243" s="1"/>
      <x:c r="H1243" s="1"/>
      <x:c r="I1243" s="1"/>
      <x:c r="J1243" s="1"/>
      <x:c r="K1243" s="1"/>
      <x:c r="L1243" s="1"/>
      <x:c r="M1243" s="1"/>
      <x:c r="N1243" s="1"/>
      <x:c r="O1243" s="1"/>
      <x:c r="P1243" s="1"/>
      <x:c r="Q1243" s="1"/>
      <x:c r="R1243" s="1"/>
      <x:c r="S1243" s="1"/>
      <x:c r="T1243" s="1"/>
      <x:c r="U1243" s="1"/>
      <x:c r="V1243" s="1"/>
    </x:row>
    <x:row r="1244">
      <x:c r="A1244" s="1"/>
      <x:c r="B1244" s="1"/>
      <x:c r="C1244" s="1"/>
      <x:c r="D1244" s="1"/>
      <x:c r="E1244" s="1"/>
      <x:c r="F1244" s="1"/>
      <x:c r="G1244" s="1"/>
      <x:c r="H1244" s="1"/>
      <x:c r="I1244" s="1"/>
      <x:c r="J1244" s="1"/>
      <x:c r="K1244" s="1"/>
      <x:c r="L1244" s="1"/>
      <x:c r="M1244" s="1"/>
      <x:c r="N1244" s="1"/>
      <x:c r="O1244" s="1"/>
      <x:c r="P1244" s="1"/>
      <x:c r="Q1244" s="1"/>
      <x:c r="R1244" s="1"/>
      <x:c r="S1244" s="1"/>
      <x:c r="T1244" s="1"/>
      <x:c r="U1244" s="1"/>
      <x:c r="V1244" s="1"/>
    </x:row>
    <x:row r="1245">
      <x:c r="A1245" s="1"/>
      <x:c r="B1245" s="1"/>
      <x:c r="C1245" s="1"/>
      <x:c r="D1245" s="1"/>
      <x:c r="E1245" s="1"/>
      <x:c r="F1245" s="1"/>
      <x:c r="G1245" s="1"/>
      <x:c r="H1245" s="1"/>
      <x:c r="I1245" s="1"/>
      <x:c r="J1245" s="1"/>
      <x:c r="K1245" s="1"/>
      <x:c r="L1245" s="1"/>
      <x:c r="M1245" s="1"/>
      <x:c r="N1245" s="1"/>
      <x:c r="O1245" s="1"/>
      <x:c r="P1245" s="1"/>
      <x:c r="Q1245" s="1"/>
      <x:c r="R1245" s="1"/>
      <x:c r="S1245" s="1"/>
      <x:c r="T1245" s="1"/>
      <x:c r="U1245" s="1"/>
      <x:c r="V1245" s="1"/>
    </x:row>
    <x:row r="1246">
      <x:c r="A1246" s="1"/>
      <x:c r="B1246" s="1"/>
      <x:c r="C1246" s="1"/>
      <x:c r="D1246" s="1"/>
      <x:c r="E1246" s="1"/>
      <x:c r="F1246" s="1"/>
      <x:c r="G1246" s="1"/>
      <x:c r="H1246" s="1"/>
      <x:c r="I1246" s="1"/>
      <x:c r="J1246" s="1"/>
      <x:c r="K1246" s="1"/>
      <x:c r="L1246" s="1"/>
      <x:c r="M1246" s="1"/>
      <x:c r="N1246" s="1"/>
      <x:c r="O1246" s="1"/>
      <x:c r="P1246" s="1"/>
      <x:c r="Q1246" s="1"/>
      <x:c r="R1246" s="1"/>
      <x:c r="S1246" s="1"/>
      <x:c r="T1246" s="1"/>
      <x:c r="U1246" s="1"/>
      <x:c r="V1246" s="1"/>
    </x:row>
    <x:row r="1247">
      <x:c r="A1247" s="1"/>
      <x:c r="B1247" s="1"/>
      <x:c r="C1247" s="1"/>
      <x:c r="D1247" s="1"/>
      <x:c r="E1247" s="1"/>
      <x:c r="F1247" s="1"/>
      <x:c r="G1247" s="1"/>
      <x:c r="H1247" s="1"/>
      <x:c r="I1247" s="1"/>
      <x:c r="J1247" s="1"/>
      <x:c r="K1247" s="1"/>
      <x:c r="L1247" s="1"/>
      <x:c r="M1247" s="1"/>
      <x:c r="N1247" s="1"/>
      <x:c r="O1247" s="1"/>
      <x:c r="P1247" s="1"/>
      <x:c r="Q1247" s="1"/>
      <x:c r="R1247" s="1"/>
      <x:c r="S1247" s="1"/>
      <x:c r="T1247" s="1"/>
      <x:c r="U1247" s="1"/>
      <x:c r="V1247" s="1"/>
    </x:row>
    <x:row r="1248">
      <x:c r="A1248" s="1"/>
      <x:c r="B1248" s="1"/>
      <x:c r="C1248" s="1"/>
      <x:c r="D1248" s="1"/>
      <x:c r="E1248" s="1"/>
      <x:c r="F1248" s="1"/>
      <x:c r="G1248" s="1"/>
      <x:c r="H1248" s="1"/>
      <x:c r="I1248" s="1"/>
      <x:c r="J1248" s="1"/>
      <x:c r="K1248" s="1"/>
      <x:c r="L1248" s="1"/>
      <x:c r="M1248" s="1"/>
      <x:c r="N1248" s="1"/>
      <x:c r="O1248" s="1"/>
      <x:c r="P1248" s="1"/>
      <x:c r="Q1248" s="1"/>
      <x:c r="R1248" s="1"/>
      <x:c r="S1248" s="1"/>
      <x:c r="T1248" s="1"/>
      <x:c r="U1248" s="1"/>
      <x:c r="V1248" s="1"/>
    </x:row>
    <x:row r="1249">
      <x:c r="A1249" s="1"/>
      <x:c r="B1249" s="1"/>
      <x:c r="C1249" s="1"/>
      <x:c r="D1249" s="1"/>
      <x:c r="E1249" s="1"/>
      <x:c r="F1249" s="1"/>
      <x:c r="G1249" s="1"/>
      <x:c r="H1249" s="1"/>
      <x:c r="I1249" s="1"/>
      <x:c r="J1249" s="1"/>
      <x:c r="K1249" s="1"/>
      <x:c r="L1249" s="1"/>
      <x:c r="M1249" s="1"/>
      <x:c r="N1249" s="1"/>
      <x:c r="O1249" s="1"/>
      <x:c r="P1249" s="1"/>
      <x:c r="Q1249" s="1"/>
      <x:c r="R1249" s="1"/>
      <x:c r="S1249" s="1"/>
      <x:c r="T1249" s="1"/>
      <x:c r="U1249" s="1"/>
      <x:c r="V1249" s="1"/>
    </x:row>
    <x:row r="1250">
      <x:c r="A1250" s="1"/>
      <x:c r="B1250" s="1"/>
      <x:c r="C1250" s="1"/>
      <x:c r="D1250" s="1"/>
      <x:c r="E1250" s="1"/>
      <x:c r="F1250" s="1"/>
      <x:c r="G1250" s="1"/>
      <x:c r="H1250" s="1"/>
      <x:c r="I1250" s="1"/>
      <x:c r="J1250" s="1"/>
      <x:c r="K1250" s="1"/>
      <x:c r="L1250" s="1"/>
      <x:c r="M1250" s="1"/>
      <x:c r="N1250" s="1"/>
      <x:c r="O1250" s="1"/>
      <x:c r="P1250" s="1"/>
      <x:c r="Q1250" s="1"/>
      <x:c r="R1250" s="1"/>
      <x:c r="S1250" s="1"/>
      <x:c r="T1250" s="1"/>
      <x:c r="U1250" s="1"/>
      <x:c r="V1250" s="1"/>
    </x:row>
    <x:row r="1251">
      <x:c r="A1251" s="1"/>
      <x:c r="B1251" s="1"/>
      <x:c r="C1251" s="1"/>
      <x:c r="D1251" s="1"/>
      <x:c r="E1251" s="1"/>
      <x:c r="F1251" s="1"/>
      <x:c r="G1251" s="1"/>
      <x:c r="H1251" s="1"/>
      <x:c r="I1251" s="1"/>
      <x:c r="J1251" s="1"/>
      <x:c r="K1251" s="1"/>
      <x:c r="L1251" s="1"/>
      <x:c r="M1251" s="1"/>
      <x:c r="N1251" s="1"/>
      <x:c r="O1251" s="1"/>
      <x:c r="P1251" s="1"/>
      <x:c r="Q1251" s="1"/>
      <x:c r="R1251" s="1"/>
      <x:c r="S1251" s="1"/>
      <x:c r="T1251" s="1"/>
      <x:c r="U1251" s="1"/>
      <x:c r="V1251" s="1"/>
    </x:row>
    <x:row r="1252">
      <x:c r="A1252" s="1"/>
      <x:c r="B1252" s="1"/>
      <x:c r="C1252" s="1"/>
      <x:c r="D1252" s="1"/>
      <x:c r="E1252" s="1"/>
      <x:c r="F1252" s="1"/>
      <x:c r="G1252" s="1"/>
      <x:c r="H1252" s="1"/>
      <x:c r="I1252" s="1"/>
      <x:c r="J1252" s="1"/>
      <x:c r="K1252" s="1"/>
      <x:c r="L1252" s="1"/>
      <x:c r="M1252" s="1"/>
      <x:c r="N1252" s="1"/>
      <x:c r="O1252" s="1"/>
      <x:c r="P1252" s="1"/>
      <x:c r="Q1252" s="1"/>
      <x:c r="R1252" s="1"/>
      <x:c r="S1252" s="1"/>
      <x:c r="T1252" s="1"/>
      <x:c r="U1252" s="1"/>
      <x:c r="V1252" s="1"/>
    </x:row>
    <x:row r="1253">
      <x:c r="A1253" s="1"/>
      <x:c r="B1253" s="1"/>
      <x:c r="C1253" s="1"/>
      <x:c r="D1253" s="1"/>
      <x:c r="E1253" s="1"/>
      <x:c r="F1253" s="1"/>
      <x:c r="G1253" s="1"/>
      <x:c r="H1253" s="1"/>
      <x:c r="I1253" s="1"/>
      <x:c r="J1253" s="1"/>
      <x:c r="K1253" s="1"/>
      <x:c r="L1253" s="1"/>
      <x:c r="M1253" s="1"/>
      <x:c r="N1253" s="1"/>
      <x:c r="O1253" s="1"/>
      <x:c r="P1253" s="1"/>
      <x:c r="Q1253" s="1"/>
      <x:c r="R1253" s="1"/>
      <x:c r="S1253" s="1"/>
      <x:c r="T1253" s="1"/>
      <x:c r="U1253" s="1"/>
      <x:c r="V1253" s="1"/>
    </x:row>
    <x:row r="1254">
      <x:c r="A1254" s="1"/>
      <x:c r="B1254" s="1"/>
      <x:c r="C1254" s="1"/>
      <x:c r="D1254" s="1"/>
      <x:c r="E1254" s="1"/>
      <x:c r="F1254" s="1"/>
      <x:c r="G1254" s="1"/>
      <x:c r="H1254" s="1"/>
      <x:c r="I1254" s="1"/>
      <x:c r="J1254" s="1"/>
      <x:c r="K1254" s="1"/>
      <x:c r="L1254" s="1"/>
      <x:c r="M1254" s="1"/>
      <x:c r="N1254" s="1"/>
      <x:c r="O1254" s="1"/>
      <x:c r="P1254" s="1"/>
      <x:c r="Q1254" s="1"/>
      <x:c r="R1254" s="1"/>
      <x:c r="S1254" s="1"/>
      <x:c r="T1254" s="1"/>
      <x:c r="U1254" s="1"/>
      <x:c r="V1254" s="1"/>
    </x:row>
    <x:row r="1255">
      <x:c r="A1255" s="1"/>
      <x:c r="B1255" s="1"/>
      <x:c r="C1255" s="1"/>
      <x:c r="D1255" s="1"/>
      <x:c r="E1255" s="1"/>
      <x:c r="F1255" s="1"/>
      <x:c r="G1255" s="1"/>
      <x:c r="H1255" s="1"/>
      <x:c r="I1255" s="1"/>
      <x:c r="J1255" s="1"/>
      <x:c r="K1255" s="1"/>
      <x:c r="L1255" s="1"/>
      <x:c r="M1255" s="1"/>
      <x:c r="N1255" s="1"/>
      <x:c r="O1255" s="1"/>
      <x:c r="P1255" s="1"/>
      <x:c r="Q1255" s="1"/>
      <x:c r="R1255" s="1"/>
      <x:c r="S1255" s="1"/>
      <x:c r="T1255" s="1"/>
      <x:c r="U1255" s="1"/>
      <x:c r="V1255" s="1"/>
    </x:row>
    <x:row r="1256">
      <x:c r="A1256" s="1"/>
      <x:c r="B1256" s="1"/>
      <x:c r="C1256" s="1"/>
      <x:c r="D1256" s="1"/>
      <x:c r="E1256" s="1"/>
      <x:c r="F1256" s="1"/>
      <x:c r="G1256" s="1"/>
      <x:c r="H1256" s="1"/>
      <x:c r="I1256" s="1"/>
      <x:c r="J1256" s="1"/>
      <x:c r="K1256" s="1"/>
      <x:c r="L1256" s="1"/>
      <x:c r="M1256" s="1"/>
      <x:c r="N1256" s="1"/>
      <x:c r="O1256" s="1"/>
      <x:c r="P1256" s="1"/>
      <x:c r="Q1256" s="1"/>
      <x:c r="R1256" s="1"/>
      <x:c r="S1256" s="1"/>
      <x:c r="T1256" s="1"/>
      <x:c r="U1256" s="1"/>
      <x:c r="V1256" s="1"/>
    </x:row>
    <x:row r="1257">
      <x:c r="A1257" s="1"/>
      <x:c r="B1257" s="1"/>
      <x:c r="C1257" s="1"/>
      <x:c r="D1257" s="1"/>
      <x:c r="E1257" s="1"/>
      <x:c r="F1257" s="1"/>
      <x:c r="G1257" s="1"/>
      <x:c r="H1257" s="1"/>
      <x:c r="I1257" s="1"/>
      <x:c r="J1257" s="1"/>
      <x:c r="K1257" s="1"/>
      <x:c r="L1257" s="1"/>
      <x:c r="M1257" s="1"/>
      <x:c r="N1257" s="1"/>
      <x:c r="O1257" s="1"/>
      <x:c r="P1257" s="1"/>
      <x:c r="Q1257" s="1"/>
      <x:c r="R1257" s="1"/>
      <x:c r="S1257" s="1"/>
      <x:c r="T1257" s="1"/>
      <x:c r="U1257" s="1"/>
      <x:c r="V1257" s="1"/>
    </x:row>
    <x:row r="1258">
      <x:c r="A1258" s="1"/>
      <x:c r="B1258" s="1"/>
      <x:c r="C1258" s="1"/>
      <x:c r="D1258" s="1"/>
      <x:c r="E1258" s="1"/>
      <x:c r="F1258" s="1"/>
      <x:c r="G1258" s="1"/>
      <x:c r="H1258" s="1"/>
      <x:c r="I1258" s="1"/>
      <x:c r="J1258" s="1"/>
      <x:c r="K1258" s="1"/>
      <x:c r="L1258" s="1"/>
      <x:c r="M1258" s="1"/>
      <x:c r="N1258" s="1"/>
      <x:c r="O1258" s="1"/>
      <x:c r="P1258" s="1"/>
      <x:c r="Q1258" s="1"/>
      <x:c r="R1258" s="1"/>
      <x:c r="S1258" s="1"/>
      <x:c r="T1258" s="1"/>
      <x:c r="U1258" s="1"/>
      <x:c r="V1258" s="1"/>
    </x:row>
    <x:row r="1259">
      <x:c r="A1259" s="1"/>
      <x:c r="B1259" s="1"/>
      <x:c r="C1259" s="1"/>
      <x:c r="D1259" s="1"/>
      <x:c r="E1259" s="1"/>
      <x:c r="F1259" s="1"/>
      <x:c r="G1259" s="1"/>
      <x:c r="H1259" s="1"/>
      <x:c r="I1259" s="1"/>
      <x:c r="J1259" s="1"/>
      <x:c r="K1259" s="1"/>
      <x:c r="L1259" s="1"/>
      <x:c r="M1259" s="1"/>
      <x:c r="N1259" s="1"/>
      <x:c r="O1259" s="1"/>
      <x:c r="P1259" s="1"/>
      <x:c r="Q1259" s="1"/>
      <x:c r="R1259" s="1"/>
      <x:c r="S1259" s="1"/>
      <x:c r="T1259" s="1"/>
      <x:c r="U1259" s="1"/>
      <x:c r="V1259" s="1"/>
    </x:row>
    <x:row r="1260">
      <x:c r="A1260" s="1"/>
      <x:c r="B1260" s="1"/>
      <x:c r="C1260" s="1"/>
      <x:c r="D1260" s="1"/>
      <x:c r="E1260" s="1"/>
      <x:c r="F1260" s="1"/>
      <x:c r="G1260" s="1"/>
      <x:c r="H1260" s="1"/>
      <x:c r="I1260" s="1"/>
      <x:c r="J1260" s="1"/>
      <x:c r="K1260" s="1"/>
      <x:c r="L1260" s="1"/>
      <x:c r="M1260" s="1"/>
      <x:c r="N1260" s="1"/>
      <x:c r="O1260" s="1"/>
      <x:c r="P1260" s="1"/>
      <x:c r="Q1260" s="1"/>
      <x:c r="R1260" s="1"/>
      <x:c r="S1260" s="1"/>
      <x:c r="T1260" s="1"/>
      <x:c r="U1260" s="1"/>
      <x:c r="V1260" s="1"/>
    </x:row>
    <x:row r="1261">
      <x:c r="A1261" s="1"/>
      <x:c r="B1261" s="1"/>
      <x:c r="C1261" s="1"/>
      <x:c r="D1261" s="1"/>
      <x:c r="E1261" s="1"/>
      <x:c r="F1261" s="1"/>
      <x:c r="G1261" s="1"/>
      <x:c r="H1261" s="1"/>
      <x:c r="I1261" s="1"/>
      <x:c r="J1261" s="1"/>
      <x:c r="K1261" s="1"/>
      <x:c r="L1261" s="1"/>
      <x:c r="M1261" s="1"/>
      <x:c r="N1261" s="1"/>
      <x:c r="O1261" s="1"/>
      <x:c r="P1261" s="1"/>
      <x:c r="Q1261" s="1"/>
      <x:c r="R1261" s="1"/>
      <x:c r="S1261" s="1"/>
      <x:c r="T1261" s="1"/>
      <x:c r="U1261" s="1"/>
      <x:c r="V1261" s="1"/>
    </x:row>
    <x:row r="1262">
      <x:c r="A1262" s="1"/>
      <x:c r="B1262" s="1"/>
      <x:c r="C1262" s="1"/>
      <x:c r="D1262" s="1"/>
      <x:c r="E1262" s="1"/>
      <x:c r="F1262" s="1"/>
      <x:c r="G1262" s="1"/>
      <x:c r="H1262" s="1"/>
      <x:c r="I1262" s="1"/>
      <x:c r="J1262" s="1"/>
      <x:c r="K1262" s="1"/>
      <x:c r="L1262" s="1"/>
      <x:c r="M1262" s="1"/>
      <x:c r="N1262" s="1"/>
      <x:c r="O1262" s="1"/>
      <x:c r="P1262" s="1"/>
      <x:c r="Q1262" s="1"/>
      <x:c r="R1262" s="1"/>
      <x:c r="S1262" s="1"/>
      <x:c r="T1262" s="1"/>
      <x:c r="U1262" s="1"/>
      <x:c r="V1262" s="1"/>
    </x:row>
    <x:row r="1263">
      <x:c r="A1263" s="1"/>
      <x:c r="B1263" s="1"/>
      <x:c r="C1263" s="1"/>
      <x:c r="D1263" s="1"/>
      <x:c r="E1263" s="1"/>
      <x:c r="F1263" s="1"/>
      <x:c r="G1263" s="1"/>
      <x:c r="H1263" s="1"/>
      <x:c r="I1263" s="1"/>
      <x:c r="J1263" s="1"/>
      <x:c r="K1263" s="1"/>
      <x:c r="L1263" s="1"/>
      <x:c r="M1263" s="1"/>
      <x:c r="N1263" s="1"/>
      <x:c r="O1263" s="1"/>
      <x:c r="P1263" s="1"/>
      <x:c r="Q1263" s="1"/>
      <x:c r="R1263" s="1"/>
      <x:c r="S1263" s="1"/>
      <x:c r="T1263" s="1"/>
      <x:c r="U1263" s="1"/>
      <x:c r="V1263" s="1"/>
    </x:row>
    <x:row r="1264">
      <x:c r="A1264" s="1"/>
      <x:c r="B1264" s="1"/>
      <x:c r="C1264" s="1"/>
      <x:c r="D1264" s="1"/>
      <x:c r="E1264" s="1"/>
      <x:c r="F1264" s="1"/>
      <x:c r="G1264" s="1"/>
      <x:c r="H1264" s="1"/>
      <x:c r="I1264" s="1"/>
      <x:c r="J1264" s="1"/>
      <x:c r="K1264" s="1"/>
      <x:c r="L1264" s="1"/>
      <x:c r="M1264" s="1"/>
      <x:c r="N1264" s="1"/>
      <x:c r="O1264" s="1"/>
      <x:c r="P1264" s="1"/>
      <x:c r="Q1264" s="1"/>
      <x:c r="R1264" s="1"/>
      <x:c r="S1264" s="1"/>
      <x:c r="T1264" s="1"/>
      <x:c r="U1264" s="1"/>
      <x:c r="V1264" s="1"/>
    </x:row>
    <x:row r="1265">
      <x:c r="A1265" s="1"/>
      <x:c r="B1265" s="1"/>
      <x:c r="C1265" s="1"/>
      <x:c r="D1265" s="1"/>
      <x:c r="E1265" s="1"/>
      <x:c r="F1265" s="1"/>
      <x:c r="G1265" s="1"/>
      <x:c r="H1265" s="1"/>
      <x:c r="I1265" s="1"/>
      <x:c r="J1265" s="1"/>
      <x:c r="K1265" s="1"/>
      <x:c r="L1265" s="1"/>
      <x:c r="M1265" s="1"/>
      <x:c r="N1265" s="1"/>
      <x:c r="O1265" s="1"/>
      <x:c r="P1265" s="1"/>
      <x:c r="Q1265" s="1"/>
      <x:c r="R1265" s="1"/>
      <x:c r="S1265" s="1"/>
      <x:c r="T1265" s="1"/>
      <x:c r="U1265" s="1"/>
      <x:c r="V1265" s="1"/>
    </x:row>
    <x:row r="1266">
      <x:c r="A1266" s="1"/>
      <x:c r="B1266" s="1"/>
      <x:c r="C1266" s="1"/>
      <x:c r="D1266" s="1"/>
      <x:c r="E1266" s="1"/>
      <x:c r="F1266" s="1"/>
      <x:c r="G1266" s="1"/>
      <x:c r="H1266" s="1"/>
      <x:c r="I1266" s="1"/>
      <x:c r="J1266" s="1"/>
      <x:c r="K1266" s="1"/>
      <x:c r="L1266" s="1"/>
      <x:c r="M1266" s="1"/>
      <x:c r="N1266" s="1"/>
      <x:c r="O1266" s="1"/>
      <x:c r="P1266" s="1"/>
      <x:c r="Q1266" s="1"/>
      <x:c r="R1266" s="1"/>
      <x:c r="S1266" s="1"/>
      <x:c r="T1266" s="1"/>
      <x:c r="U1266" s="1"/>
      <x:c r="V1266" s="1"/>
    </x:row>
    <x:row r="1267">
      <x:c r="A1267" s="1"/>
      <x:c r="B1267" s="1"/>
      <x:c r="C1267" s="1"/>
      <x:c r="D1267" s="1"/>
      <x:c r="E1267" s="1"/>
      <x:c r="F1267" s="1"/>
      <x:c r="G1267" s="1"/>
      <x:c r="H1267" s="1"/>
      <x:c r="I1267" s="1"/>
      <x:c r="J1267" s="1"/>
      <x:c r="K1267" s="1"/>
      <x:c r="L1267" s="1"/>
      <x:c r="M1267" s="1"/>
      <x:c r="N1267" s="1"/>
      <x:c r="O1267" s="1"/>
      <x:c r="P1267" s="1"/>
      <x:c r="Q1267" s="1"/>
      <x:c r="R1267" s="1"/>
      <x:c r="S1267" s="1"/>
      <x:c r="T1267" s="1"/>
      <x:c r="U1267" s="1"/>
      <x:c r="V1267" s="1"/>
    </x:row>
    <x:row r="1268">
      <x:c r="A1268" s="1"/>
      <x:c r="B1268" s="1"/>
      <x:c r="C1268" s="1"/>
      <x:c r="D1268" s="1"/>
      <x:c r="E1268" s="1"/>
      <x:c r="F1268" s="1"/>
      <x:c r="G1268" s="1"/>
      <x:c r="H1268" s="1"/>
      <x:c r="I1268" s="1"/>
      <x:c r="J1268" s="1"/>
      <x:c r="K1268" s="1"/>
      <x:c r="L1268" s="1"/>
      <x:c r="M1268" s="1"/>
      <x:c r="N1268" s="1"/>
      <x:c r="O1268" s="1"/>
      <x:c r="P1268" s="1"/>
      <x:c r="Q1268" s="1"/>
      <x:c r="R1268" s="1"/>
      <x:c r="S1268" s="1"/>
      <x:c r="T1268" s="1"/>
      <x:c r="U1268" s="1"/>
      <x:c r="V1268" s="1"/>
    </x:row>
    <x:row r="1269">
      <x:c r="A1269" s="1"/>
      <x:c r="B1269" s="1"/>
      <x:c r="C1269" s="1"/>
      <x:c r="D1269" s="1"/>
      <x:c r="E1269" s="1"/>
      <x:c r="F1269" s="1"/>
      <x:c r="G1269" s="1"/>
      <x:c r="H1269" s="1"/>
      <x:c r="I1269" s="1"/>
      <x:c r="J1269" s="1"/>
      <x:c r="K1269" s="1"/>
      <x:c r="L1269" s="1"/>
      <x:c r="M1269" s="1"/>
      <x:c r="N1269" s="1"/>
      <x:c r="O1269" s="1"/>
      <x:c r="P1269" s="1"/>
      <x:c r="Q1269" s="1"/>
      <x:c r="R1269" s="1"/>
      <x:c r="S1269" s="1"/>
      <x:c r="T1269" s="1"/>
      <x:c r="U1269" s="1"/>
      <x:c r="V1269" s="1"/>
    </x:row>
    <x:row r="1270">
      <x:c r="A1270" s="1"/>
      <x:c r="B1270" s="1"/>
      <x:c r="C1270" s="1"/>
      <x:c r="D1270" s="1"/>
      <x:c r="E1270" s="1"/>
      <x:c r="F1270" s="1"/>
      <x:c r="G1270" s="1"/>
      <x:c r="H1270" s="1"/>
      <x:c r="I1270" s="1"/>
      <x:c r="J1270" s="1"/>
      <x:c r="K1270" s="1"/>
      <x:c r="L1270" s="1"/>
      <x:c r="M1270" s="1"/>
      <x:c r="N1270" s="1"/>
      <x:c r="O1270" s="1"/>
      <x:c r="P1270" s="1"/>
      <x:c r="Q1270" s="1"/>
      <x:c r="R1270" s="1"/>
      <x:c r="S1270" s="1"/>
      <x:c r="T1270" s="1"/>
      <x:c r="U1270" s="1"/>
      <x:c r="V1270" s="1"/>
    </x:row>
    <x:row r="1271">
      <x:c r="A1271" s="1"/>
      <x:c r="B1271" s="1"/>
      <x:c r="C1271" s="1"/>
      <x:c r="D1271" s="1"/>
      <x:c r="E1271" s="1"/>
      <x:c r="F1271" s="1"/>
      <x:c r="G1271" s="1"/>
      <x:c r="H1271" s="1"/>
      <x:c r="I1271" s="1"/>
      <x:c r="J1271" s="1"/>
      <x:c r="K1271" s="1"/>
      <x:c r="L1271" s="1"/>
      <x:c r="M1271" s="1"/>
      <x:c r="N1271" s="1"/>
      <x:c r="O1271" s="1"/>
      <x:c r="P1271" s="1"/>
      <x:c r="Q1271" s="1"/>
      <x:c r="R1271" s="1"/>
      <x:c r="S1271" s="1"/>
      <x:c r="T1271" s="1"/>
      <x:c r="U1271" s="1"/>
      <x:c r="V1271" s="1"/>
    </x:row>
    <x:row r="1272">
      <x:c r="A1272" s="1"/>
      <x:c r="B1272" s="1"/>
      <x:c r="C1272" s="1"/>
      <x:c r="D1272" s="1"/>
      <x:c r="E1272" s="1"/>
      <x:c r="F1272" s="1"/>
      <x:c r="G1272" s="1"/>
      <x:c r="H1272" s="1"/>
      <x:c r="I1272" s="1"/>
      <x:c r="J1272" s="1"/>
      <x:c r="K1272" s="1"/>
      <x:c r="L1272" s="1"/>
      <x:c r="M1272" s="1"/>
      <x:c r="N1272" s="1"/>
      <x:c r="O1272" s="1"/>
      <x:c r="P1272" s="1"/>
      <x:c r="Q1272" s="1"/>
      <x:c r="R1272" s="1"/>
      <x:c r="S1272" s="1"/>
      <x:c r="T1272" s="1"/>
      <x:c r="U1272" s="1"/>
      <x:c r="V1272" s="1"/>
    </x:row>
    <x:row r="1273">
      <x:c r="A1273" s="1"/>
      <x:c r="B1273" s="1"/>
      <x:c r="C1273" s="1"/>
      <x:c r="D1273" s="1"/>
      <x:c r="E1273" s="1"/>
      <x:c r="F1273" s="1"/>
      <x:c r="G1273" s="1"/>
      <x:c r="H1273" s="1"/>
      <x:c r="I1273" s="1"/>
      <x:c r="J1273" s="1"/>
      <x:c r="K1273" s="1"/>
      <x:c r="L1273" s="1"/>
      <x:c r="M1273" s="1"/>
      <x:c r="N1273" s="1"/>
      <x:c r="O1273" s="1"/>
      <x:c r="P1273" s="1"/>
      <x:c r="Q1273" s="1"/>
      <x:c r="R1273" s="1"/>
      <x:c r="S1273" s="1"/>
      <x:c r="T1273" s="1"/>
      <x:c r="U1273" s="1"/>
      <x:c r="V1273" s="1"/>
    </x:row>
    <x:row r="1274">
      <x:c r="A1274" s="1"/>
      <x:c r="B1274" s="1"/>
      <x:c r="C1274" s="1"/>
      <x:c r="D1274" s="1"/>
      <x:c r="E1274" s="1"/>
      <x:c r="F1274" s="1"/>
      <x:c r="G1274" s="1"/>
      <x:c r="H1274" s="1"/>
      <x:c r="I1274" s="1"/>
      <x:c r="J1274" s="1"/>
      <x:c r="K1274" s="1"/>
      <x:c r="L1274" s="1"/>
      <x:c r="M1274" s="1"/>
      <x:c r="N1274" s="1"/>
      <x:c r="O1274" s="1"/>
      <x:c r="P1274" s="1"/>
      <x:c r="Q1274" s="1"/>
      <x:c r="R1274" s="1"/>
      <x:c r="S1274" s="1"/>
      <x:c r="T1274" s="1"/>
      <x:c r="U1274" s="1"/>
      <x:c r="V1274" s="1"/>
    </x:row>
    <x:row r="1275">
      <x:c r="A1275" s="1"/>
      <x:c r="B1275" s="1"/>
      <x:c r="C1275" s="1"/>
      <x:c r="D1275" s="1"/>
      <x:c r="E1275" s="1"/>
      <x:c r="F1275" s="1"/>
      <x:c r="G1275" s="1"/>
      <x:c r="H1275" s="1"/>
      <x:c r="I1275" s="1"/>
      <x:c r="J1275" s="1"/>
      <x:c r="K1275" s="1"/>
      <x:c r="L1275" s="1"/>
      <x:c r="M1275" s="1"/>
      <x:c r="N1275" s="1"/>
      <x:c r="O1275" s="1"/>
      <x:c r="P1275" s="1"/>
      <x:c r="Q1275" s="1"/>
      <x:c r="R1275" s="1"/>
      <x:c r="S1275" s="1"/>
      <x:c r="T1275" s="1"/>
      <x:c r="U1275" s="1"/>
      <x:c r="V1275" s="1"/>
    </x:row>
    <x:row r="1276">
      <x:c r="A1276" s="1"/>
      <x:c r="B1276" s="1"/>
      <x:c r="C1276" s="1"/>
      <x:c r="D1276" s="1"/>
      <x:c r="E1276" s="1"/>
      <x:c r="F1276" s="1"/>
      <x:c r="G1276" s="1"/>
      <x:c r="H1276" s="1"/>
      <x:c r="I1276" s="1"/>
      <x:c r="J1276" s="1"/>
      <x:c r="K1276" s="1"/>
      <x:c r="L1276" s="1"/>
      <x:c r="M1276" s="1"/>
      <x:c r="N1276" s="1"/>
      <x:c r="O1276" s="1"/>
      <x:c r="P1276" s="1"/>
      <x:c r="Q1276" s="1"/>
      <x:c r="R1276" s="1"/>
      <x:c r="S1276" s="1"/>
      <x:c r="T1276" s="1"/>
      <x:c r="U1276" s="1"/>
      <x:c r="V1276" s="1"/>
    </x:row>
    <x:row r="1277">
      <x:c r="A1277" s="1"/>
      <x:c r="B1277" s="1"/>
      <x:c r="C1277" s="1"/>
      <x:c r="D1277" s="1"/>
      <x:c r="E1277" s="1"/>
      <x:c r="F1277" s="1"/>
      <x:c r="G1277" s="1"/>
      <x:c r="H1277" s="1"/>
      <x:c r="I1277" s="1"/>
      <x:c r="J1277" s="1"/>
      <x:c r="K1277" s="1"/>
      <x:c r="L1277" s="1"/>
      <x:c r="M1277" s="1"/>
      <x:c r="N1277" s="1"/>
      <x:c r="O1277" s="1"/>
      <x:c r="P1277" s="1"/>
      <x:c r="Q1277" s="1"/>
      <x:c r="R1277" s="1"/>
      <x:c r="S1277" s="1"/>
      <x:c r="T1277" s="1"/>
      <x:c r="U1277" s="1"/>
      <x:c r="V1277" s="1"/>
    </x:row>
    <x:row r="1278">
      <x:c r="A1278" s="1"/>
      <x:c r="B1278" s="1"/>
      <x:c r="C1278" s="1"/>
      <x:c r="D1278" s="1"/>
      <x:c r="E1278" s="1"/>
      <x:c r="F1278" s="1"/>
      <x:c r="G1278" s="1"/>
      <x:c r="H1278" s="1"/>
      <x:c r="I1278" s="1"/>
      <x:c r="J1278" s="1"/>
      <x:c r="K1278" s="1"/>
      <x:c r="L1278" s="1"/>
      <x:c r="M1278" s="1"/>
      <x:c r="N1278" s="1"/>
      <x:c r="O1278" s="1"/>
      <x:c r="P1278" s="1"/>
      <x:c r="Q1278" s="1"/>
      <x:c r="R1278" s="1"/>
      <x:c r="S1278" s="1"/>
      <x:c r="T1278" s="1"/>
      <x:c r="U1278" s="1"/>
      <x:c r="V1278" s="1"/>
    </x:row>
    <x:row r="1279">
      <x:c r="A1279" s="1"/>
      <x:c r="B1279" s="1"/>
      <x:c r="C1279" s="1"/>
      <x:c r="D1279" s="1"/>
      <x:c r="E1279" s="1"/>
      <x:c r="F1279" s="1"/>
      <x:c r="G1279" s="1"/>
      <x:c r="H1279" s="1"/>
      <x:c r="I1279" s="1"/>
      <x:c r="J1279" s="1"/>
      <x:c r="K1279" s="1"/>
      <x:c r="L1279" s="1"/>
      <x:c r="M1279" s="1"/>
      <x:c r="N1279" s="1"/>
      <x:c r="O1279" s="1"/>
      <x:c r="P1279" s="1"/>
      <x:c r="Q1279" s="1"/>
      <x:c r="R1279" s="1"/>
      <x:c r="S1279" s="1"/>
      <x:c r="T1279" s="1"/>
      <x:c r="U1279" s="1"/>
      <x:c r="V1279" s="1"/>
    </x:row>
    <x:row r="1280">
      <x:c r="A1280" s="1"/>
      <x:c r="B1280" s="1"/>
      <x:c r="C1280" s="1"/>
      <x:c r="D1280" s="1"/>
      <x:c r="E1280" s="1"/>
      <x:c r="F1280" s="1"/>
      <x:c r="G1280" s="1"/>
      <x:c r="H1280" s="1"/>
      <x:c r="I1280" s="1"/>
      <x:c r="J1280" s="1"/>
      <x:c r="K1280" s="1"/>
      <x:c r="L1280" s="1"/>
      <x:c r="M1280" s="1"/>
      <x:c r="N1280" s="1"/>
      <x:c r="O1280" s="1"/>
      <x:c r="P1280" s="1"/>
      <x:c r="Q1280" s="1"/>
      <x:c r="R1280" s="1"/>
      <x:c r="S1280" s="1"/>
      <x:c r="T1280" s="1"/>
      <x:c r="U1280" s="1"/>
      <x:c r="V1280" s="1"/>
    </x:row>
    <x:row r="1281">
      <x:c r="A1281" s="1"/>
      <x:c r="B1281" s="1"/>
      <x:c r="C1281" s="1"/>
      <x:c r="D1281" s="1"/>
      <x:c r="E1281" s="1"/>
      <x:c r="F1281" s="1"/>
      <x:c r="G1281" s="1"/>
      <x:c r="H1281" s="1"/>
      <x:c r="I1281" s="1"/>
      <x:c r="J1281" s="1"/>
      <x:c r="K1281" s="1"/>
      <x:c r="L1281" s="1"/>
      <x:c r="M1281" s="1"/>
      <x:c r="N1281" s="1"/>
      <x:c r="O1281" s="1"/>
      <x:c r="P1281" s="1"/>
      <x:c r="Q1281" s="1"/>
      <x:c r="R1281" s="1"/>
      <x:c r="S1281" s="1"/>
      <x:c r="T1281" s="1"/>
      <x:c r="U1281" s="1"/>
      <x:c r="V1281" s="1"/>
    </x:row>
    <x:row r="1282">
      <x:c r="A1282" s="1"/>
      <x:c r="B1282" s="1"/>
      <x:c r="C1282" s="1"/>
      <x:c r="D1282" s="1"/>
      <x:c r="E1282" s="1"/>
      <x:c r="F1282" s="1"/>
      <x:c r="G1282" s="1"/>
      <x:c r="H1282" s="1"/>
      <x:c r="I1282" s="1"/>
      <x:c r="J1282" s="1"/>
      <x:c r="K1282" s="1"/>
      <x:c r="L1282" s="1"/>
      <x:c r="M1282" s="1"/>
      <x:c r="N1282" s="1"/>
      <x:c r="O1282" s="1"/>
      <x:c r="P1282" s="1"/>
      <x:c r="Q1282" s="1"/>
      <x:c r="R1282" s="1"/>
      <x:c r="S1282" s="1"/>
      <x:c r="T1282" s="1"/>
      <x:c r="U1282" s="1"/>
      <x:c r="V1282" s="1"/>
    </x:row>
    <x:row r="1283">
      <x:c r="A1283" s="1"/>
      <x:c r="B1283" s="1"/>
      <x:c r="C1283" s="1"/>
      <x:c r="D1283" s="1"/>
      <x:c r="E1283" s="1"/>
      <x:c r="F1283" s="1"/>
      <x:c r="G1283" s="1"/>
      <x:c r="H1283" s="1"/>
      <x:c r="I1283" s="1"/>
      <x:c r="J1283" s="1"/>
      <x:c r="K1283" s="1"/>
      <x:c r="L1283" s="1"/>
      <x:c r="M1283" s="1"/>
      <x:c r="N1283" s="1"/>
      <x:c r="O1283" s="1"/>
      <x:c r="P1283" s="1"/>
      <x:c r="Q1283" s="1"/>
      <x:c r="R1283" s="1"/>
      <x:c r="S1283" s="1"/>
      <x:c r="T1283" s="1"/>
      <x:c r="U1283" s="1"/>
      <x:c r="V1283" s="1"/>
    </x:row>
    <x:row r="1284">
      <x:c r="A1284" s="1"/>
      <x:c r="B1284" s="1"/>
      <x:c r="C1284" s="1"/>
      <x:c r="D1284" s="1"/>
      <x:c r="E1284" s="1"/>
      <x:c r="F1284" s="1"/>
      <x:c r="G1284" s="1"/>
      <x:c r="H1284" s="1"/>
      <x:c r="I1284" s="1"/>
      <x:c r="J1284" s="1"/>
      <x:c r="K1284" s="1"/>
      <x:c r="L1284" s="1"/>
      <x:c r="M1284" s="1"/>
      <x:c r="N1284" s="1"/>
      <x:c r="O1284" s="1"/>
      <x:c r="P1284" s="1"/>
      <x:c r="Q1284" s="1"/>
      <x:c r="R1284" s="1"/>
      <x:c r="S1284" s="1"/>
      <x:c r="T1284" s="1"/>
      <x:c r="U1284" s="1"/>
      <x:c r="V1284" s="1"/>
    </x:row>
    <x:row r="1285">
      <x:c r="A1285" s="1"/>
      <x:c r="B1285" s="1"/>
      <x:c r="C1285" s="1"/>
      <x:c r="D1285" s="1"/>
      <x:c r="E1285" s="1"/>
      <x:c r="F1285" s="1"/>
      <x:c r="G1285" s="1"/>
      <x:c r="H1285" s="1"/>
      <x:c r="I1285" s="1"/>
      <x:c r="J1285" s="1"/>
      <x:c r="K1285" s="1"/>
      <x:c r="L1285" s="1"/>
      <x:c r="M1285" s="1"/>
      <x:c r="N1285" s="1"/>
      <x:c r="O1285" s="1"/>
      <x:c r="P1285" s="1"/>
      <x:c r="Q1285" s="1"/>
      <x:c r="R1285" s="1"/>
      <x:c r="S1285" s="1"/>
      <x:c r="T1285" s="1"/>
      <x:c r="U1285" s="1"/>
      <x:c r="V1285" s="1"/>
    </x:row>
    <x:row r="1286">
      <x:c r="A1286" s="1"/>
      <x:c r="B1286" s="1"/>
      <x:c r="C1286" s="1"/>
      <x:c r="D1286" s="1"/>
      <x:c r="E1286" s="1"/>
      <x:c r="F1286" s="1"/>
      <x:c r="G1286" s="1"/>
      <x:c r="H1286" s="1"/>
      <x:c r="I1286" s="1"/>
      <x:c r="J1286" s="1"/>
      <x:c r="K1286" s="1"/>
      <x:c r="L1286" s="1"/>
      <x:c r="M1286" s="1"/>
      <x:c r="N1286" s="1"/>
      <x:c r="O1286" s="1"/>
      <x:c r="P1286" s="1"/>
      <x:c r="Q1286" s="1"/>
      <x:c r="R1286" s="1"/>
      <x:c r="S1286" s="1"/>
      <x:c r="T1286" s="1"/>
      <x:c r="U1286" s="1"/>
      <x:c r="V1286" s="1"/>
    </x:row>
    <x:row r="1287">
      <x:c r="A1287" s="1"/>
      <x:c r="B1287" s="1"/>
      <x:c r="C1287" s="1"/>
      <x:c r="D1287" s="1"/>
      <x:c r="E1287" s="1"/>
      <x:c r="F1287" s="1"/>
      <x:c r="G1287" s="1"/>
      <x:c r="H1287" s="1"/>
      <x:c r="I1287" s="1"/>
      <x:c r="J1287" s="1"/>
      <x:c r="K1287" s="1"/>
      <x:c r="L1287" s="1"/>
      <x:c r="M1287" s="1"/>
      <x:c r="N1287" s="1"/>
      <x:c r="O1287" s="1"/>
      <x:c r="P1287" s="1"/>
      <x:c r="Q1287" s="1"/>
      <x:c r="R1287" s="1"/>
      <x:c r="S1287" s="1"/>
      <x:c r="T1287" s="1"/>
      <x:c r="U1287" s="1"/>
      <x:c r="V1287" s="1"/>
    </x:row>
    <x:row r="1288">
      <x:c r="A1288" s="1"/>
      <x:c r="B1288" s="1"/>
      <x:c r="C1288" s="1"/>
      <x:c r="D1288" s="1"/>
      <x:c r="E1288" s="1"/>
      <x:c r="F1288" s="1"/>
      <x:c r="G1288" s="1"/>
      <x:c r="H1288" s="1"/>
      <x:c r="I1288" s="1"/>
      <x:c r="J1288" s="1"/>
      <x:c r="K1288" s="1"/>
      <x:c r="L1288" s="1"/>
      <x:c r="M1288" s="1"/>
      <x:c r="N1288" s="1"/>
      <x:c r="O1288" s="1"/>
      <x:c r="P1288" s="1"/>
      <x:c r="Q1288" s="1"/>
      <x:c r="R1288" s="1"/>
      <x:c r="S1288" s="1"/>
      <x:c r="T1288" s="1"/>
      <x:c r="U1288" s="1"/>
      <x:c r="V1288" s="1"/>
    </x:row>
    <x:row r="1289">
      <x:c r="A1289" s="1"/>
      <x:c r="B1289" s="1"/>
      <x:c r="C1289" s="1"/>
      <x:c r="D1289" s="1"/>
      <x:c r="E1289" s="1"/>
      <x:c r="F1289" s="1"/>
      <x:c r="G1289" s="1"/>
      <x:c r="H1289" s="1"/>
      <x:c r="I1289" s="1"/>
      <x:c r="J1289" s="1"/>
      <x:c r="K1289" s="1"/>
      <x:c r="L1289" s="1"/>
      <x:c r="M1289" s="1"/>
      <x:c r="N1289" s="1"/>
      <x:c r="O1289" s="1"/>
      <x:c r="P1289" s="1"/>
      <x:c r="Q1289" s="1"/>
      <x:c r="R1289" s="1"/>
      <x:c r="S1289" s="1"/>
      <x:c r="T1289" s="1"/>
      <x:c r="U1289" s="1"/>
      <x:c r="V1289" s="1"/>
    </x:row>
    <x:row r="1290">
      <x:c r="A1290" s="1"/>
      <x:c r="B1290" s="1"/>
      <x:c r="C1290" s="1"/>
      <x:c r="D1290" s="1"/>
      <x:c r="E1290" s="1"/>
      <x:c r="F1290" s="1"/>
      <x:c r="G1290" s="1"/>
      <x:c r="H1290" s="1"/>
      <x:c r="I1290" s="1"/>
      <x:c r="J1290" s="1"/>
      <x:c r="K1290" s="1"/>
      <x:c r="L1290" s="1"/>
      <x:c r="M1290" s="1"/>
      <x:c r="N1290" s="1"/>
      <x:c r="O1290" s="1"/>
      <x:c r="P1290" s="1"/>
      <x:c r="Q1290" s="1"/>
      <x:c r="R1290" s="1"/>
      <x:c r="S1290" s="1"/>
      <x:c r="T1290" s="1"/>
      <x:c r="U1290" s="1"/>
      <x:c r="V1290" s="1"/>
    </x:row>
    <x:row r="1291">
      <x:c r="A1291" s="1"/>
      <x:c r="B1291" s="1"/>
      <x:c r="C1291" s="1"/>
      <x:c r="D1291" s="1"/>
      <x:c r="E1291" s="1"/>
      <x:c r="F1291" s="1"/>
      <x:c r="G1291" s="1"/>
      <x:c r="H1291" s="1"/>
      <x:c r="I1291" s="1"/>
      <x:c r="J1291" s="1"/>
      <x:c r="K1291" s="1"/>
      <x:c r="L1291" s="1"/>
      <x:c r="M1291" s="1"/>
      <x:c r="N1291" s="1"/>
      <x:c r="O1291" s="1"/>
      <x:c r="P1291" s="1"/>
      <x:c r="Q1291" s="1"/>
      <x:c r="R1291" s="1"/>
      <x:c r="S1291" s="1"/>
      <x:c r="T1291" s="1"/>
      <x:c r="U1291" s="1"/>
      <x:c r="V1291" s="1"/>
    </x:row>
    <x:row r="1292">
      <x:c r="A1292" s="1"/>
      <x:c r="B1292" s="1"/>
      <x:c r="C1292" s="1"/>
      <x:c r="D1292" s="1"/>
      <x:c r="E1292" s="1"/>
      <x:c r="F1292" s="1"/>
      <x:c r="G1292" s="1"/>
      <x:c r="H1292" s="1"/>
      <x:c r="I1292" s="1"/>
      <x:c r="J1292" s="1"/>
      <x:c r="K1292" s="1"/>
      <x:c r="L1292" s="1"/>
      <x:c r="M1292" s="1"/>
      <x:c r="N1292" s="1"/>
      <x:c r="O1292" s="1"/>
      <x:c r="P1292" s="1"/>
      <x:c r="Q1292" s="1"/>
      <x:c r="R1292" s="1"/>
      <x:c r="S1292" s="1"/>
      <x:c r="T1292" s="1"/>
      <x:c r="U1292" s="1"/>
      <x:c r="V1292" s="1"/>
    </x:row>
    <x:row r="1293">
      <x:c r="A1293" s="1"/>
      <x:c r="B1293" s="1"/>
      <x:c r="C1293" s="1"/>
      <x:c r="D1293" s="1"/>
      <x:c r="E1293" s="1"/>
      <x:c r="F1293" s="1"/>
      <x:c r="G1293" s="1"/>
      <x:c r="H1293" s="1"/>
      <x:c r="I1293" s="1"/>
      <x:c r="J1293" s="1"/>
      <x:c r="K1293" s="1"/>
      <x:c r="L1293" s="1"/>
      <x:c r="M1293" s="1"/>
      <x:c r="N1293" s="1"/>
      <x:c r="O1293" s="1"/>
      <x:c r="P1293" s="1"/>
      <x:c r="Q1293" s="1"/>
      <x:c r="R1293" s="1"/>
      <x:c r="S1293" s="1"/>
      <x:c r="T1293" s="1"/>
      <x:c r="U1293" s="1"/>
      <x:c r="V1293" s="1"/>
    </x:row>
    <x:row r="1294">
      <x:c r="A1294" s="1"/>
      <x:c r="B1294" s="1"/>
      <x:c r="C1294" s="1"/>
      <x:c r="D1294" s="1"/>
      <x:c r="E1294" s="1"/>
      <x:c r="F1294" s="1"/>
      <x:c r="G1294" s="1"/>
      <x:c r="H1294" s="1"/>
      <x:c r="I1294" s="1"/>
      <x:c r="J1294" s="1"/>
      <x:c r="K1294" s="1"/>
      <x:c r="L1294" s="1"/>
      <x:c r="M1294" s="1"/>
      <x:c r="N1294" s="1"/>
      <x:c r="O1294" s="1"/>
      <x:c r="P1294" s="1"/>
      <x:c r="Q1294" s="1"/>
      <x:c r="R1294" s="1"/>
      <x:c r="S1294" s="1"/>
      <x:c r="T1294" s="1"/>
      <x:c r="U1294" s="1"/>
      <x:c r="V1294" s="1"/>
    </x:row>
    <x:row r="1295">
      <x:c r="A1295" s="1"/>
      <x:c r="B1295" s="1"/>
      <x:c r="C1295" s="1"/>
      <x:c r="D1295" s="1"/>
      <x:c r="E1295" s="1"/>
      <x:c r="F1295" s="1"/>
      <x:c r="G1295" s="1"/>
      <x:c r="H1295" s="1"/>
      <x:c r="I1295" s="1"/>
      <x:c r="J1295" s="1"/>
      <x:c r="K1295" s="1"/>
      <x:c r="L1295" s="1"/>
      <x:c r="M1295" s="1"/>
      <x:c r="N1295" s="1"/>
      <x:c r="O1295" s="1"/>
      <x:c r="P1295" s="1"/>
      <x:c r="Q1295" s="1"/>
      <x:c r="R1295" s="1"/>
      <x:c r="S1295" s="1"/>
      <x:c r="T1295" s="1"/>
      <x:c r="U1295" s="1"/>
      <x:c r="V1295" s="1"/>
    </x:row>
    <x:row r="1296">
      <x:c r="A1296" s="1"/>
      <x:c r="B1296" s="1"/>
      <x:c r="C1296" s="1"/>
      <x:c r="D1296" s="1"/>
      <x:c r="E1296" s="1"/>
      <x:c r="F1296" s="1"/>
      <x:c r="G1296" s="1"/>
      <x:c r="H1296" s="1"/>
      <x:c r="I1296" s="1"/>
      <x:c r="J1296" s="1"/>
      <x:c r="K1296" s="1"/>
      <x:c r="L1296" s="1"/>
      <x:c r="M1296" s="1"/>
      <x:c r="N1296" s="1"/>
      <x:c r="O1296" s="1"/>
      <x:c r="P1296" s="1"/>
      <x:c r="Q1296" s="1"/>
      <x:c r="R1296" s="1"/>
      <x:c r="S1296" s="1"/>
      <x:c r="T1296" s="1"/>
      <x:c r="U1296" s="1"/>
      <x:c r="V1296" s="1"/>
    </x:row>
    <x:row r="1297">
      <x:c r="A1297" s="1"/>
      <x:c r="B1297" s="1"/>
      <x:c r="C1297" s="1"/>
      <x:c r="D1297" s="1"/>
      <x:c r="E1297" s="1"/>
      <x:c r="F1297" s="1"/>
      <x:c r="G1297" s="1"/>
      <x:c r="H1297" s="1"/>
      <x:c r="I1297" s="1"/>
      <x:c r="J1297" s="1"/>
      <x:c r="K1297" s="1"/>
      <x:c r="L1297" s="1"/>
      <x:c r="M1297" s="1"/>
      <x:c r="N1297" s="1"/>
      <x:c r="O1297" s="1"/>
      <x:c r="P1297" s="1"/>
      <x:c r="Q1297" s="1"/>
      <x:c r="R1297" s="1"/>
      <x:c r="S1297" s="1"/>
      <x:c r="T1297" s="1"/>
      <x:c r="U1297" s="1"/>
      <x:c r="V1297" s="1"/>
    </x:row>
    <x:row r="1298">
      <x:c r="A1298" s="1"/>
      <x:c r="B1298" s="1"/>
      <x:c r="C1298" s="1"/>
      <x:c r="D1298" s="1"/>
      <x:c r="E1298" s="1"/>
      <x:c r="F1298" s="1"/>
      <x:c r="G1298" s="1"/>
      <x:c r="H1298" s="1"/>
      <x:c r="I1298" s="1"/>
      <x:c r="J1298" s="1"/>
      <x:c r="K1298" s="1"/>
      <x:c r="L1298" s="1"/>
      <x:c r="M1298" s="1"/>
      <x:c r="N1298" s="1"/>
      <x:c r="O1298" s="1"/>
      <x:c r="P1298" s="1"/>
      <x:c r="Q1298" s="1"/>
      <x:c r="R1298" s="1"/>
      <x:c r="S1298" s="1"/>
      <x:c r="T1298" s="1"/>
      <x:c r="U1298" s="1"/>
      <x:c r="V1298" s="1"/>
    </x:row>
    <x:row r="1299">
      <x:c r="A1299" s="1"/>
      <x:c r="B1299" s="1"/>
      <x:c r="C1299" s="1"/>
      <x:c r="D1299" s="1"/>
      <x:c r="E1299" s="1"/>
      <x:c r="F1299" s="1"/>
      <x:c r="G1299" s="1"/>
      <x:c r="H1299" s="1"/>
      <x:c r="I1299" s="1"/>
      <x:c r="J1299" s="1"/>
      <x:c r="K1299" s="1"/>
      <x:c r="L1299" s="1"/>
      <x:c r="M1299" s="1"/>
      <x:c r="N1299" s="1"/>
      <x:c r="O1299" s="1"/>
      <x:c r="P1299" s="1"/>
      <x:c r="Q1299" s="1"/>
      <x:c r="R1299" s="1"/>
      <x:c r="S1299" s="1"/>
      <x:c r="T1299" s="1"/>
      <x:c r="U1299" s="1"/>
      <x:c r="V1299" s="1"/>
    </x:row>
    <x:row r="1300">
      <x:c r="A1300" s="1"/>
      <x:c r="B1300" s="1"/>
      <x:c r="C1300" s="1"/>
      <x:c r="D1300" s="1"/>
      <x:c r="E1300" s="1"/>
      <x:c r="F1300" s="1"/>
      <x:c r="G1300" s="1"/>
      <x:c r="H1300" s="1"/>
      <x:c r="I1300" s="1"/>
      <x:c r="J1300" s="1"/>
      <x:c r="K1300" s="1"/>
      <x:c r="L1300" s="1"/>
      <x:c r="M1300" s="1"/>
      <x:c r="N1300" s="1"/>
      <x:c r="O1300" s="1"/>
      <x:c r="P1300" s="1"/>
      <x:c r="Q1300" s="1"/>
      <x:c r="R1300" s="1"/>
      <x:c r="S1300" s="1"/>
      <x:c r="T1300" s="1"/>
      <x:c r="U1300" s="1"/>
      <x:c r="V1300" s="1"/>
    </x:row>
    <x:row r="1301">
      <x:c r="A1301" s="1"/>
      <x:c r="B1301" s="1"/>
      <x:c r="C1301" s="1"/>
      <x:c r="D1301" s="1"/>
      <x:c r="E1301" s="1"/>
      <x:c r="F1301" s="1"/>
      <x:c r="G1301" s="1"/>
      <x:c r="H1301" s="1"/>
      <x:c r="I1301" s="1"/>
      <x:c r="J1301" s="1"/>
      <x:c r="K1301" s="1"/>
      <x:c r="L1301" s="1"/>
      <x:c r="M1301" s="1"/>
      <x:c r="N1301" s="1"/>
      <x:c r="O1301" s="1"/>
      <x:c r="P1301" s="1"/>
      <x:c r="Q1301" s="1"/>
      <x:c r="R1301" s="1"/>
      <x:c r="S1301" s="1"/>
      <x:c r="T1301" s="1"/>
      <x:c r="U1301" s="1"/>
      <x:c r="V1301" s="1"/>
    </x:row>
    <x:row r="1302">
      <x:c r="A1302" s="1"/>
      <x:c r="B1302" s="1"/>
      <x:c r="C1302" s="1"/>
      <x:c r="D1302" s="1"/>
      <x:c r="E1302" s="1"/>
      <x:c r="F1302" s="1"/>
      <x:c r="G1302" s="1"/>
      <x:c r="H1302" s="1"/>
      <x:c r="I1302" s="1"/>
      <x:c r="J1302" s="1"/>
      <x:c r="K1302" s="1"/>
      <x:c r="L1302" s="1"/>
      <x:c r="M1302" s="1"/>
      <x:c r="N1302" s="1"/>
      <x:c r="O1302" s="1"/>
      <x:c r="P1302" s="1"/>
      <x:c r="Q1302" s="1"/>
      <x:c r="R1302" s="1"/>
      <x:c r="S1302" s="1"/>
      <x:c r="T1302" s="1"/>
      <x:c r="U1302" s="1"/>
      <x:c r="V1302" s="1"/>
    </x:row>
    <x:row r="1303">
      <x:c r="A1303" s="1"/>
      <x:c r="B1303" s="1"/>
      <x:c r="C1303" s="1"/>
      <x:c r="D1303" s="1"/>
      <x:c r="E1303" s="1"/>
      <x:c r="F1303" s="1"/>
      <x:c r="G1303" s="1"/>
      <x:c r="H1303" s="1"/>
      <x:c r="I1303" s="1"/>
      <x:c r="J1303" s="1"/>
      <x:c r="K1303" s="1"/>
      <x:c r="L1303" s="1"/>
      <x:c r="M1303" s="1"/>
      <x:c r="N1303" s="1"/>
      <x:c r="O1303" s="1"/>
      <x:c r="P1303" s="1"/>
      <x:c r="Q1303" s="1"/>
      <x:c r="R1303" s="1"/>
      <x:c r="S1303" s="1"/>
      <x:c r="T1303" s="1"/>
      <x:c r="U1303" s="1"/>
      <x:c r="V1303" s="1"/>
    </x:row>
    <x:row r="1304">
      <x:c r="A1304" s="1"/>
      <x:c r="B1304" s="1"/>
      <x:c r="C1304" s="1"/>
      <x:c r="D1304" s="1"/>
      <x:c r="E1304" s="1"/>
      <x:c r="F1304" s="1"/>
      <x:c r="G1304" s="1"/>
      <x:c r="H1304" s="1"/>
      <x:c r="I1304" s="1"/>
      <x:c r="J1304" s="1"/>
      <x:c r="K1304" s="1"/>
      <x:c r="L1304" s="1"/>
      <x:c r="M1304" s="1"/>
      <x:c r="N1304" s="1"/>
      <x:c r="O1304" s="1"/>
      <x:c r="P1304" s="1"/>
      <x:c r="Q1304" s="1"/>
      <x:c r="R1304" s="1"/>
      <x:c r="S1304" s="1"/>
      <x:c r="T1304" s="1"/>
      <x:c r="U1304" s="1"/>
      <x:c r="V1304" s="1"/>
    </x:row>
    <x:row r="1305">
      <x:c r="A1305" s="1"/>
      <x:c r="B1305" s="1"/>
      <x:c r="C1305" s="1"/>
      <x:c r="D1305" s="1"/>
      <x:c r="E1305" s="1"/>
      <x:c r="F1305" s="1"/>
      <x:c r="G1305" s="1"/>
      <x:c r="H1305" s="1"/>
      <x:c r="I1305" s="1"/>
      <x:c r="J1305" s="1"/>
      <x:c r="K1305" s="1"/>
      <x:c r="L1305" s="1"/>
      <x:c r="M1305" s="1"/>
      <x:c r="N1305" s="1"/>
      <x:c r="O1305" s="1"/>
      <x:c r="P1305" s="1"/>
      <x:c r="Q1305" s="1"/>
      <x:c r="R1305" s="1"/>
      <x:c r="S1305" s="1"/>
      <x:c r="T1305" s="1"/>
      <x:c r="U1305" s="1"/>
      <x:c r="V1305" s="1"/>
    </x:row>
    <x:row r="1306">
      <x:c r="A1306" s="1"/>
      <x:c r="B1306" s="1"/>
      <x:c r="C1306" s="1"/>
      <x:c r="D1306" s="1"/>
      <x:c r="E1306" s="1"/>
      <x:c r="F1306" s="1"/>
      <x:c r="G1306" s="1"/>
      <x:c r="H1306" s="1"/>
      <x:c r="I1306" s="1"/>
      <x:c r="J1306" s="1"/>
      <x:c r="K1306" s="1"/>
      <x:c r="L1306" s="1"/>
      <x:c r="M1306" s="1"/>
      <x:c r="N1306" s="1"/>
      <x:c r="O1306" s="1"/>
      <x:c r="P1306" s="1"/>
      <x:c r="Q1306" s="1"/>
      <x:c r="R1306" s="1"/>
      <x:c r="S1306" s="1"/>
      <x:c r="T1306" s="1"/>
      <x:c r="U1306" s="1"/>
      <x:c r="V1306" s="1"/>
    </x:row>
    <x:row r="1307">
      <x:c r="A1307" s="1"/>
      <x:c r="B1307" s="1"/>
      <x:c r="C1307" s="1"/>
      <x:c r="D1307" s="1"/>
      <x:c r="E1307" s="1"/>
      <x:c r="F1307" s="1"/>
      <x:c r="G1307" s="1"/>
      <x:c r="H1307" s="1"/>
      <x:c r="I1307" s="1"/>
      <x:c r="J1307" s="1"/>
      <x:c r="K1307" s="1"/>
      <x:c r="L1307" s="1"/>
      <x:c r="M1307" s="1"/>
      <x:c r="N1307" s="1"/>
      <x:c r="O1307" s="1"/>
      <x:c r="P1307" s="1"/>
      <x:c r="Q1307" s="1"/>
      <x:c r="R1307" s="1"/>
      <x:c r="S1307" s="1"/>
      <x:c r="T1307" s="1"/>
      <x:c r="U1307" s="1"/>
      <x:c r="V1307" s="1"/>
    </x:row>
    <x:row r="1308">
      <x:c r="A1308" s="1"/>
      <x:c r="B1308" s="1"/>
      <x:c r="C1308" s="1"/>
      <x:c r="D1308" s="1"/>
      <x:c r="E1308" s="1"/>
      <x:c r="F1308" s="1"/>
      <x:c r="G1308" s="1"/>
      <x:c r="H1308" s="1"/>
      <x:c r="I1308" s="1"/>
      <x:c r="J1308" s="1"/>
      <x:c r="K1308" s="1"/>
      <x:c r="L1308" s="1"/>
      <x:c r="M1308" s="1"/>
      <x:c r="N1308" s="1"/>
      <x:c r="O1308" s="1"/>
      <x:c r="P1308" s="1"/>
      <x:c r="Q1308" s="1"/>
      <x:c r="R1308" s="1"/>
      <x:c r="S1308" s="1"/>
      <x:c r="T1308" s="1"/>
      <x:c r="U1308" s="1"/>
      <x:c r="V1308" s="1"/>
    </x:row>
    <x:row r="1309">
      <x:c r="A1309" s="1"/>
      <x:c r="B1309" s="1"/>
      <x:c r="C1309" s="1"/>
      <x:c r="D1309" s="1"/>
      <x:c r="E1309" s="1"/>
      <x:c r="F1309" s="1"/>
      <x:c r="G1309" s="1"/>
      <x:c r="H1309" s="1"/>
      <x:c r="I1309" s="1"/>
      <x:c r="J1309" s="1"/>
      <x:c r="K1309" s="1"/>
      <x:c r="L1309" s="1"/>
      <x:c r="M1309" s="1"/>
      <x:c r="N1309" s="1"/>
      <x:c r="O1309" s="1"/>
      <x:c r="P1309" s="1"/>
      <x:c r="Q1309" s="1"/>
      <x:c r="R1309" s="1"/>
      <x:c r="S1309" s="1"/>
      <x:c r="T1309" s="1"/>
      <x:c r="U1309" s="1"/>
      <x:c r="V1309" s="1"/>
    </x:row>
    <x:row r="1310">
      <x:c r="A1310" s="1"/>
      <x:c r="B1310" s="1"/>
      <x:c r="C1310" s="1"/>
      <x:c r="D1310" s="1"/>
      <x:c r="E1310" s="1"/>
      <x:c r="F1310" s="1"/>
      <x:c r="G1310" s="1"/>
      <x:c r="H1310" s="1"/>
      <x:c r="I1310" s="1"/>
      <x:c r="J1310" s="1"/>
      <x:c r="K1310" s="1"/>
      <x:c r="L1310" s="1"/>
      <x:c r="M1310" s="1"/>
      <x:c r="N1310" s="1"/>
      <x:c r="O1310" s="1"/>
      <x:c r="P1310" s="1"/>
      <x:c r="Q1310" s="1"/>
      <x:c r="R1310" s="1"/>
      <x:c r="S1310" s="1"/>
      <x:c r="T1310" s="1"/>
      <x:c r="U1310" s="1"/>
      <x:c r="V1310" s="1"/>
    </x:row>
    <x:row r="1311">
      <x:c r="A1311" s="1"/>
      <x:c r="B1311" s="1"/>
      <x:c r="C1311" s="1"/>
      <x:c r="D1311" s="1"/>
      <x:c r="E1311" s="1"/>
      <x:c r="F1311" s="1"/>
      <x:c r="G1311" s="1"/>
      <x:c r="H1311" s="1"/>
      <x:c r="I1311" s="1"/>
      <x:c r="J1311" s="1"/>
      <x:c r="K1311" s="1"/>
      <x:c r="L1311" s="1"/>
      <x:c r="M1311" s="1"/>
      <x:c r="N1311" s="1"/>
      <x:c r="O1311" s="1"/>
      <x:c r="P1311" s="1"/>
      <x:c r="Q1311" s="1"/>
      <x:c r="R1311" s="1"/>
      <x:c r="S1311" s="1"/>
      <x:c r="T1311" s="1"/>
      <x:c r="U1311" s="1"/>
      <x:c r="V1311" s="1"/>
    </x:row>
    <x:row r="1312">
      <x:c r="A1312" s="1"/>
      <x:c r="B1312" s="1"/>
      <x:c r="C1312" s="1"/>
      <x:c r="D1312" s="1"/>
      <x:c r="E1312" s="1"/>
      <x:c r="F1312" s="1"/>
      <x:c r="G1312" s="1"/>
      <x:c r="H1312" s="1"/>
      <x:c r="I1312" s="1"/>
      <x:c r="J1312" s="1"/>
      <x:c r="K1312" s="1"/>
      <x:c r="L1312" s="1"/>
      <x:c r="M1312" s="1"/>
      <x:c r="N1312" s="1"/>
      <x:c r="O1312" s="1"/>
      <x:c r="P1312" s="1"/>
      <x:c r="Q1312" s="1"/>
      <x:c r="R1312" s="1"/>
      <x:c r="S1312" s="1"/>
      <x:c r="T1312" s="1"/>
      <x:c r="U1312" s="1"/>
      <x:c r="V1312" s="1"/>
    </x:row>
    <x:row r="1313">
      <x:c r="A1313" s="1"/>
      <x:c r="B1313" s="1"/>
      <x:c r="C1313" s="1"/>
      <x:c r="D1313" s="1"/>
      <x:c r="E1313" s="1"/>
      <x:c r="F1313" s="1"/>
      <x:c r="G1313" s="1"/>
      <x:c r="H1313" s="1"/>
      <x:c r="I1313" s="1"/>
      <x:c r="J1313" s="1"/>
      <x:c r="K1313" s="1"/>
      <x:c r="L1313" s="1"/>
      <x:c r="M1313" s="1"/>
      <x:c r="N1313" s="1"/>
      <x:c r="O1313" s="1"/>
      <x:c r="P1313" s="1"/>
      <x:c r="Q1313" s="1"/>
      <x:c r="R1313" s="1"/>
      <x:c r="S1313" s="1"/>
      <x:c r="T1313" s="1"/>
      <x:c r="U1313" s="1"/>
      <x:c r="V1313" s="1"/>
    </x:row>
    <x:row r="1314">
      <x:c r="A1314" s="1"/>
      <x:c r="B1314" s="1"/>
      <x:c r="C1314" s="1"/>
      <x:c r="D1314" s="1"/>
      <x:c r="E1314" s="1"/>
      <x:c r="F1314" s="1"/>
      <x:c r="G1314" s="1"/>
      <x:c r="H1314" s="1"/>
      <x:c r="I1314" s="1"/>
      <x:c r="J1314" s="1"/>
      <x:c r="K1314" s="1"/>
      <x:c r="L1314" s="1"/>
      <x:c r="M1314" s="1"/>
      <x:c r="N1314" s="1"/>
      <x:c r="O1314" s="1"/>
      <x:c r="P1314" s="1"/>
      <x:c r="Q1314" s="1"/>
      <x:c r="R1314" s="1"/>
      <x:c r="S1314" s="1"/>
      <x:c r="T1314" s="1"/>
      <x:c r="U1314" s="1"/>
      <x:c r="V1314" s="1"/>
    </x:row>
    <x:row r="1315">
      <x:c r="A1315" s="1"/>
      <x:c r="B1315" s="1"/>
      <x:c r="C1315" s="1"/>
      <x:c r="D1315" s="1"/>
      <x:c r="E1315" s="1"/>
      <x:c r="F1315" s="1"/>
      <x:c r="G1315" s="1"/>
      <x:c r="H1315" s="1"/>
      <x:c r="I1315" s="1"/>
      <x:c r="J1315" s="1"/>
      <x:c r="K1315" s="1"/>
      <x:c r="L1315" s="1"/>
      <x:c r="M1315" s="1"/>
      <x:c r="N1315" s="1"/>
      <x:c r="O1315" s="1"/>
      <x:c r="P1315" s="1"/>
      <x:c r="Q1315" s="1"/>
      <x:c r="R1315" s="1"/>
      <x:c r="S1315" s="1"/>
      <x:c r="T1315" s="1"/>
      <x:c r="U1315" s="1"/>
      <x:c r="V1315" s="1"/>
    </x:row>
    <x:row r="1316">
      <x:c r="A1316" s="1"/>
      <x:c r="B1316" s="1"/>
      <x:c r="C1316" s="1"/>
      <x:c r="D1316" s="1"/>
      <x:c r="E1316" s="1"/>
      <x:c r="F1316" s="1"/>
      <x:c r="G1316" s="1"/>
      <x:c r="H1316" s="1"/>
      <x:c r="I1316" s="1"/>
      <x:c r="J1316" s="1"/>
      <x:c r="K1316" s="1"/>
      <x:c r="L1316" s="1"/>
      <x:c r="M1316" s="1"/>
      <x:c r="N1316" s="1"/>
      <x:c r="O1316" s="1"/>
      <x:c r="P1316" s="1"/>
      <x:c r="Q1316" s="1"/>
      <x:c r="R1316" s="1"/>
      <x:c r="S1316" s="1"/>
      <x:c r="T1316" s="1"/>
      <x:c r="U1316" s="1"/>
      <x:c r="V1316" s="1"/>
    </x:row>
    <x:row r="1317">
      <x:c r="A1317" s="1"/>
      <x:c r="B1317" s="1"/>
      <x:c r="C1317" s="1"/>
      <x:c r="D1317" s="1"/>
      <x:c r="E1317" s="1"/>
      <x:c r="F1317" s="1"/>
      <x:c r="G1317" s="1"/>
      <x:c r="H1317" s="1"/>
      <x:c r="I1317" s="1"/>
      <x:c r="J1317" s="1"/>
      <x:c r="K1317" s="1"/>
      <x:c r="L1317" s="1"/>
      <x:c r="M1317" s="1"/>
      <x:c r="N1317" s="1"/>
      <x:c r="O1317" s="1"/>
      <x:c r="P1317" s="1"/>
      <x:c r="Q1317" s="1"/>
      <x:c r="R1317" s="1"/>
      <x:c r="S1317" s="1"/>
      <x:c r="T1317" s="1"/>
      <x:c r="U1317" s="1"/>
      <x:c r="V1317" s="1"/>
    </x:row>
    <x:row r="1318">
      <x:c r="A1318" s="1"/>
      <x:c r="B1318" s="1"/>
      <x:c r="C1318" s="1"/>
      <x:c r="D1318" s="1"/>
      <x:c r="E1318" s="1"/>
      <x:c r="F1318" s="1"/>
      <x:c r="G1318" s="1"/>
      <x:c r="H1318" s="1"/>
      <x:c r="I1318" s="1"/>
      <x:c r="J1318" s="1"/>
      <x:c r="K1318" s="1"/>
      <x:c r="L1318" s="1"/>
      <x:c r="M1318" s="1"/>
      <x:c r="N1318" s="1"/>
      <x:c r="O1318" s="1"/>
      <x:c r="P1318" s="1"/>
      <x:c r="Q1318" s="1"/>
      <x:c r="R1318" s="1"/>
      <x:c r="S1318" s="1"/>
      <x:c r="T1318" s="1"/>
      <x:c r="U1318" s="1"/>
      <x:c r="V1318" s="1"/>
    </x:row>
    <x:row r="1319">
      <x:c r="A1319" s="1"/>
      <x:c r="B1319" s="1"/>
      <x:c r="C1319" s="1"/>
      <x:c r="D1319" s="1"/>
      <x:c r="E1319" s="1"/>
      <x:c r="F1319" s="1"/>
      <x:c r="G1319" s="1"/>
      <x:c r="H1319" s="1"/>
      <x:c r="I1319" s="1"/>
      <x:c r="J1319" s="1"/>
      <x:c r="K1319" s="1"/>
      <x:c r="L1319" s="1"/>
      <x:c r="M1319" s="1"/>
      <x:c r="N1319" s="1"/>
      <x:c r="O1319" s="1"/>
      <x:c r="P1319" s="1"/>
      <x:c r="Q1319" s="1"/>
      <x:c r="R1319" s="1"/>
      <x:c r="S1319" s="1"/>
      <x:c r="T1319" s="1"/>
      <x:c r="U1319" s="1"/>
      <x:c r="V1319" s="1"/>
    </x:row>
    <x:row r="1320">
      <x:c r="A1320" s="1"/>
      <x:c r="B1320" s="1"/>
      <x:c r="C1320" s="1"/>
      <x:c r="D1320" s="1"/>
      <x:c r="E1320" s="1"/>
      <x:c r="F1320" s="1"/>
      <x:c r="G1320" s="1"/>
      <x:c r="H1320" s="1"/>
      <x:c r="I1320" s="1"/>
      <x:c r="J1320" s="1"/>
      <x:c r="K1320" s="1"/>
      <x:c r="L1320" s="1"/>
      <x:c r="M1320" s="1"/>
      <x:c r="N1320" s="1"/>
      <x:c r="O1320" s="1"/>
      <x:c r="P1320" s="1"/>
      <x:c r="Q1320" s="1"/>
      <x:c r="R1320" s="1"/>
      <x:c r="S1320" s="1"/>
      <x:c r="T1320" s="1"/>
      <x:c r="U1320" s="1"/>
      <x:c r="V1320" s="1"/>
    </x:row>
    <x:row r="1321">
      <x:c r="A1321" s="1"/>
      <x:c r="B1321" s="1"/>
      <x:c r="C1321" s="1"/>
      <x:c r="D1321" s="1"/>
      <x:c r="E1321" s="1"/>
      <x:c r="F1321" s="1"/>
      <x:c r="G1321" s="1"/>
      <x:c r="H1321" s="1"/>
      <x:c r="I1321" s="1"/>
      <x:c r="J1321" s="1"/>
      <x:c r="K1321" s="1"/>
      <x:c r="L1321" s="1"/>
      <x:c r="M1321" s="1"/>
      <x:c r="N1321" s="1"/>
      <x:c r="O1321" s="1"/>
      <x:c r="P1321" s="1"/>
      <x:c r="Q1321" s="1"/>
      <x:c r="R1321" s="1"/>
      <x:c r="S1321" s="1"/>
      <x:c r="T1321" s="1"/>
      <x:c r="U1321" s="1"/>
      <x:c r="V1321" s="1"/>
    </x:row>
    <x:row r="1322">
      <x:c r="A1322" s="1"/>
      <x:c r="B1322" s="1"/>
      <x:c r="C1322" s="1"/>
      <x:c r="D1322" s="1"/>
      <x:c r="E1322" s="1"/>
      <x:c r="F1322" s="1"/>
      <x:c r="G1322" s="1"/>
      <x:c r="H1322" s="1"/>
      <x:c r="I1322" s="1"/>
      <x:c r="J1322" s="1"/>
      <x:c r="K1322" s="1"/>
      <x:c r="L1322" s="1"/>
      <x:c r="M1322" s="1"/>
      <x:c r="N1322" s="1"/>
      <x:c r="O1322" s="1"/>
      <x:c r="P1322" s="1"/>
      <x:c r="Q1322" s="1"/>
      <x:c r="R1322" s="1"/>
      <x:c r="S1322" s="1"/>
      <x:c r="T1322" s="1"/>
      <x:c r="U1322" s="1"/>
      <x:c r="V1322" s="1"/>
    </x:row>
    <x:row r="1323">
      <x:c r="A1323" s="1"/>
      <x:c r="B1323" s="1"/>
      <x:c r="C1323" s="1"/>
      <x:c r="D1323" s="1"/>
      <x:c r="E1323" s="1"/>
      <x:c r="F1323" s="1"/>
      <x:c r="G1323" s="1"/>
      <x:c r="H1323" s="1"/>
      <x:c r="I1323" s="1"/>
      <x:c r="J1323" s="1"/>
      <x:c r="K1323" s="1"/>
      <x:c r="L1323" s="1"/>
      <x:c r="M1323" s="1"/>
      <x:c r="N1323" s="1"/>
      <x:c r="O1323" s="1"/>
      <x:c r="P1323" s="1"/>
      <x:c r="Q1323" s="1"/>
      <x:c r="R1323" s="1"/>
      <x:c r="S1323" s="1"/>
      <x:c r="T1323" s="1"/>
      <x:c r="U1323" s="1"/>
      <x:c r="V1323" s="1"/>
    </x:row>
    <x:row r="1324">
      <x:c r="A1324" s="1"/>
      <x:c r="B1324" s="1"/>
      <x:c r="C1324" s="1"/>
      <x:c r="D1324" s="1"/>
      <x:c r="E1324" s="1"/>
      <x:c r="F1324" s="1"/>
      <x:c r="G1324" s="1"/>
      <x:c r="H1324" s="1"/>
      <x:c r="I1324" s="1"/>
      <x:c r="J1324" s="1"/>
      <x:c r="K1324" s="1"/>
      <x:c r="L1324" s="1"/>
      <x:c r="M1324" s="1"/>
      <x:c r="N1324" s="1"/>
      <x:c r="O1324" s="1"/>
      <x:c r="P1324" s="1"/>
      <x:c r="Q1324" s="1"/>
      <x:c r="R1324" s="1"/>
      <x:c r="S1324" s="1"/>
      <x:c r="T1324" s="1"/>
      <x:c r="U1324" s="1"/>
      <x:c r="V1324" s="1"/>
    </x:row>
    <x:row r="1325">
      <x:c r="A1325" s="1"/>
      <x:c r="B1325" s="1"/>
      <x:c r="C1325" s="1"/>
      <x:c r="D1325" s="1"/>
      <x:c r="E1325" s="1"/>
      <x:c r="F1325" s="1"/>
      <x:c r="G1325" s="1"/>
      <x:c r="H1325" s="1"/>
      <x:c r="I1325" s="1"/>
      <x:c r="J1325" s="1"/>
      <x:c r="K1325" s="1"/>
      <x:c r="L1325" s="1"/>
      <x:c r="M1325" s="1"/>
      <x:c r="N1325" s="1"/>
      <x:c r="O1325" s="1"/>
      <x:c r="P1325" s="1"/>
      <x:c r="Q1325" s="1"/>
      <x:c r="R1325" s="1"/>
      <x:c r="S1325" s="1"/>
      <x:c r="T1325" s="1"/>
      <x:c r="U1325" s="1"/>
      <x:c r="V1325" s="1"/>
    </x:row>
    <x:row r="1326">
      <x:c r="A1326" s="1"/>
      <x:c r="B1326" s="1"/>
      <x:c r="C1326" s="1"/>
      <x:c r="D1326" s="1"/>
      <x:c r="E1326" s="1"/>
      <x:c r="F1326" s="1"/>
      <x:c r="G1326" s="1"/>
      <x:c r="H1326" s="1"/>
      <x:c r="I1326" s="1"/>
      <x:c r="J1326" s="1"/>
      <x:c r="K1326" s="1"/>
      <x:c r="L1326" s="1"/>
      <x:c r="M1326" s="1"/>
      <x:c r="N1326" s="1"/>
      <x:c r="O1326" s="1"/>
      <x:c r="P1326" s="1"/>
      <x:c r="Q1326" s="1"/>
      <x:c r="R1326" s="1"/>
      <x:c r="S1326" s="1"/>
      <x:c r="T1326" s="1"/>
      <x:c r="U1326" s="1"/>
      <x:c r="V1326" s="1"/>
    </x:row>
    <x:row r="1327">
      <x:c r="A1327" s="1"/>
      <x:c r="B1327" s="1"/>
      <x:c r="C1327" s="1"/>
      <x:c r="D1327" s="1"/>
      <x:c r="E1327" s="1"/>
      <x:c r="F1327" s="1"/>
      <x:c r="G1327" s="1"/>
      <x:c r="H1327" s="1"/>
      <x:c r="I1327" s="1"/>
      <x:c r="J1327" s="1"/>
      <x:c r="K1327" s="1"/>
      <x:c r="L1327" s="1"/>
      <x:c r="M1327" s="1"/>
      <x:c r="N1327" s="1"/>
      <x:c r="O1327" s="1"/>
      <x:c r="P1327" s="1"/>
      <x:c r="Q1327" s="1"/>
      <x:c r="R1327" s="1"/>
      <x:c r="S1327" s="1"/>
      <x:c r="T1327" s="1"/>
      <x:c r="U1327" s="1"/>
      <x:c r="V1327" s="1"/>
    </x:row>
    <x:row r="1328">
      <x:c r="A1328" s="1"/>
      <x:c r="B1328" s="1"/>
      <x:c r="C1328" s="1"/>
      <x:c r="D1328" s="1"/>
      <x:c r="E1328" s="1"/>
      <x:c r="F1328" s="1"/>
      <x:c r="G1328" s="1"/>
      <x:c r="H1328" s="1"/>
      <x:c r="I1328" s="1"/>
      <x:c r="J1328" s="1"/>
      <x:c r="K1328" s="1"/>
      <x:c r="L1328" s="1"/>
      <x:c r="M1328" s="1"/>
      <x:c r="N1328" s="1"/>
      <x:c r="O1328" s="1"/>
      <x:c r="P1328" s="1"/>
      <x:c r="Q1328" s="1"/>
      <x:c r="R1328" s="1"/>
      <x:c r="S1328" s="1"/>
      <x:c r="T1328" s="1"/>
      <x:c r="U1328" s="1"/>
      <x:c r="V1328" s="1"/>
    </x:row>
    <x:row r="1329">
      <x:c r="A1329" s="1"/>
      <x:c r="B1329" s="1"/>
      <x:c r="C1329" s="1"/>
      <x:c r="D1329" s="1"/>
      <x:c r="E1329" s="1"/>
      <x:c r="F1329" s="1"/>
      <x:c r="G1329" s="1"/>
      <x:c r="H1329" s="1"/>
      <x:c r="I1329" s="1"/>
      <x:c r="J1329" s="1"/>
      <x:c r="K1329" s="1"/>
      <x:c r="L1329" s="1"/>
      <x:c r="M1329" s="1"/>
      <x:c r="N1329" s="1"/>
      <x:c r="O1329" s="1"/>
      <x:c r="P1329" s="1"/>
      <x:c r="Q1329" s="1"/>
      <x:c r="R1329" s="1"/>
      <x:c r="S1329" s="1"/>
      <x:c r="T1329" s="1"/>
      <x:c r="U1329" s="1"/>
      <x:c r="V1329" s="1"/>
    </x:row>
    <x:row r="1330">
      <x:c r="A1330" s="1"/>
      <x:c r="B1330" s="1"/>
      <x:c r="C1330" s="1"/>
      <x:c r="D1330" s="1"/>
      <x:c r="E1330" s="1"/>
      <x:c r="F1330" s="1"/>
      <x:c r="G1330" s="1"/>
      <x:c r="H1330" s="1"/>
      <x:c r="I1330" s="1"/>
      <x:c r="J1330" s="1"/>
      <x:c r="K1330" s="1"/>
      <x:c r="L1330" s="1"/>
      <x:c r="M1330" s="1"/>
      <x:c r="N1330" s="1"/>
      <x:c r="O1330" s="1"/>
      <x:c r="P1330" s="1"/>
      <x:c r="Q1330" s="1"/>
      <x:c r="R1330" s="1"/>
      <x:c r="S1330" s="1"/>
      <x:c r="T1330" s="1"/>
      <x:c r="U1330" s="1"/>
      <x:c r="V1330" s="1"/>
    </x:row>
    <x:row r="1331">
      <x:c r="A1331" s="1"/>
      <x:c r="B1331" s="1"/>
      <x:c r="C1331" s="1"/>
      <x:c r="D1331" s="1"/>
      <x:c r="E1331" s="1"/>
      <x:c r="F1331" s="1"/>
      <x:c r="G1331" s="1"/>
      <x:c r="H1331" s="1"/>
      <x:c r="I1331" s="1"/>
      <x:c r="J1331" s="1"/>
      <x:c r="K1331" s="1"/>
      <x:c r="L1331" s="1"/>
      <x:c r="M1331" s="1"/>
      <x:c r="N1331" s="1"/>
      <x:c r="O1331" s="1"/>
      <x:c r="P1331" s="1"/>
      <x:c r="Q1331" s="1"/>
      <x:c r="R1331" s="1"/>
      <x:c r="S1331" s="1"/>
      <x:c r="T1331" s="1"/>
      <x:c r="U1331" s="1"/>
      <x:c r="V1331" s="1"/>
    </x:row>
    <x:row r="1332">
      <x:c r="A1332" s="1"/>
      <x:c r="B1332" s="1"/>
      <x:c r="C1332" s="1"/>
      <x:c r="D1332" s="1"/>
      <x:c r="E1332" s="1"/>
      <x:c r="F1332" s="1"/>
      <x:c r="G1332" s="1"/>
      <x:c r="H1332" s="1"/>
      <x:c r="I1332" s="1"/>
      <x:c r="J1332" s="1"/>
      <x:c r="K1332" s="1"/>
      <x:c r="L1332" s="1"/>
      <x:c r="M1332" s="1"/>
      <x:c r="N1332" s="1"/>
      <x:c r="O1332" s="1"/>
      <x:c r="P1332" s="1"/>
      <x:c r="Q1332" s="1"/>
      <x:c r="R1332" s="1"/>
      <x:c r="S1332" s="1"/>
      <x:c r="T1332" s="1"/>
      <x:c r="U1332" s="1"/>
      <x:c r="V1332" s="1"/>
    </x:row>
    <x:row r="1333">
      <x:c r="A1333" s="1"/>
      <x:c r="B1333" s="1"/>
      <x:c r="C1333" s="1"/>
      <x:c r="D1333" s="1"/>
      <x:c r="E1333" s="1"/>
      <x:c r="F1333" s="1"/>
      <x:c r="G1333" s="1"/>
      <x:c r="H1333" s="1"/>
      <x:c r="I1333" s="1"/>
      <x:c r="J1333" s="1"/>
      <x:c r="K1333" s="1"/>
      <x:c r="L1333" s="1"/>
      <x:c r="M1333" s="1"/>
      <x:c r="N1333" s="1"/>
      <x:c r="O1333" s="1"/>
      <x:c r="P1333" s="1"/>
      <x:c r="Q1333" s="1"/>
      <x:c r="R1333" s="1"/>
      <x:c r="S1333" s="1"/>
      <x:c r="T1333" s="1"/>
      <x:c r="U1333" s="1"/>
      <x:c r="V1333" s="1"/>
    </x:row>
    <x:row r="1334">
      <x:c r="A1334" s="1"/>
      <x:c r="B1334" s="1"/>
      <x:c r="C1334" s="1"/>
      <x:c r="D1334" s="1"/>
      <x:c r="E1334" s="1"/>
      <x:c r="F1334" s="1"/>
      <x:c r="G1334" s="1"/>
      <x:c r="H1334" s="1"/>
      <x:c r="I1334" s="1"/>
      <x:c r="J1334" s="1"/>
      <x:c r="K1334" s="1"/>
      <x:c r="L1334" s="1"/>
      <x:c r="M1334" s="1"/>
      <x:c r="N1334" s="1"/>
      <x:c r="O1334" s="1"/>
      <x:c r="P1334" s="1"/>
      <x:c r="Q1334" s="1"/>
      <x:c r="R1334" s="1"/>
      <x:c r="S1334" s="1"/>
      <x:c r="T1334" s="1"/>
      <x:c r="U1334" s="1"/>
      <x:c r="V1334" s="1"/>
    </x:row>
    <x:row r="1335">
      <x:c r="A1335" s="1"/>
      <x:c r="B1335" s="1"/>
      <x:c r="C1335" s="1"/>
      <x:c r="D1335" s="1"/>
      <x:c r="E1335" s="1"/>
      <x:c r="F1335" s="1"/>
      <x:c r="G1335" s="1"/>
      <x:c r="H1335" s="1"/>
      <x:c r="I1335" s="1"/>
      <x:c r="J1335" s="1"/>
      <x:c r="K1335" s="1"/>
      <x:c r="L1335" s="1"/>
      <x:c r="M1335" s="1"/>
      <x:c r="N1335" s="1"/>
      <x:c r="O1335" s="1"/>
      <x:c r="P1335" s="1"/>
      <x:c r="Q1335" s="1"/>
      <x:c r="R1335" s="1"/>
      <x:c r="S1335" s="1"/>
      <x:c r="T1335" s="1"/>
      <x:c r="U1335" s="1"/>
      <x:c r="V1335" s="1"/>
    </x:row>
    <x:row r="1336">
      <x:c r="A1336" s="1"/>
      <x:c r="B1336" s="1"/>
      <x:c r="C1336" s="1"/>
      <x:c r="D1336" s="1"/>
      <x:c r="E1336" s="1"/>
      <x:c r="F1336" s="1"/>
      <x:c r="G1336" s="1"/>
      <x:c r="H1336" s="1"/>
      <x:c r="I1336" s="1"/>
      <x:c r="J1336" s="1"/>
      <x:c r="K1336" s="1"/>
      <x:c r="L1336" s="1"/>
      <x:c r="M1336" s="1"/>
      <x:c r="N1336" s="1"/>
      <x:c r="O1336" s="1"/>
      <x:c r="P1336" s="1"/>
      <x:c r="Q1336" s="1"/>
      <x:c r="R1336" s="1"/>
      <x:c r="S1336" s="1"/>
      <x:c r="T1336" s="1"/>
      <x:c r="U1336" s="1"/>
      <x:c r="V1336" s="1"/>
    </x:row>
    <x:row r="1337">
      <x:c r="A1337" s="1"/>
      <x:c r="B1337" s="1"/>
      <x:c r="C1337" s="1"/>
      <x:c r="D1337" s="1"/>
      <x:c r="E1337" s="1"/>
      <x:c r="F1337" s="1"/>
      <x:c r="G1337" s="1"/>
      <x:c r="H1337" s="1"/>
      <x:c r="I1337" s="1"/>
      <x:c r="J1337" s="1"/>
      <x:c r="K1337" s="1"/>
      <x:c r="L1337" s="1"/>
      <x:c r="M1337" s="1"/>
      <x:c r="N1337" s="1"/>
      <x:c r="O1337" s="1"/>
      <x:c r="P1337" s="1"/>
      <x:c r="Q1337" s="1"/>
      <x:c r="R1337" s="1"/>
      <x:c r="S1337" s="1"/>
      <x:c r="T1337" s="1"/>
      <x:c r="U1337" s="1"/>
      <x:c r="V1337" s="1"/>
    </x:row>
    <x:row r="1338">
      <x:c r="A1338" s="1"/>
      <x:c r="B1338" s="1"/>
      <x:c r="C1338" s="1"/>
      <x:c r="D1338" s="1"/>
      <x:c r="E1338" s="1"/>
      <x:c r="F1338" s="1"/>
      <x:c r="G1338" s="1"/>
      <x:c r="H1338" s="1"/>
      <x:c r="I1338" s="1"/>
      <x:c r="J1338" s="1"/>
      <x:c r="K1338" s="1"/>
      <x:c r="L1338" s="1"/>
      <x:c r="M1338" s="1"/>
      <x:c r="N1338" s="1"/>
      <x:c r="O1338" s="1"/>
      <x:c r="P1338" s="1"/>
      <x:c r="Q1338" s="1"/>
      <x:c r="R1338" s="1"/>
      <x:c r="S1338" s="1"/>
      <x:c r="T1338" s="1"/>
      <x:c r="U1338" s="1"/>
      <x:c r="V1338" s="1"/>
    </x:row>
    <x:row r="1339">
      <x:c r="A1339" s="1"/>
      <x:c r="B1339" s="1"/>
      <x:c r="C1339" s="1"/>
      <x:c r="D1339" s="1"/>
      <x:c r="E1339" s="1"/>
      <x:c r="F1339" s="1"/>
      <x:c r="G1339" s="1"/>
      <x:c r="H1339" s="1"/>
      <x:c r="I1339" s="1"/>
      <x:c r="J1339" s="1"/>
      <x:c r="K1339" s="1"/>
      <x:c r="L1339" s="1"/>
      <x:c r="M1339" s="1"/>
      <x:c r="N1339" s="1"/>
      <x:c r="O1339" s="1"/>
      <x:c r="P1339" s="1"/>
      <x:c r="Q1339" s="1"/>
      <x:c r="R1339" s="1"/>
      <x:c r="S1339" s="1"/>
      <x:c r="T1339" s="1"/>
      <x:c r="U1339" s="1"/>
      <x:c r="V1339" s="1"/>
    </x:row>
    <x:row r="1340">
      <x:c r="A1340" s="1"/>
      <x:c r="B1340" s="1"/>
      <x:c r="C1340" s="1"/>
      <x:c r="D1340" s="1"/>
      <x:c r="E1340" s="1"/>
      <x:c r="F1340" s="1"/>
      <x:c r="G1340" s="1"/>
      <x:c r="H1340" s="1"/>
      <x:c r="I1340" s="1"/>
      <x:c r="J1340" s="1"/>
      <x:c r="K1340" s="1"/>
      <x:c r="L1340" s="1"/>
      <x:c r="M1340" s="1"/>
      <x:c r="N1340" s="1"/>
      <x:c r="O1340" s="1"/>
      <x:c r="P1340" s="1"/>
      <x:c r="Q1340" s="1"/>
      <x:c r="R1340" s="1"/>
      <x:c r="S1340" s="1"/>
      <x:c r="T1340" s="1"/>
      <x:c r="U1340" s="1"/>
      <x:c r="V1340" s="1"/>
    </x:row>
    <x:row r="1341">
      <x:c r="A1341" s="1"/>
      <x:c r="B1341" s="1"/>
      <x:c r="C1341" s="1"/>
      <x:c r="D1341" s="1"/>
      <x:c r="E1341" s="1"/>
      <x:c r="F1341" s="1"/>
      <x:c r="G1341" s="1"/>
      <x:c r="H1341" s="1"/>
      <x:c r="I1341" s="1"/>
      <x:c r="J1341" s="1"/>
      <x:c r="K1341" s="1"/>
      <x:c r="L1341" s="1"/>
      <x:c r="M1341" s="1"/>
      <x:c r="N1341" s="1"/>
      <x:c r="O1341" s="1"/>
      <x:c r="P1341" s="1"/>
      <x:c r="Q1341" s="1"/>
      <x:c r="R1341" s="1"/>
      <x:c r="S1341" s="1"/>
      <x:c r="T1341" s="1"/>
      <x:c r="U1341" s="1"/>
      <x:c r="V1341" s="1"/>
    </x:row>
    <x:row r="1342">
      <x:c r="A1342" s="1"/>
      <x:c r="B1342" s="1"/>
      <x:c r="C1342" s="1"/>
      <x:c r="D1342" s="1"/>
      <x:c r="E1342" s="1"/>
      <x:c r="F1342" s="1"/>
      <x:c r="G1342" s="1"/>
      <x:c r="H1342" s="1"/>
      <x:c r="I1342" s="1"/>
      <x:c r="J1342" s="1"/>
      <x:c r="K1342" s="1"/>
      <x:c r="L1342" s="1"/>
      <x:c r="M1342" s="1"/>
      <x:c r="N1342" s="1"/>
      <x:c r="O1342" s="1"/>
      <x:c r="P1342" s="1"/>
      <x:c r="Q1342" s="1"/>
      <x:c r="R1342" s="1"/>
      <x:c r="S1342" s="1"/>
      <x:c r="T1342" s="1"/>
      <x:c r="U1342" s="1"/>
      <x:c r="V1342" s="1"/>
    </x:row>
    <x:row r="1343">
      <x:c r="A1343" s="1"/>
      <x:c r="B1343" s="1"/>
      <x:c r="C1343" s="1"/>
      <x:c r="D1343" s="1"/>
      <x:c r="E1343" s="1"/>
      <x:c r="F1343" s="1"/>
      <x:c r="G1343" s="1"/>
      <x:c r="H1343" s="1"/>
      <x:c r="I1343" s="1"/>
      <x:c r="J1343" s="1"/>
      <x:c r="K1343" s="1"/>
      <x:c r="L1343" s="1"/>
      <x:c r="M1343" s="1"/>
      <x:c r="N1343" s="1"/>
      <x:c r="O1343" s="1"/>
      <x:c r="P1343" s="1"/>
      <x:c r="Q1343" s="1"/>
      <x:c r="R1343" s="1"/>
      <x:c r="S1343" s="1"/>
      <x:c r="T1343" s="1"/>
      <x:c r="U1343" s="1"/>
      <x:c r="V1343" s="1"/>
    </x:row>
    <x:row r="1344">
      <x:c r="A1344" s="1"/>
      <x:c r="B1344" s="1"/>
      <x:c r="C1344" s="1"/>
      <x:c r="D1344" s="1"/>
      <x:c r="E1344" s="1"/>
      <x:c r="F1344" s="1"/>
      <x:c r="G1344" s="1"/>
      <x:c r="H1344" s="1"/>
      <x:c r="I1344" s="1"/>
      <x:c r="J1344" s="1"/>
      <x:c r="K1344" s="1"/>
      <x:c r="L1344" s="1"/>
      <x:c r="M1344" s="1"/>
      <x:c r="N1344" s="1"/>
      <x:c r="O1344" s="1"/>
      <x:c r="P1344" s="1"/>
      <x:c r="Q1344" s="1"/>
      <x:c r="R1344" s="1"/>
      <x:c r="S1344" s="1"/>
      <x:c r="T1344" s="1"/>
      <x:c r="U1344" s="1"/>
      <x:c r="V1344" s="1"/>
    </x:row>
    <x:row r="1345">
      <x:c r="A1345" s="1"/>
      <x:c r="B1345" s="1"/>
      <x:c r="C1345" s="1"/>
      <x:c r="D1345" s="1"/>
      <x:c r="E1345" s="1"/>
      <x:c r="F1345" s="1"/>
      <x:c r="G1345" s="1"/>
      <x:c r="H1345" s="1"/>
      <x:c r="I1345" s="1"/>
      <x:c r="J1345" s="1"/>
      <x:c r="K1345" s="1"/>
      <x:c r="L1345" s="1"/>
      <x:c r="M1345" s="1"/>
      <x:c r="N1345" s="1"/>
      <x:c r="O1345" s="1"/>
      <x:c r="P1345" s="1"/>
      <x:c r="Q1345" s="1"/>
      <x:c r="R1345" s="1"/>
      <x:c r="S1345" s="1"/>
      <x:c r="T1345" s="1"/>
      <x:c r="U1345" s="1"/>
      <x:c r="V1345" s="1"/>
    </x:row>
    <x:row r="1346">
      <x:c r="A1346" s="1"/>
      <x:c r="B1346" s="1"/>
      <x:c r="C1346" s="1"/>
      <x:c r="D1346" s="1"/>
      <x:c r="E1346" s="1"/>
      <x:c r="F1346" s="1"/>
      <x:c r="G1346" s="1"/>
      <x:c r="H1346" s="1"/>
      <x:c r="I1346" s="1"/>
      <x:c r="J1346" s="1"/>
      <x:c r="K1346" s="1"/>
      <x:c r="L1346" s="1"/>
      <x:c r="M1346" s="1"/>
      <x:c r="N1346" s="1"/>
      <x:c r="O1346" s="1"/>
      <x:c r="P1346" s="1"/>
      <x:c r="Q1346" s="1"/>
      <x:c r="R1346" s="1"/>
      <x:c r="S1346" s="1"/>
      <x:c r="T1346" s="1"/>
      <x:c r="U1346" s="1"/>
      <x:c r="V1346" s="1"/>
    </x:row>
    <x:row r="1347">
      <x:c r="A1347" s="1"/>
      <x:c r="B1347" s="1"/>
      <x:c r="C1347" s="1"/>
      <x:c r="D1347" s="1"/>
      <x:c r="E1347" s="1"/>
      <x:c r="F1347" s="1"/>
      <x:c r="G1347" s="1"/>
      <x:c r="H1347" s="1"/>
      <x:c r="I1347" s="1"/>
      <x:c r="J1347" s="1"/>
      <x:c r="K1347" s="1"/>
      <x:c r="L1347" s="1"/>
      <x:c r="M1347" s="1"/>
      <x:c r="N1347" s="1"/>
      <x:c r="O1347" s="1"/>
      <x:c r="P1347" s="1"/>
      <x:c r="Q1347" s="1"/>
      <x:c r="R1347" s="1"/>
      <x:c r="S1347" s="1"/>
      <x:c r="T1347" s="1"/>
      <x:c r="U1347" s="1"/>
      <x:c r="V1347" s="1"/>
    </x:row>
    <x:row r="1348">
      <x:c r="A1348" s="1"/>
      <x:c r="B1348" s="1"/>
      <x:c r="C1348" s="1"/>
      <x:c r="D1348" s="1"/>
      <x:c r="E1348" s="1"/>
      <x:c r="F1348" s="1"/>
      <x:c r="G1348" s="1"/>
      <x:c r="H1348" s="1"/>
      <x:c r="I1348" s="1"/>
      <x:c r="J1348" s="1"/>
      <x:c r="K1348" s="1"/>
      <x:c r="L1348" s="1"/>
      <x:c r="M1348" s="1"/>
      <x:c r="N1348" s="1"/>
      <x:c r="O1348" s="1"/>
      <x:c r="P1348" s="1"/>
      <x:c r="Q1348" s="1"/>
      <x:c r="R1348" s="1"/>
      <x:c r="S1348" s="1"/>
      <x:c r="T1348" s="1"/>
      <x:c r="U1348" s="1"/>
      <x:c r="V1348" s="1"/>
    </x:row>
    <x:row r="1349">
      <x:c r="A1349" s="1"/>
      <x:c r="B1349" s="1"/>
      <x:c r="C1349" s="1"/>
      <x:c r="D1349" s="1"/>
      <x:c r="E1349" s="1"/>
      <x:c r="F1349" s="1"/>
      <x:c r="G1349" s="1"/>
      <x:c r="H1349" s="1"/>
      <x:c r="I1349" s="1"/>
      <x:c r="J1349" s="1"/>
      <x:c r="K1349" s="1"/>
      <x:c r="L1349" s="1"/>
      <x:c r="M1349" s="1"/>
      <x:c r="N1349" s="1"/>
      <x:c r="O1349" s="1"/>
      <x:c r="P1349" s="1"/>
      <x:c r="Q1349" s="1"/>
      <x:c r="R1349" s="1"/>
      <x:c r="S1349" s="1"/>
      <x:c r="T1349" s="1"/>
      <x:c r="U1349" s="1"/>
      <x:c r="V1349" s="1"/>
    </x:row>
    <x:row r="1350">
      <x:c r="A1350" s="1"/>
      <x:c r="B1350" s="1"/>
      <x:c r="C1350" s="1"/>
      <x:c r="D1350" s="1"/>
      <x:c r="E1350" s="1"/>
      <x:c r="F1350" s="1"/>
      <x:c r="G1350" s="1"/>
      <x:c r="H1350" s="1"/>
      <x:c r="I1350" s="1"/>
      <x:c r="J1350" s="1"/>
      <x:c r="K1350" s="1"/>
      <x:c r="L1350" s="1"/>
      <x:c r="M1350" s="1"/>
      <x:c r="N1350" s="1"/>
      <x:c r="O1350" s="1"/>
      <x:c r="P1350" s="1"/>
      <x:c r="Q1350" s="1"/>
      <x:c r="R1350" s="1"/>
      <x:c r="S1350" s="1"/>
      <x:c r="T1350" s="1"/>
      <x:c r="U1350" s="1"/>
      <x:c r="V1350" s="1"/>
    </x:row>
    <x:row r="1351">
      <x:c r="A1351" s="1"/>
      <x:c r="B1351" s="1"/>
      <x:c r="C1351" s="1"/>
      <x:c r="D1351" s="1"/>
      <x:c r="E1351" s="1"/>
      <x:c r="F1351" s="1"/>
      <x:c r="G1351" s="1"/>
      <x:c r="H1351" s="1"/>
      <x:c r="I1351" s="1"/>
      <x:c r="J1351" s="1"/>
      <x:c r="K1351" s="1"/>
      <x:c r="L1351" s="1"/>
      <x:c r="M1351" s="1"/>
      <x:c r="N1351" s="1"/>
      <x:c r="O1351" s="1"/>
      <x:c r="P1351" s="1"/>
      <x:c r="Q1351" s="1"/>
      <x:c r="R1351" s="1"/>
      <x:c r="S1351" s="1"/>
      <x:c r="T1351" s="1"/>
      <x:c r="U1351" s="1"/>
      <x:c r="V1351" s="1"/>
    </x:row>
    <x:row r="1352">
      <x:c r="A1352" s="1"/>
      <x:c r="B1352" s="1"/>
      <x:c r="C1352" s="1"/>
      <x:c r="D1352" s="1"/>
      <x:c r="E1352" s="1"/>
      <x:c r="F1352" s="1"/>
      <x:c r="G1352" s="1"/>
      <x:c r="H1352" s="1"/>
      <x:c r="I1352" s="1"/>
      <x:c r="J1352" s="1"/>
      <x:c r="K1352" s="1"/>
      <x:c r="L1352" s="1"/>
      <x:c r="M1352" s="1"/>
      <x:c r="N1352" s="1"/>
      <x:c r="O1352" s="1"/>
      <x:c r="P1352" s="1"/>
      <x:c r="Q1352" s="1"/>
      <x:c r="R1352" s="1"/>
      <x:c r="S1352" s="1"/>
      <x:c r="T1352" s="1"/>
      <x:c r="U1352" s="1"/>
      <x:c r="V1352" s="1"/>
    </x:row>
    <x:row r="1353">
      <x:c r="A1353" s="1"/>
      <x:c r="B1353" s="1"/>
      <x:c r="C1353" s="1"/>
      <x:c r="D1353" s="1"/>
      <x:c r="E1353" s="1"/>
      <x:c r="F1353" s="1"/>
      <x:c r="G1353" s="1"/>
      <x:c r="H1353" s="1"/>
      <x:c r="I1353" s="1"/>
      <x:c r="J1353" s="1"/>
      <x:c r="K1353" s="1"/>
      <x:c r="L1353" s="1"/>
      <x:c r="M1353" s="1"/>
      <x:c r="N1353" s="1"/>
      <x:c r="O1353" s="1"/>
      <x:c r="P1353" s="1"/>
      <x:c r="Q1353" s="1"/>
      <x:c r="R1353" s="1"/>
      <x:c r="S1353" s="1"/>
      <x:c r="T1353" s="1"/>
      <x:c r="U1353" s="1"/>
      <x:c r="V1353" s="1"/>
    </x:row>
    <x:row r="1354">
      <x:c r="A1354" s="1"/>
      <x:c r="B1354" s="1"/>
      <x:c r="C1354" s="1"/>
      <x:c r="D1354" s="1"/>
      <x:c r="E1354" s="1"/>
      <x:c r="F1354" s="1"/>
      <x:c r="G1354" s="1"/>
      <x:c r="H1354" s="1"/>
      <x:c r="I1354" s="1"/>
      <x:c r="J1354" s="1"/>
      <x:c r="K1354" s="1"/>
      <x:c r="L1354" s="1"/>
      <x:c r="M1354" s="1"/>
      <x:c r="N1354" s="1"/>
      <x:c r="O1354" s="1"/>
      <x:c r="P1354" s="1"/>
      <x:c r="Q1354" s="1"/>
      <x:c r="R1354" s="1"/>
      <x:c r="S1354" s="1"/>
      <x:c r="T1354" s="1"/>
      <x:c r="U1354" s="1"/>
      <x:c r="V1354" s="1"/>
    </x:row>
    <x:row r="1355">
      <x:c r="A1355" s="1"/>
      <x:c r="B1355" s="1"/>
      <x:c r="C1355" s="1"/>
      <x:c r="D1355" s="1"/>
      <x:c r="E1355" s="1"/>
      <x:c r="F1355" s="1"/>
      <x:c r="G1355" s="1"/>
      <x:c r="H1355" s="1"/>
      <x:c r="I1355" s="1"/>
      <x:c r="J1355" s="1"/>
      <x:c r="K1355" s="1"/>
      <x:c r="L1355" s="1"/>
      <x:c r="M1355" s="1"/>
      <x:c r="N1355" s="1"/>
      <x:c r="O1355" s="1"/>
      <x:c r="P1355" s="1"/>
      <x:c r="Q1355" s="1"/>
      <x:c r="R1355" s="1"/>
      <x:c r="S1355" s="1"/>
      <x:c r="T1355" s="1"/>
      <x:c r="U1355" s="1"/>
      <x:c r="V1355" s="1"/>
    </x:row>
    <x:row r="1356">
      <x:c r="A1356" s="1"/>
      <x:c r="B1356" s="1"/>
      <x:c r="C1356" s="1"/>
      <x:c r="D1356" s="1"/>
      <x:c r="E1356" s="1"/>
      <x:c r="F1356" s="1"/>
      <x:c r="G1356" s="1"/>
      <x:c r="H1356" s="1"/>
      <x:c r="I1356" s="1"/>
      <x:c r="J1356" s="1"/>
      <x:c r="K1356" s="1"/>
      <x:c r="L1356" s="1"/>
      <x:c r="M1356" s="1"/>
      <x:c r="N1356" s="1"/>
      <x:c r="O1356" s="1"/>
      <x:c r="P1356" s="1"/>
      <x:c r="Q1356" s="1"/>
      <x:c r="R1356" s="1"/>
      <x:c r="S1356" s="1"/>
      <x:c r="T1356" s="1"/>
      <x:c r="U1356" s="1"/>
      <x:c r="V1356" s="1"/>
    </x:row>
    <x:row r="1357">
      <x:c r="A1357" s="1"/>
      <x:c r="B1357" s="1"/>
      <x:c r="C1357" s="1"/>
      <x:c r="D1357" s="1"/>
      <x:c r="E1357" s="1"/>
      <x:c r="F1357" s="1"/>
      <x:c r="G1357" s="1"/>
      <x:c r="H1357" s="1"/>
      <x:c r="I1357" s="1"/>
      <x:c r="J1357" s="1"/>
      <x:c r="K1357" s="1"/>
      <x:c r="L1357" s="1"/>
      <x:c r="M1357" s="1"/>
      <x:c r="N1357" s="1"/>
      <x:c r="O1357" s="1"/>
      <x:c r="P1357" s="1"/>
      <x:c r="Q1357" s="1"/>
      <x:c r="R1357" s="1"/>
      <x:c r="S1357" s="1"/>
      <x:c r="T1357" s="1"/>
      <x:c r="U1357" s="1"/>
      <x:c r="V1357" s="1"/>
    </x:row>
    <x:row r="1358">
      <x:c r="A1358" s="1"/>
      <x:c r="B1358" s="1"/>
      <x:c r="C1358" s="1"/>
      <x:c r="D1358" s="1"/>
      <x:c r="E1358" s="1"/>
      <x:c r="F1358" s="1"/>
      <x:c r="G1358" s="1"/>
      <x:c r="H1358" s="1"/>
      <x:c r="I1358" s="1"/>
      <x:c r="J1358" s="1"/>
      <x:c r="K1358" s="1"/>
      <x:c r="L1358" s="1"/>
      <x:c r="M1358" s="1"/>
      <x:c r="N1358" s="1"/>
      <x:c r="O1358" s="1"/>
      <x:c r="P1358" s="1"/>
      <x:c r="Q1358" s="1"/>
      <x:c r="R1358" s="1"/>
      <x:c r="S1358" s="1"/>
      <x:c r="T1358" s="1"/>
      <x:c r="U1358" s="1"/>
      <x:c r="V1358" s="1"/>
    </x:row>
    <x:row r="1359">
      <x:c r="A1359" s="1"/>
      <x:c r="B1359" s="1"/>
      <x:c r="C1359" s="1"/>
      <x:c r="D1359" s="1"/>
      <x:c r="E1359" s="1"/>
      <x:c r="F1359" s="1"/>
      <x:c r="G1359" s="1"/>
      <x:c r="H1359" s="1"/>
      <x:c r="I1359" s="1"/>
      <x:c r="J1359" s="1"/>
      <x:c r="K1359" s="1"/>
      <x:c r="L1359" s="1"/>
      <x:c r="M1359" s="1"/>
      <x:c r="N1359" s="1"/>
      <x:c r="O1359" s="1"/>
      <x:c r="P1359" s="1"/>
      <x:c r="Q1359" s="1"/>
      <x:c r="R1359" s="1"/>
      <x:c r="S1359" s="1"/>
      <x:c r="T1359" s="1"/>
      <x:c r="U1359" s="1"/>
      <x:c r="V1359" s="1"/>
    </x:row>
    <x:row r="1360">
      <x:c r="A1360" s="1"/>
      <x:c r="B1360" s="1"/>
      <x:c r="C1360" s="1"/>
      <x:c r="D1360" s="1"/>
      <x:c r="E1360" s="1"/>
      <x:c r="F1360" s="1"/>
      <x:c r="G1360" s="1"/>
      <x:c r="H1360" s="1"/>
      <x:c r="I1360" s="1"/>
      <x:c r="J1360" s="1"/>
      <x:c r="K1360" s="1"/>
      <x:c r="L1360" s="1"/>
      <x:c r="M1360" s="1"/>
      <x:c r="N1360" s="1"/>
      <x:c r="O1360" s="1"/>
      <x:c r="P1360" s="1"/>
      <x:c r="Q1360" s="1"/>
      <x:c r="R1360" s="1"/>
      <x:c r="S1360" s="1"/>
      <x:c r="T1360" s="1"/>
      <x:c r="U1360" s="1"/>
      <x:c r="V1360" s="1"/>
    </x:row>
    <x:row r="1361">
      <x:c r="A1361" s="1"/>
      <x:c r="B1361" s="1"/>
      <x:c r="C1361" s="1"/>
      <x:c r="D1361" s="1"/>
      <x:c r="E1361" s="1"/>
      <x:c r="F1361" s="1"/>
      <x:c r="G1361" s="1"/>
      <x:c r="H1361" s="1"/>
      <x:c r="I1361" s="1"/>
      <x:c r="J1361" s="1"/>
      <x:c r="K1361" s="1"/>
      <x:c r="L1361" s="1"/>
      <x:c r="M1361" s="1"/>
      <x:c r="N1361" s="1"/>
      <x:c r="O1361" s="1"/>
      <x:c r="P1361" s="1"/>
      <x:c r="Q1361" s="1"/>
      <x:c r="R1361" s="1"/>
      <x:c r="S1361" s="1"/>
      <x:c r="T1361" s="1"/>
      <x:c r="U1361" s="1"/>
      <x:c r="V1361" s="1"/>
    </x:row>
    <x:row r="1362">
      <x:c r="A1362" s="1"/>
      <x:c r="B1362" s="1"/>
      <x:c r="C1362" s="1"/>
      <x:c r="D1362" s="1"/>
      <x:c r="E1362" s="1"/>
      <x:c r="F1362" s="1"/>
      <x:c r="G1362" s="1"/>
      <x:c r="H1362" s="1"/>
      <x:c r="I1362" s="1"/>
      <x:c r="J1362" s="1"/>
      <x:c r="K1362" s="1"/>
      <x:c r="L1362" s="1"/>
      <x:c r="M1362" s="1"/>
      <x:c r="N1362" s="1"/>
      <x:c r="O1362" s="1"/>
      <x:c r="P1362" s="1"/>
      <x:c r="Q1362" s="1"/>
      <x:c r="R1362" s="1"/>
      <x:c r="S1362" s="1"/>
      <x:c r="T1362" s="1"/>
      <x:c r="U1362" s="1"/>
      <x:c r="V1362" s="1"/>
    </x:row>
    <x:row r="1363">
      <x:c r="A1363" s="1"/>
      <x:c r="B1363" s="1"/>
      <x:c r="C1363" s="1"/>
      <x:c r="D1363" s="1"/>
      <x:c r="E1363" s="1"/>
      <x:c r="F1363" s="1"/>
      <x:c r="G1363" s="1"/>
      <x:c r="H1363" s="1"/>
      <x:c r="I1363" s="1"/>
      <x:c r="J1363" s="1"/>
      <x:c r="K1363" s="1"/>
      <x:c r="L1363" s="1"/>
      <x:c r="M1363" s="1"/>
      <x:c r="N1363" s="1"/>
      <x:c r="O1363" s="1"/>
      <x:c r="P1363" s="1"/>
      <x:c r="Q1363" s="1"/>
      <x:c r="R1363" s="1"/>
      <x:c r="S1363" s="1"/>
      <x:c r="T1363" s="1"/>
      <x:c r="U1363" s="1"/>
      <x:c r="V1363" s="1"/>
    </x:row>
    <x:row r="1364">
      <x:c r="A1364" s="1"/>
      <x:c r="B1364" s="1"/>
      <x:c r="C1364" s="1"/>
      <x:c r="D1364" s="1"/>
      <x:c r="E1364" s="1"/>
      <x:c r="F1364" s="1"/>
      <x:c r="G1364" s="1"/>
      <x:c r="H1364" s="1"/>
      <x:c r="I1364" s="1"/>
      <x:c r="J1364" s="1"/>
      <x:c r="K1364" s="1"/>
      <x:c r="L1364" s="1"/>
      <x:c r="M1364" s="1"/>
      <x:c r="N1364" s="1"/>
      <x:c r="O1364" s="1"/>
      <x:c r="P1364" s="1"/>
      <x:c r="Q1364" s="1"/>
      <x:c r="R1364" s="1"/>
      <x:c r="S1364" s="1"/>
      <x:c r="T1364" s="1"/>
      <x:c r="U1364" s="1"/>
      <x:c r="V1364" s="1"/>
    </x:row>
    <x:row r="1365">
      <x:c r="A1365" s="1"/>
      <x:c r="B1365" s="1"/>
      <x:c r="C1365" s="1"/>
      <x:c r="D1365" s="1"/>
      <x:c r="E1365" s="1"/>
      <x:c r="F1365" s="1"/>
      <x:c r="G1365" s="1"/>
      <x:c r="H1365" s="1"/>
      <x:c r="I1365" s="1"/>
      <x:c r="J1365" s="1"/>
      <x:c r="K1365" s="1"/>
      <x:c r="L1365" s="1"/>
      <x:c r="M1365" s="1"/>
      <x:c r="N1365" s="1"/>
      <x:c r="O1365" s="1"/>
      <x:c r="P1365" s="1"/>
      <x:c r="Q1365" s="1"/>
      <x:c r="R1365" s="1"/>
      <x:c r="S1365" s="1"/>
      <x:c r="T1365" s="1"/>
      <x:c r="U1365" s="1"/>
      <x:c r="V1365" s="1"/>
    </x:row>
    <x:row r="1366">
      <x:c r="A1366" s="1"/>
      <x:c r="B1366" s="1"/>
      <x:c r="C1366" s="1"/>
      <x:c r="D1366" s="1"/>
      <x:c r="E1366" s="1"/>
      <x:c r="F1366" s="1"/>
      <x:c r="G1366" s="1"/>
      <x:c r="H1366" s="1"/>
      <x:c r="I1366" s="1"/>
      <x:c r="J1366" s="1"/>
      <x:c r="K1366" s="1"/>
      <x:c r="L1366" s="1"/>
      <x:c r="M1366" s="1"/>
      <x:c r="N1366" s="1"/>
      <x:c r="O1366" s="1"/>
      <x:c r="P1366" s="1"/>
      <x:c r="Q1366" s="1"/>
      <x:c r="R1366" s="1"/>
      <x:c r="S1366" s="1"/>
      <x:c r="T1366" s="1"/>
      <x:c r="U1366" s="1"/>
      <x:c r="V1366" s="1"/>
    </x:row>
    <x:row r="1367">
      <x:c r="A1367" s="1"/>
      <x:c r="B1367" s="1"/>
      <x:c r="C1367" s="1"/>
      <x:c r="D1367" s="1"/>
      <x:c r="E1367" s="1"/>
      <x:c r="F1367" s="1"/>
      <x:c r="G1367" s="1"/>
      <x:c r="H1367" s="1"/>
      <x:c r="I1367" s="1"/>
      <x:c r="J1367" s="1"/>
      <x:c r="K1367" s="1"/>
      <x:c r="L1367" s="1"/>
      <x:c r="M1367" s="1"/>
      <x:c r="N1367" s="1"/>
      <x:c r="O1367" s="1"/>
      <x:c r="P1367" s="1"/>
      <x:c r="Q1367" s="1"/>
      <x:c r="R1367" s="1"/>
      <x:c r="S1367" s="1"/>
      <x:c r="T1367" s="1"/>
      <x:c r="U1367" s="1"/>
      <x:c r="V1367" s="1"/>
    </x:row>
    <x:row r="1368">
      <x:c r="A1368" s="1"/>
      <x:c r="B1368" s="1"/>
      <x:c r="C1368" s="1"/>
      <x:c r="D1368" s="1"/>
      <x:c r="E1368" s="1"/>
      <x:c r="F1368" s="1"/>
      <x:c r="G1368" s="1"/>
      <x:c r="H1368" s="1"/>
      <x:c r="I1368" s="1"/>
      <x:c r="J1368" s="1"/>
      <x:c r="K1368" s="1"/>
      <x:c r="L1368" s="1"/>
      <x:c r="M1368" s="1"/>
      <x:c r="N1368" s="1"/>
      <x:c r="O1368" s="1"/>
      <x:c r="P1368" s="1"/>
      <x:c r="Q1368" s="1"/>
      <x:c r="R1368" s="1"/>
      <x:c r="S1368" s="1"/>
      <x:c r="T1368" s="1"/>
      <x:c r="U1368" s="1"/>
      <x:c r="V1368" s="1"/>
    </x:row>
    <x:row r="1369">
      <x:c r="A1369" s="1"/>
      <x:c r="B1369" s="1"/>
      <x:c r="C1369" s="1"/>
      <x:c r="D1369" s="1"/>
      <x:c r="E1369" s="1"/>
      <x:c r="F1369" s="1"/>
      <x:c r="G1369" s="1"/>
      <x:c r="H1369" s="1"/>
      <x:c r="I1369" s="1"/>
      <x:c r="J1369" s="1"/>
      <x:c r="K1369" s="1"/>
      <x:c r="L1369" s="1"/>
      <x:c r="M1369" s="1"/>
      <x:c r="N1369" s="1"/>
      <x:c r="O1369" s="1"/>
      <x:c r="P1369" s="1"/>
      <x:c r="Q1369" s="1"/>
      <x:c r="R1369" s="1"/>
      <x:c r="S1369" s="1"/>
      <x:c r="T1369" s="1"/>
      <x:c r="U1369" s="1"/>
      <x:c r="V1369" s="1"/>
    </x:row>
    <x:row r="1370">
      <x:c r="A1370" s="1"/>
      <x:c r="B1370" s="1"/>
      <x:c r="C1370" s="1"/>
      <x:c r="D1370" s="1"/>
      <x:c r="E1370" s="1"/>
      <x:c r="F1370" s="1"/>
      <x:c r="G1370" s="1"/>
      <x:c r="H1370" s="1"/>
      <x:c r="I1370" s="1"/>
      <x:c r="J1370" s="1"/>
      <x:c r="K1370" s="1"/>
      <x:c r="L1370" s="1"/>
      <x:c r="M1370" s="1"/>
      <x:c r="N1370" s="1"/>
      <x:c r="O1370" s="1"/>
      <x:c r="P1370" s="1"/>
      <x:c r="Q1370" s="1"/>
      <x:c r="R1370" s="1"/>
      <x:c r="S1370" s="1"/>
      <x:c r="T1370" s="1"/>
      <x:c r="U1370" s="1"/>
      <x:c r="V1370" s="1"/>
    </x:row>
    <x:row r="1371">
      <x:c r="A1371" s="1"/>
      <x:c r="B1371" s="1"/>
      <x:c r="C1371" s="1"/>
      <x:c r="D1371" s="1"/>
      <x:c r="E1371" s="1"/>
      <x:c r="F1371" s="1"/>
      <x:c r="G1371" s="1"/>
      <x:c r="H1371" s="1"/>
      <x:c r="I1371" s="1"/>
      <x:c r="J1371" s="1"/>
      <x:c r="K1371" s="1"/>
      <x:c r="L1371" s="1"/>
      <x:c r="M1371" s="1"/>
      <x:c r="N1371" s="1"/>
      <x:c r="O1371" s="1"/>
      <x:c r="P1371" s="1"/>
      <x:c r="Q1371" s="1"/>
      <x:c r="R1371" s="1"/>
      <x:c r="S1371" s="1"/>
      <x:c r="T1371" s="1"/>
      <x:c r="U1371" s="1"/>
      <x:c r="V1371" s="1"/>
    </x:row>
    <x:row r="1372">
      <x:c r="A1372" s="1"/>
      <x:c r="B1372" s="1"/>
      <x:c r="C1372" s="1"/>
      <x:c r="D1372" s="1"/>
      <x:c r="E1372" s="1"/>
      <x:c r="F1372" s="1"/>
      <x:c r="G1372" s="1"/>
      <x:c r="H1372" s="1"/>
      <x:c r="I1372" s="1"/>
      <x:c r="J1372" s="1"/>
      <x:c r="K1372" s="1"/>
      <x:c r="L1372" s="1"/>
      <x:c r="M1372" s="1"/>
      <x:c r="N1372" s="1"/>
      <x:c r="O1372" s="1"/>
      <x:c r="P1372" s="1"/>
      <x:c r="Q1372" s="1"/>
      <x:c r="R1372" s="1"/>
      <x:c r="S1372" s="1"/>
      <x:c r="T1372" s="1"/>
      <x:c r="U1372" s="1"/>
      <x:c r="V1372" s="1"/>
    </x:row>
    <x:row r="1373">
      <x:c r="A1373" s="1"/>
      <x:c r="B1373" s="1"/>
      <x:c r="C1373" s="1"/>
      <x:c r="D1373" s="1"/>
      <x:c r="E1373" s="1"/>
      <x:c r="F1373" s="1"/>
      <x:c r="G1373" s="1"/>
      <x:c r="H1373" s="1"/>
      <x:c r="I1373" s="1"/>
      <x:c r="J1373" s="1"/>
      <x:c r="K1373" s="1"/>
      <x:c r="L1373" s="1"/>
      <x:c r="M1373" s="1"/>
      <x:c r="N1373" s="1"/>
      <x:c r="O1373" s="1"/>
      <x:c r="P1373" s="1"/>
      <x:c r="Q1373" s="1"/>
      <x:c r="R1373" s="1"/>
      <x:c r="S1373" s="1"/>
      <x:c r="T1373" s="1"/>
      <x:c r="U1373" s="1"/>
      <x:c r="V1373" s="1"/>
    </x:row>
    <x:row r="1374">
      <x:c r="A1374" s="1"/>
      <x:c r="B1374" s="1"/>
      <x:c r="C1374" s="1"/>
      <x:c r="D1374" s="1"/>
      <x:c r="E1374" s="1"/>
      <x:c r="F1374" s="1"/>
      <x:c r="G1374" s="1"/>
      <x:c r="H1374" s="1"/>
      <x:c r="I1374" s="1"/>
      <x:c r="J1374" s="1"/>
      <x:c r="K1374" s="1"/>
      <x:c r="L1374" s="1"/>
      <x:c r="M1374" s="1"/>
      <x:c r="N1374" s="1"/>
      <x:c r="O1374" s="1"/>
      <x:c r="P1374" s="1"/>
      <x:c r="Q1374" s="1"/>
      <x:c r="R1374" s="1"/>
      <x:c r="S1374" s="1"/>
      <x:c r="T1374" s="1"/>
      <x:c r="U1374" s="1"/>
      <x:c r="V1374" s="1"/>
    </x:row>
    <x:row r="1375">
      <x:c r="A1375" s="1"/>
      <x:c r="B1375" s="1"/>
      <x:c r="C1375" s="1"/>
      <x:c r="D1375" s="1"/>
      <x:c r="E1375" s="1"/>
      <x:c r="F1375" s="1"/>
      <x:c r="G1375" s="1"/>
      <x:c r="H1375" s="1"/>
      <x:c r="I1375" s="1"/>
      <x:c r="J1375" s="1"/>
      <x:c r="K1375" s="1"/>
      <x:c r="L1375" s="1"/>
      <x:c r="M1375" s="1"/>
      <x:c r="N1375" s="1"/>
      <x:c r="O1375" s="1"/>
      <x:c r="P1375" s="1"/>
      <x:c r="Q1375" s="1"/>
      <x:c r="R1375" s="1"/>
      <x:c r="S1375" s="1"/>
      <x:c r="T1375" s="1"/>
      <x:c r="U1375" s="1"/>
      <x:c r="V1375" s="1"/>
    </x:row>
    <x:row r="1376">
      <x:c r="A1376" s="1"/>
      <x:c r="B1376" s="1"/>
      <x:c r="C1376" s="1"/>
      <x:c r="D1376" s="1"/>
      <x:c r="E1376" s="1"/>
      <x:c r="F1376" s="1"/>
      <x:c r="G1376" s="1"/>
      <x:c r="H1376" s="1"/>
      <x:c r="I1376" s="1"/>
      <x:c r="J1376" s="1"/>
      <x:c r="K1376" s="1"/>
      <x:c r="L1376" s="1"/>
      <x:c r="M1376" s="1"/>
      <x:c r="N1376" s="1"/>
      <x:c r="O1376" s="1"/>
      <x:c r="P1376" s="1"/>
      <x:c r="Q1376" s="1"/>
      <x:c r="R1376" s="1"/>
      <x:c r="S1376" s="1"/>
      <x:c r="T1376" s="1"/>
      <x:c r="U1376" s="1"/>
      <x:c r="V1376" s="1"/>
    </x:row>
    <x:row r="1377">
      <x:c r="A1377" s="1"/>
      <x:c r="B1377" s="1"/>
      <x:c r="C1377" s="1"/>
      <x:c r="D1377" s="1"/>
      <x:c r="E1377" s="1"/>
      <x:c r="F1377" s="1"/>
      <x:c r="G1377" s="1"/>
      <x:c r="H1377" s="1"/>
      <x:c r="I1377" s="1"/>
      <x:c r="J1377" s="1"/>
      <x:c r="K1377" s="1"/>
      <x:c r="L1377" s="1"/>
      <x:c r="M1377" s="1"/>
      <x:c r="N1377" s="1"/>
      <x:c r="O1377" s="1"/>
      <x:c r="P1377" s="1"/>
      <x:c r="Q1377" s="1"/>
      <x:c r="R1377" s="1"/>
      <x:c r="S1377" s="1"/>
      <x:c r="T1377" s="1"/>
      <x:c r="U1377" s="1"/>
      <x:c r="V1377" s="1"/>
    </x:row>
    <x:row r="1378">
      <x:c r="A1378" s="1"/>
      <x:c r="B1378" s="1"/>
      <x:c r="C1378" s="1"/>
      <x:c r="D1378" s="1"/>
      <x:c r="E1378" s="1"/>
      <x:c r="F1378" s="1"/>
      <x:c r="G1378" s="1"/>
      <x:c r="H1378" s="1"/>
      <x:c r="I1378" s="1"/>
      <x:c r="J1378" s="1"/>
      <x:c r="K1378" s="1"/>
      <x:c r="L1378" s="1"/>
      <x:c r="M1378" s="1"/>
      <x:c r="N1378" s="1"/>
      <x:c r="O1378" s="1"/>
      <x:c r="P1378" s="1"/>
      <x:c r="Q1378" s="1"/>
      <x:c r="R1378" s="1"/>
      <x:c r="S1378" s="1"/>
      <x:c r="T1378" s="1"/>
      <x:c r="U1378" s="1"/>
      <x:c r="V1378" s="1"/>
    </x:row>
    <x:row r="1379">
      <x:c r="A1379" s="1"/>
      <x:c r="B1379" s="1"/>
      <x:c r="C1379" s="1"/>
      <x:c r="D1379" s="1"/>
      <x:c r="E1379" s="1"/>
      <x:c r="F1379" s="1"/>
      <x:c r="G1379" s="1"/>
      <x:c r="H1379" s="1"/>
      <x:c r="I1379" s="1"/>
      <x:c r="J1379" s="1"/>
      <x:c r="K1379" s="1"/>
      <x:c r="L1379" s="1"/>
      <x:c r="M1379" s="1"/>
      <x:c r="N1379" s="1"/>
      <x:c r="O1379" s="1"/>
      <x:c r="P1379" s="1"/>
      <x:c r="Q1379" s="1"/>
      <x:c r="R1379" s="1"/>
      <x:c r="S1379" s="1"/>
      <x:c r="T1379" s="1"/>
      <x:c r="U1379" s="1"/>
      <x:c r="V1379" s="1"/>
    </x:row>
    <x:row r="1380">
      <x:c r="A1380" s="1"/>
      <x:c r="B1380" s="1"/>
      <x:c r="C1380" s="1"/>
      <x:c r="D1380" s="1"/>
      <x:c r="E1380" s="1"/>
      <x:c r="F1380" s="1"/>
      <x:c r="G1380" s="1"/>
      <x:c r="H1380" s="1"/>
      <x:c r="I1380" s="1"/>
      <x:c r="J1380" s="1"/>
      <x:c r="K1380" s="1"/>
      <x:c r="L1380" s="1"/>
      <x:c r="M1380" s="1"/>
      <x:c r="N1380" s="1"/>
      <x:c r="O1380" s="1"/>
      <x:c r="P1380" s="1"/>
      <x:c r="Q1380" s="1"/>
      <x:c r="R1380" s="1"/>
      <x:c r="S1380" s="1"/>
      <x:c r="T1380" s="1"/>
      <x:c r="U1380" s="1"/>
      <x:c r="V1380" s="1"/>
    </x:row>
    <x:row r="1381">
      <x:c r="A1381" s="1"/>
      <x:c r="B1381" s="1"/>
      <x:c r="C1381" s="1"/>
      <x:c r="D1381" s="1"/>
      <x:c r="E1381" s="1"/>
      <x:c r="F1381" s="1"/>
      <x:c r="G1381" s="1"/>
      <x:c r="H1381" s="1"/>
      <x:c r="I1381" s="1"/>
      <x:c r="J1381" s="1"/>
      <x:c r="K1381" s="1"/>
      <x:c r="L1381" s="1"/>
      <x:c r="M1381" s="1"/>
      <x:c r="N1381" s="1"/>
      <x:c r="O1381" s="1"/>
      <x:c r="P1381" s="1"/>
      <x:c r="Q1381" s="1"/>
      <x:c r="R1381" s="1"/>
      <x:c r="S1381" s="1"/>
      <x:c r="T1381" s="1"/>
      <x:c r="U1381" s="1"/>
      <x:c r="V1381" s="1"/>
    </x:row>
    <x:row r="1382">
      <x:c r="A1382" s="1"/>
      <x:c r="B1382" s="1"/>
      <x:c r="C1382" s="1"/>
      <x:c r="D1382" s="1"/>
      <x:c r="E1382" s="1"/>
      <x:c r="F1382" s="1"/>
      <x:c r="G1382" s="1"/>
      <x:c r="H1382" s="1"/>
      <x:c r="I1382" s="1"/>
      <x:c r="J1382" s="1"/>
      <x:c r="K1382" s="1"/>
      <x:c r="L1382" s="1"/>
      <x:c r="M1382" s="1"/>
      <x:c r="N1382" s="1"/>
      <x:c r="O1382" s="1"/>
      <x:c r="P1382" s="1"/>
      <x:c r="Q1382" s="1"/>
      <x:c r="R1382" s="1"/>
      <x:c r="S1382" s="1"/>
      <x:c r="T1382" s="1"/>
      <x:c r="U1382" s="1"/>
      <x:c r="V1382" s="1"/>
    </x:row>
    <x:row r="1383">
      <x:c r="A1383" s="1"/>
      <x:c r="B1383" s="1"/>
      <x:c r="C1383" s="1"/>
      <x:c r="D1383" s="1"/>
      <x:c r="E1383" s="1"/>
      <x:c r="F1383" s="1"/>
      <x:c r="G1383" s="1"/>
      <x:c r="H1383" s="1"/>
      <x:c r="I1383" s="1"/>
      <x:c r="J1383" s="1"/>
      <x:c r="K1383" s="1"/>
      <x:c r="L1383" s="1"/>
      <x:c r="M1383" s="1"/>
      <x:c r="N1383" s="1"/>
      <x:c r="O1383" s="1"/>
      <x:c r="P1383" s="1"/>
      <x:c r="Q1383" s="1"/>
      <x:c r="R1383" s="1"/>
      <x:c r="S1383" s="1"/>
      <x:c r="T1383" s="1"/>
      <x:c r="U1383" s="1"/>
      <x:c r="V1383" s="1"/>
    </x:row>
    <x:row r="1384">
      <x:c r="A1384" s="1"/>
      <x:c r="B1384" s="1"/>
      <x:c r="C1384" s="1"/>
      <x:c r="D1384" s="1"/>
      <x:c r="E1384" s="1"/>
      <x:c r="F1384" s="1"/>
      <x:c r="G1384" s="1"/>
      <x:c r="H1384" s="1"/>
      <x:c r="I1384" s="1"/>
      <x:c r="J1384" s="1"/>
      <x:c r="K1384" s="1"/>
      <x:c r="L1384" s="1"/>
      <x:c r="M1384" s="1"/>
      <x:c r="N1384" s="1"/>
      <x:c r="O1384" s="1"/>
      <x:c r="P1384" s="1"/>
      <x:c r="Q1384" s="1"/>
      <x:c r="R1384" s="1"/>
      <x:c r="S1384" s="1"/>
      <x:c r="T1384" s="1"/>
      <x:c r="U1384" s="1"/>
      <x:c r="V1384" s="1"/>
    </x:row>
    <x:row r="1385">
      <x:c r="A1385" s="1"/>
      <x:c r="B1385" s="1"/>
      <x:c r="C1385" s="1"/>
      <x:c r="D1385" s="1"/>
      <x:c r="E1385" s="1"/>
      <x:c r="F1385" s="1"/>
      <x:c r="G1385" s="1"/>
      <x:c r="H1385" s="1"/>
      <x:c r="I1385" s="1"/>
      <x:c r="J1385" s="1"/>
      <x:c r="K1385" s="1"/>
      <x:c r="L1385" s="1"/>
      <x:c r="M1385" s="1"/>
      <x:c r="N1385" s="1"/>
      <x:c r="O1385" s="1"/>
      <x:c r="P1385" s="1"/>
      <x:c r="Q1385" s="1"/>
      <x:c r="R1385" s="1"/>
      <x:c r="S1385" s="1"/>
      <x:c r="T1385" s="1"/>
      <x:c r="U1385" s="1"/>
      <x:c r="V1385" s="1"/>
    </x:row>
    <x:row r="1386">
      <x:c r="A1386" s="1"/>
      <x:c r="B1386" s="1"/>
      <x:c r="C1386" s="1"/>
      <x:c r="D1386" s="1"/>
      <x:c r="E1386" s="1"/>
      <x:c r="F1386" s="1"/>
      <x:c r="G1386" s="1"/>
      <x:c r="H1386" s="1"/>
      <x:c r="I1386" s="1"/>
      <x:c r="J1386" s="1"/>
      <x:c r="K1386" s="1"/>
      <x:c r="L1386" s="1"/>
      <x:c r="M1386" s="1"/>
      <x:c r="N1386" s="1"/>
      <x:c r="O1386" s="1"/>
      <x:c r="P1386" s="1"/>
      <x:c r="Q1386" s="1"/>
      <x:c r="R1386" s="1"/>
      <x:c r="S1386" s="1"/>
      <x:c r="T1386" s="1"/>
      <x:c r="U1386" s="1"/>
      <x:c r="V1386" s="1"/>
    </x:row>
    <x:row r="1387">
      <x:c r="A1387" s="1"/>
      <x:c r="B1387" s="1"/>
      <x:c r="C1387" s="1"/>
      <x:c r="D1387" s="1"/>
      <x:c r="E1387" s="1"/>
      <x:c r="F1387" s="1"/>
      <x:c r="G1387" s="1"/>
      <x:c r="H1387" s="1"/>
      <x:c r="I1387" s="1"/>
      <x:c r="J1387" s="1"/>
      <x:c r="K1387" s="1"/>
      <x:c r="L1387" s="1"/>
      <x:c r="M1387" s="1"/>
      <x:c r="N1387" s="1"/>
      <x:c r="O1387" s="1"/>
      <x:c r="P1387" s="1"/>
      <x:c r="Q1387" s="1"/>
      <x:c r="R1387" s="1"/>
      <x:c r="S1387" s="1"/>
      <x:c r="T1387" s="1"/>
      <x:c r="U1387" s="1"/>
      <x:c r="V1387" s="1"/>
    </x:row>
    <x:row r="1388">
      <x:c r="A1388" s="1"/>
      <x:c r="B1388" s="1"/>
      <x:c r="C1388" s="1"/>
      <x:c r="D1388" s="1"/>
      <x:c r="E1388" s="1"/>
      <x:c r="F1388" s="1"/>
      <x:c r="G1388" s="1"/>
      <x:c r="H1388" s="1"/>
      <x:c r="I1388" s="1"/>
      <x:c r="J1388" s="1"/>
      <x:c r="K1388" s="1"/>
      <x:c r="L1388" s="1"/>
      <x:c r="M1388" s="1"/>
      <x:c r="N1388" s="1"/>
      <x:c r="O1388" s="1"/>
      <x:c r="P1388" s="1"/>
      <x:c r="Q1388" s="1"/>
      <x:c r="R1388" s="1"/>
      <x:c r="S1388" s="1"/>
      <x:c r="T1388" s="1"/>
      <x:c r="U1388" s="1"/>
      <x:c r="V1388" s="1"/>
    </x:row>
    <x:row r="1389">
      <x:c r="A1389" s="1"/>
      <x:c r="B1389" s="1"/>
      <x:c r="C1389" s="1"/>
      <x:c r="D1389" s="1"/>
      <x:c r="E1389" s="1"/>
      <x:c r="F1389" s="1"/>
      <x:c r="G1389" s="1"/>
      <x:c r="H1389" s="1"/>
      <x:c r="I1389" s="1"/>
      <x:c r="J1389" s="1"/>
      <x:c r="K1389" s="1"/>
      <x:c r="L1389" s="1"/>
      <x:c r="M1389" s="1"/>
      <x:c r="N1389" s="1"/>
      <x:c r="O1389" s="1"/>
      <x:c r="P1389" s="1"/>
      <x:c r="Q1389" s="1"/>
      <x:c r="R1389" s="1"/>
      <x:c r="S1389" s="1"/>
      <x:c r="T1389" s="1"/>
      <x:c r="U1389" s="1"/>
      <x:c r="V1389" s="1"/>
    </x:row>
    <x:row r="1390">
      <x:c r="A1390" s="1"/>
      <x:c r="B1390" s="1"/>
      <x:c r="C1390" s="1"/>
      <x:c r="D1390" s="1"/>
      <x:c r="E1390" s="1"/>
      <x:c r="F1390" s="1"/>
      <x:c r="G1390" s="1"/>
      <x:c r="H1390" s="1"/>
      <x:c r="I1390" s="1"/>
      <x:c r="J1390" s="1"/>
      <x:c r="K1390" s="1"/>
      <x:c r="L1390" s="1"/>
      <x:c r="M1390" s="1"/>
      <x:c r="N1390" s="1"/>
      <x:c r="O1390" s="1"/>
      <x:c r="P1390" s="1"/>
      <x:c r="Q1390" s="1"/>
      <x:c r="R1390" s="1"/>
      <x:c r="S1390" s="1"/>
      <x:c r="T1390" s="1"/>
      <x:c r="U1390" s="1"/>
      <x:c r="V1390" s="1"/>
    </x:row>
    <x:row r="1391">
      <x:c r="A1391" s="1"/>
      <x:c r="B1391" s="1"/>
      <x:c r="C1391" s="1"/>
      <x:c r="D1391" s="1"/>
      <x:c r="E1391" s="1"/>
      <x:c r="F1391" s="1"/>
      <x:c r="G1391" s="1"/>
      <x:c r="H1391" s="1"/>
      <x:c r="I1391" s="1"/>
      <x:c r="J1391" s="1"/>
      <x:c r="K1391" s="1"/>
      <x:c r="L1391" s="1"/>
      <x:c r="M1391" s="1"/>
      <x:c r="N1391" s="1"/>
      <x:c r="O1391" s="1"/>
      <x:c r="P1391" s="1"/>
      <x:c r="Q1391" s="1"/>
      <x:c r="R1391" s="1"/>
      <x:c r="S1391" s="1"/>
      <x:c r="T1391" s="1"/>
      <x:c r="U1391" s="1"/>
      <x:c r="V1391" s="1"/>
    </x:row>
    <x:row r="1392">
      <x:c r="A1392" s="1"/>
      <x:c r="B1392" s="1"/>
      <x:c r="C1392" s="1"/>
      <x:c r="D1392" s="1"/>
      <x:c r="E1392" s="1"/>
      <x:c r="F1392" s="1"/>
      <x:c r="G1392" s="1"/>
      <x:c r="H1392" s="1"/>
      <x:c r="I1392" s="1"/>
      <x:c r="J1392" s="1"/>
      <x:c r="K1392" s="1"/>
      <x:c r="L1392" s="1"/>
      <x:c r="M1392" s="1"/>
      <x:c r="N1392" s="1"/>
      <x:c r="O1392" s="1"/>
      <x:c r="P1392" s="1"/>
      <x:c r="Q1392" s="1"/>
      <x:c r="R1392" s="1"/>
      <x:c r="S1392" s="1"/>
      <x:c r="T1392" s="1"/>
      <x:c r="U1392" s="1"/>
      <x:c r="V1392" s="1"/>
    </x:row>
    <x:row r="1393">
      <x:c r="A1393" s="1"/>
      <x:c r="B1393" s="1"/>
      <x:c r="C1393" s="1"/>
      <x:c r="D1393" s="1"/>
      <x:c r="E1393" s="1"/>
      <x:c r="F1393" s="1"/>
      <x:c r="G1393" s="1"/>
      <x:c r="H1393" s="1"/>
      <x:c r="I1393" s="1"/>
      <x:c r="J1393" s="1"/>
      <x:c r="K1393" s="1"/>
      <x:c r="L1393" s="1"/>
      <x:c r="M1393" s="1"/>
      <x:c r="N1393" s="1"/>
      <x:c r="O1393" s="1"/>
      <x:c r="P1393" s="1"/>
      <x:c r="Q1393" s="1"/>
      <x:c r="R1393" s="1"/>
      <x:c r="S1393" s="1"/>
      <x:c r="T1393" s="1"/>
      <x:c r="U1393" s="1"/>
      <x:c r="V1393" s="1"/>
    </x:row>
    <x:row r="1394">
      <x:c r="A1394" s="1"/>
      <x:c r="B1394" s="1"/>
      <x:c r="C1394" s="1"/>
      <x:c r="D1394" s="1"/>
      <x:c r="E1394" s="1"/>
      <x:c r="F1394" s="1"/>
      <x:c r="G1394" s="1"/>
      <x:c r="H1394" s="1"/>
      <x:c r="I1394" s="1"/>
      <x:c r="J1394" s="1"/>
      <x:c r="K1394" s="1"/>
      <x:c r="L1394" s="1"/>
      <x:c r="M1394" s="1"/>
      <x:c r="N1394" s="1"/>
      <x:c r="O1394" s="1"/>
      <x:c r="P1394" s="1"/>
      <x:c r="Q1394" s="1"/>
      <x:c r="R1394" s="1"/>
      <x:c r="S1394" s="1"/>
      <x:c r="T1394" s="1"/>
      <x:c r="U1394" s="1"/>
      <x:c r="V1394" s="1"/>
    </x:row>
    <x:row r="1395">
      <x:c r="A1395" s="1"/>
      <x:c r="B1395" s="1"/>
      <x:c r="C1395" s="1"/>
      <x:c r="D1395" s="1"/>
      <x:c r="E1395" s="1"/>
      <x:c r="F1395" s="1"/>
      <x:c r="G1395" s="1"/>
      <x:c r="H1395" s="1"/>
      <x:c r="I1395" s="1"/>
      <x:c r="J1395" s="1"/>
      <x:c r="K1395" s="1"/>
      <x:c r="L1395" s="1"/>
      <x:c r="M1395" s="1"/>
      <x:c r="N1395" s="1"/>
      <x:c r="O1395" s="1"/>
      <x:c r="P1395" s="1"/>
      <x:c r="Q1395" s="1"/>
      <x:c r="R1395" s="1"/>
      <x:c r="S1395" s="1"/>
      <x:c r="T1395" s="1"/>
      <x:c r="U1395" s="1"/>
      <x:c r="V1395" s="1"/>
    </x:row>
    <x:row r="1396">
      <x:c r="A1396" s="1"/>
      <x:c r="B1396" s="1"/>
      <x:c r="C1396" s="1"/>
      <x:c r="D1396" s="1"/>
      <x:c r="E1396" s="1"/>
      <x:c r="F1396" s="1"/>
      <x:c r="G1396" s="1"/>
      <x:c r="H1396" s="1"/>
      <x:c r="I1396" s="1"/>
      <x:c r="J1396" s="1"/>
      <x:c r="K1396" s="1"/>
      <x:c r="L1396" s="1"/>
      <x:c r="M1396" s="1"/>
      <x:c r="N1396" s="1"/>
      <x:c r="O1396" s="1"/>
      <x:c r="P1396" s="1"/>
      <x:c r="Q1396" s="1"/>
      <x:c r="R1396" s="1"/>
      <x:c r="S1396" s="1"/>
      <x:c r="T1396" s="1"/>
      <x:c r="U1396" s="1"/>
      <x:c r="V1396" s="1"/>
    </x:row>
    <x:row r="1397">
      <x:c r="A1397" s="1"/>
      <x:c r="B1397" s="1"/>
      <x:c r="C1397" s="1"/>
      <x:c r="D1397" s="1"/>
      <x:c r="E1397" s="1"/>
      <x:c r="F1397" s="1"/>
      <x:c r="G1397" s="1"/>
      <x:c r="H1397" s="1"/>
      <x:c r="I1397" s="1"/>
      <x:c r="J1397" s="1"/>
      <x:c r="K1397" s="1"/>
      <x:c r="L1397" s="1"/>
      <x:c r="M1397" s="1"/>
      <x:c r="N1397" s="1"/>
      <x:c r="O1397" s="1"/>
      <x:c r="P1397" s="1"/>
      <x:c r="Q1397" s="1"/>
      <x:c r="R1397" s="1"/>
      <x:c r="S1397" s="1"/>
      <x:c r="T1397" s="1"/>
      <x:c r="U1397" s="1"/>
      <x:c r="V1397" s="1"/>
    </x:row>
    <x:row r="1398">
      <x:c r="A1398" s="1"/>
      <x:c r="B1398" s="1"/>
      <x:c r="C1398" s="1"/>
      <x:c r="D1398" s="1"/>
      <x:c r="E1398" s="1"/>
      <x:c r="F1398" s="1"/>
      <x:c r="G1398" s="1"/>
      <x:c r="H1398" s="1"/>
      <x:c r="I1398" s="1"/>
      <x:c r="J1398" s="1"/>
      <x:c r="K1398" s="1"/>
      <x:c r="L1398" s="1"/>
      <x:c r="M1398" s="1"/>
      <x:c r="N1398" s="1"/>
      <x:c r="O1398" s="1"/>
      <x:c r="P1398" s="1"/>
      <x:c r="Q1398" s="1"/>
      <x:c r="R1398" s="1"/>
      <x:c r="S1398" s="1"/>
      <x:c r="T1398" s="1"/>
      <x:c r="U1398" s="1"/>
      <x:c r="V1398" s="1"/>
    </x:row>
    <x:row r="1399">
      <x:c r="A1399" s="1"/>
      <x:c r="B1399" s="1"/>
      <x:c r="C1399" s="1"/>
      <x:c r="D1399" s="1"/>
      <x:c r="E1399" s="1"/>
      <x:c r="F1399" s="1"/>
      <x:c r="G1399" s="1"/>
      <x:c r="H1399" s="1"/>
      <x:c r="I1399" s="1"/>
      <x:c r="J1399" s="1"/>
      <x:c r="K1399" s="1"/>
      <x:c r="L1399" s="1"/>
      <x:c r="M1399" s="1"/>
      <x:c r="N1399" s="1"/>
      <x:c r="O1399" s="1"/>
      <x:c r="P1399" s="1"/>
      <x:c r="Q1399" s="1"/>
      <x:c r="R1399" s="1"/>
      <x:c r="S1399" s="1"/>
      <x:c r="T1399" s="1"/>
      <x:c r="U1399" s="1"/>
      <x:c r="V1399" s="1"/>
    </x:row>
    <x:row r="1400">
      <x:c r="A1400" s="1"/>
      <x:c r="B1400" s="1"/>
      <x:c r="C1400" s="1"/>
      <x:c r="D1400" s="1"/>
      <x:c r="E1400" s="1"/>
      <x:c r="F1400" s="1"/>
      <x:c r="G1400" s="1"/>
      <x:c r="H1400" s="1"/>
      <x:c r="I1400" s="1"/>
      <x:c r="J1400" s="1"/>
      <x:c r="K1400" s="1"/>
      <x:c r="L1400" s="1"/>
      <x:c r="M1400" s="1"/>
      <x:c r="N1400" s="1"/>
      <x:c r="O1400" s="1"/>
      <x:c r="P1400" s="1"/>
      <x:c r="Q1400" s="1"/>
      <x:c r="R1400" s="1"/>
      <x:c r="S1400" s="1"/>
      <x:c r="T1400" s="1"/>
      <x:c r="U1400" s="1"/>
      <x:c r="V1400" s="1"/>
    </x:row>
    <x:row r="1401">
      <x:c r="A1401" s="1"/>
      <x:c r="B1401" s="1"/>
      <x:c r="C1401" s="1"/>
      <x:c r="D1401" s="1"/>
      <x:c r="E1401" s="1"/>
      <x:c r="F1401" s="1"/>
      <x:c r="G1401" s="1"/>
      <x:c r="H1401" s="1"/>
      <x:c r="I1401" s="1"/>
      <x:c r="J1401" s="1"/>
      <x:c r="K1401" s="1"/>
      <x:c r="L1401" s="1"/>
      <x:c r="M1401" s="1"/>
      <x:c r="N1401" s="1"/>
      <x:c r="O1401" s="1"/>
      <x:c r="P1401" s="1"/>
      <x:c r="Q1401" s="1"/>
      <x:c r="R1401" s="1"/>
      <x:c r="S1401" s="1"/>
      <x:c r="T1401" s="1"/>
      <x:c r="U1401" s="1"/>
      <x:c r="V1401" s="1"/>
    </x:row>
    <x:row r="1402">
      <x:c r="A1402" s="1"/>
      <x:c r="B1402" s="1"/>
      <x:c r="C1402" s="1"/>
      <x:c r="D1402" s="1"/>
      <x:c r="E1402" s="1"/>
      <x:c r="F1402" s="1"/>
      <x:c r="G1402" s="1"/>
      <x:c r="H1402" s="1"/>
      <x:c r="I1402" s="1"/>
      <x:c r="J1402" s="1"/>
      <x:c r="K1402" s="1"/>
      <x:c r="L1402" s="1"/>
      <x:c r="M1402" s="1"/>
      <x:c r="N1402" s="1"/>
      <x:c r="O1402" s="1"/>
      <x:c r="P1402" s="1"/>
      <x:c r="Q1402" s="1"/>
      <x:c r="R1402" s="1"/>
      <x:c r="S1402" s="1"/>
      <x:c r="T1402" s="1"/>
      <x:c r="U1402" s="1"/>
      <x:c r="V1402" s="1"/>
    </x:row>
    <x:row r="1403">
      <x:c r="A1403" s="1"/>
      <x:c r="B1403" s="1"/>
      <x:c r="C1403" s="1"/>
      <x:c r="D1403" s="1"/>
      <x:c r="E1403" s="1"/>
      <x:c r="F1403" s="1"/>
      <x:c r="G1403" s="1"/>
      <x:c r="H1403" s="1"/>
      <x:c r="I1403" s="1"/>
      <x:c r="J1403" s="1"/>
      <x:c r="K1403" s="1"/>
      <x:c r="L1403" s="1"/>
      <x:c r="M1403" s="1"/>
      <x:c r="N1403" s="1"/>
      <x:c r="O1403" s="1"/>
      <x:c r="P1403" s="1"/>
      <x:c r="Q1403" s="1"/>
      <x:c r="R1403" s="1"/>
      <x:c r="S1403" s="1"/>
      <x:c r="T1403" s="1"/>
      <x:c r="U1403" s="1"/>
      <x:c r="V1403" s="1"/>
    </x:row>
    <x:row r="1404">
      <x:c r="A1404" s="1"/>
      <x:c r="B1404" s="1"/>
      <x:c r="C1404" s="1"/>
      <x:c r="D1404" s="1"/>
      <x:c r="E1404" s="1"/>
      <x:c r="F1404" s="1"/>
      <x:c r="G1404" s="1"/>
      <x:c r="H1404" s="1"/>
      <x:c r="I1404" s="1"/>
      <x:c r="J1404" s="1"/>
      <x:c r="K1404" s="1"/>
      <x:c r="L1404" s="1"/>
      <x:c r="M1404" s="1"/>
      <x:c r="N1404" s="1"/>
      <x:c r="O1404" s="1"/>
      <x:c r="P1404" s="1"/>
      <x:c r="Q1404" s="1"/>
      <x:c r="R1404" s="1"/>
      <x:c r="S1404" s="1"/>
      <x:c r="T1404" s="1"/>
      <x:c r="U1404" s="1"/>
      <x:c r="V1404" s="1"/>
    </x:row>
    <x:row r="1405">
      <x:c r="A1405" s="1"/>
      <x:c r="B1405" s="1"/>
      <x:c r="C1405" s="1"/>
      <x:c r="D1405" s="1"/>
      <x:c r="E1405" s="1"/>
      <x:c r="F1405" s="1"/>
      <x:c r="G1405" s="1"/>
      <x:c r="H1405" s="1"/>
      <x:c r="I1405" s="1"/>
      <x:c r="J1405" s="1"/>
      <x:c r="K1405" s="1"/>
      <x:c r="L1405" s="1"/>
      <x:c r="M1405" s="1"/>
      <x:c r="N1405" s="1"/>
      <x:c r="O1405" s="1"/>
      <x:c r="P1405" s="1"/>
      <x:c r="Q1405" s="1"/>
      <x:c r="R1405" s="1"/>
      <x:c r="S1405" s="1"/>
      <x:c r="T1405" s="1"/>
      <x:c r="U1405" s="1"/>
      <x:c r="V1405" s="1"/>
    </x:row>
    <x:row r="1406">
      <x:c r="A1406" s="1"/>
      <x:c r="B1406" s="1"/>
      <x:c r="C1406" s="1"/>
      <x:c r="D1406" s="1"/>
      <x:c r="E1406" s="1"/>
      <x:c r="F1406" s="1"/>
      <x:c r="G1406" s="1"/>
      <x:c r="H1406" s="1"/>
      <x:c r="I1406" s="1"/>
      <x:c r="J1406" s="1"/>
      <x:c r="K1406" s="1"/>
      <x:c r="L1406" s="1"/>
      <x:c r="M1406" s="1"/>
      <x:c r="N1406" s="1"/>
      <x:c r="O1406" s="1"/>
      <x:c r="P1406" s="1"/>
      <x:c r="Q1406" s="1"/>
      <x:c r="R1406" s="1"/>
      <x:c r="S1406" s="1"/>
      <x:c r="T1406" s="1"/>
      <x:c r="U1406" s="1"/>
      <x:c r="V1406" s="1"/>
    </x:row>
    <x:row r="1407">
      <x:c r="A1407" s="1"/>
      <x:c r="B1407" s="1"/>
      <x:c r="C1407" s="1"/>
      <x:c r="D1407" s="1"/>
      <x:c r="E1407" s="1"/>
      <x:c r="F1407" s="1"/>
      <x:c r="G1407" s="1"/>
      <x:c r="H1407" s="1"/>
      <x:c r="I1407" s="1"/>
      <x:c r="J1407" s="1"/>
      <x:c r="K1407" s="1"/>
      <x:c r="L1407" s="1"/>
      <x:c r="M1407" s="1"/>
      <x:c r="N1407" s="1"/>
      <x:c r="O1407" s="1"/>
      <x:c r="P1407" s="1"/>
      <x:c r="Q1407" s="1"/>
      <x:c r="R1407" s="1"/>
      <x:c r="S1407" s="1"/>
      <x:c r="T1407" s="1"/>
      <x:c r="U1407" s="1"/>
      <x:c r="V1407" s="1"/>
    </x:row>
    <x:row r="1408">
      <x:c r="A1408" s="1"/>
      <x:c r="B1408" s="1"/>
      <x:c r="C1408" s="1"/>
      <x:c r="D1408" s="1"/>
      <x:c r="E1408" s="1"/>
      <x:c r="F1408" s="1"/>
      <x:c r="G1408" s="1"/>
      <x:c r="H1408" s="1"/>
      <x:c r="I1408" s="1"/>
      <x:c r="J1408" s="1"/>
      <x:c r="K1408" s="1"/>
      <x:c r="L1408" s="1"/>
      <x:c r="M1408" s="1"/>
      <x:c r="N1408" s="1"/>
      <x:c r="O1408" s="1"/>
      <x:c r="P1408" s="1"/>
      <x:c r="Q1408" s="1"/>
      <x:c r="R1408" s="1"/>
      <x:c r="S1408" s="1"/>
      <x:c r="T1408" s="1"/>
      <x:c r="U1408" s="1"/>
      <x:c r="V1408" s="1"/>
    </x:row>
    <x:row r="1409">
      <x:c r="A1409" s="1"/>
      <x:c r="B1409" s="1"/>
      <x:c r="C1409" s="1"/>
      <x:c r="D1409" s="1"/>
      <x:c r="E1409" s="1"/>
      <x:c r="F1409" s="1"/>
      <x:c r="G1409" s="1"/>
      <x:c r="H1409" s="1"/>
      <x:c r="I1409" s="1"/>
      <x:c r="J1409" s="1"/>
      <x:c r="K1409" s="1"/>
      <x:c r="L1409" s="1"/>
      <x:c r="M1409" s="1"/>
      <x:c r="N1409" s="1"/>
      <x:c r="O1409" s="1"/>
      <x:c r="P1409" s="1"/>
      <x:c r="Q1409" s="1"/>
      <x:c r="R1409" s="1"/>
      <x:c r="S1409" s="1"/>
      <x:c r="T1409" s="1"/>
      <x:c r="U1409" s="1"/>
      <x:c r="V1409" s="1"/>
    </x:row>
    <x:row r="1410">
      <x:c r="A1410" s="1"/>
      <x:c r="B1410" s="1"/>
      <x:c r="C1410" s="1"/>
      <x:c r="D1410" s="1"/>
      <x:c r="E1410" s="1"/>
      <x:c r="F1410" s="1"/>
      <x:c r="G1410" s="1"/>
      <x:c r="H1410" s="1"/>
      <x:c r="I1410" s="1"/>
      <x:c r="J1410" s="1"/>
      <x:c r="K1410" s="1"/>
      <x:c r="L1410" s="1"/>
      <x:c r="M1410" s="1"/>
      <x:c r="N1410" s="1"/>
      <x:c r="O1410" s="1"/>
      <x:c r="P1410" s="1"/>
      <x:c r="Q1410" s="1"/>
      <x:c r="R1410" s="1"/>
      <x:c r="S1410" s="1"/>
      <x:c r="T1410" s="1"/>
      <x:c r="U1410" s="1"/>
      <x:c r="V1410" s="1"/>
    </x:row>
    <x:row r="1411">
      <x:c r="A1411" s="1"/>
      <x:c r="B1411" s="1"/>
      <x:c r="C1411" s="1"/>
      <x:c r="D1411" s="1"/>
      <x:c r="E1411" s="1"/>
      <x:c r="F1411" s="1"/>
      <x:c r="G1411" s="1"/>
      <x:c r="H1411" s="1"/>
      <x:c r="I1411" s="1"/>
      <x:c r="J1411" s="1"/>
      <x:c r="K1411" s="1"/>
      <x:c r="L1411" s="1"/>
      <x:c r="M1411" s="1"/>
      <x:c r="N1411" s="1"/>
      <x:c r="O1411" s="1"/>
      <x:c r="P1411" s="1"/>
      <x:c r="Q1411" s="1"/>
      <x:c r="R1411" s="1"/>
      <x:c r="S1411" s="1"/>
      <x:c r="T1411" s="1"/>
      <x:c r="U1411" s="1"/>
      <x:c r="V1411" s="1"/>
    </x:row>
    <x:row r="1412">
      <x:c r="A1412" s="1"/>
      <x:c r="B1412" s="1"/>
      <x:c r="C1412" s="1"/>
      <x:c r="D1412" s="1"/>
      <x:c r="E1412" s="1"/>
      <x:c r="F1412" s="1"/>
      <x:c r="G1412" s="1"/>
      <x:c r="H1412" s="1"/>
      <x:c r="I1412" s="1"/>
      <x:c r="J1412" s="1"/>
      <x:c r="K1412" s="1"/>
      <x:c r="L1412" s="1"/>
      <x:c r="M1412" s="1"/>
      <x:c r="N1412" s="1"/>
      <x:c r="O1412" s="1"/>
      <x:c r="P1412" s="1"/>
      <x:c r="Q1412" s="1"/>
      <x:c r="R1412" s="1"/>
      <x:c r="S1412" s="1"/>
      <x:c r="T1412" s="1"/>
      <x:c r="U1412" s="1"/>
      <x:c r="V1412" s="1"/>
    </x:row>
    <x:row r="1413">
      <x:c r="A1413" s="1"/>
      <x:c r="B1413" s="1"/>
      <x:c r="C1413" s="1"/>
      <x:c r="D1413" s="1"/>
      <x:c r="E1413" s="1"/>
      <x:c r="F1413" s="1"/>
      <x:c r="G1413" s="1"/>
      <x:c r="H1413" s="1"/>
      <x:c r="I1413" s="1"/>
      <x:c r="J1413" s="1"/>
      <x:c r="K1413" s="1"/>
      <x:c r="L1413" s="1"/>
      <x:c r="M1413" s="1"/>
      <x:c r="N1413" s="1"/>
      <x:c r="O1413" s="1"/>
      <x:c r="P1413" s="1"/>
      <x:c r="Q1413" s="1"/>
      <x:c r="R1413" s="1"/>
      <x:c r="S1413" s="1"/>
      <x:c r="T1413" s="1"/>
      <x:c r="U1413" s="1"/>
      <x:c r="V1413" s="1"/>
    </x:row>
    <x:row r="1414">
      <x:c r="A1414" s="1"/>
      <x:c r="B1414" s="1"/>
      <x:c r="C1414" s="1"/>
      <x:c r="D1414" s="1"/>
      <x:c r="E1414" s="1"/>
      <x:c r="F1414" s="1"/>
      <x:c r="G1414" s="1"/>
      <x:c r="H1414" s="1"/>
      <x:c r="I1414" s="1"/>
      <x:c r="J1414" s="1"/>
      <x:c r="K1414" s="1"/>
      <x:c r="L1414" s="1"/>
      <x:c r="M1414" s="1"/>
      <x:c r="N1414" s="1"/>
      <x:c r="O1414" s="1"/>
      <x:c r="P1414" s="1"/>
      <x:c r="Q1414" s="1"/>
      <x:c r="R1414" s="1"/>
      <x:c r="S1414" s="1"/>
      <x:c r="T1414" s="1"/>
      <x:c r="U1414" s="1"/>
      <x:c r="V1414" s="1"/>
    </x:row>
    <x:row r="1415">
      <x:c r="A1415" s="1"/>
      <x:c r="B1415" s="1"/>
      <x:c r="C1415" s="1"/>
      <x:c r="D1415" s="1"/>
      <x:c r="E1415" s="1"/>
      <x:c r="F1415" s="1"/>
      <x:c r="G1415" s="1"/>
      <x:c r="H1415" s="1"/>
      <x:c r="I1415" s="1"/>
      <x:c r="J1415" s="1"/>
      <x:c r="K1415" s="1"/>
      <x:c r="L1415" s="1"/>
      <x:c r="M1415" s="1"/>
      <x:c r="N1415" s="1"/>
      <x:c r="O1415" s="1"/>
      <x:c r="P1415" s="1"/>
      <x:c r="Q1415" s="1"/>
      <x:c r="R1415" s="1"/>
      <x:c r="S1415" s="1"/>
      <x:c r="T1415" s="1"/>
      <x:c r="U1415" s="1"/>
      <x:c r="V1415" s="1"/>
    </x:row>
    <x:row r="1416">
      <x:c r="A1416" s="1"/>
      <x:c r="B1416" s="1"/>
      <x:c r="C1416" s="1"/>
      <x:c r="D1416" s="1"/>
      <x:c r="E1416" s="1"/>
      <x:c r="F1416" s="1"/>
      <x:c r="G1416" s="1"/>
      <x:c r="H1416" s="1"/>
      <x:c r="I1416" s="1"/>
      <x:c r="J1416" s="1"/>
      <x:c r="K1416" s="1"/>
      <x:c r="L1416" s="1"/>
      <x:c r="M1416" s="1"/>
      <x:c r="N1416" s="1"/>
      <x:c r="O1416" s="1"/>
      <x:c r="P1416" s="1"/>
      <x:c r="Q1416" s="1"/>
      <x:c r="R1416" s="1"/>
      <x:c r="S1416" s="1"/>
      <x:c r="T1416" s="1"/>
      <x:c r="U1416" s="1"/>
      <x:c r="V1416" s="1"/>
    </x:row>
    <x:row r="1417">
      <x:c r="A1417" s="1"/>
      <x:c r="B1417" s="1"/>
      <x:c r="C1417" s="1"/>
      <x:c r="D1417" s="1"/>
      <x:c r="E1417" s="1"/>
      <x:c r="F1417" s="1"/>
      <x:c r="G1417" s="1"/>
      <x:c r="H1417" s="1"/>
      <x:c r="I1417" s="1"/>
      <x:c r="J1417" s="1"/>
      <x:c r="K1417" s="1"/>
      <x:c r="L1417" s="1"/>
      <x:c r="M1417" s="1"/>
      <x:c r="N1417" s="1"/>
      <x:c r="O1417" s="1"/>
      <x:c r="P1417" s="1"/>
      <x:c r="Q1417" s="1"/>
      <x:c r="R1417" s="1"/>
      <x:c r="S1417" s="1"/>
      <x:c r="T1417" s="1"/>
      <x:c r="U1417" s="1"/>
      <x:c r="V1417" s="1"/>
    </x:row>
    <x:row r="1418">
      <x:c r="A1418" s="1"/>
      <x:c r="B1418" s="1"/>
      <x:c r="C1418" s="1"/>
      <x:c r="D1418" s="1"/>
      <x:c r="E1418" s="1"/>
      <x:c r="F1418" s="1"/>
      <x:c r="G1418" s="1"/>
      <x:c r="H1418" s="1"/>
      <x:c r="I1418" s="1"/>
      <x:c r="J1418" s="1"/>
      <x:c r="K1418" s="1"/>
      <x:c r="L1418" s="1"/>
      <x:c r="M1418" s="1"/>
      <x:c r="N1418" s="1"/>
      <x:c r="O1418" s="1"/>
      <x:c r="P1418" s="1"/>
      <x:c r="Q1418" s="1"/>
      <x:c r="R1418" s="1"/>
      <x:c r="S1418" s="1"/>
      <x:c r="T1418" s="1"/>
      <x:c r="U1418" s="1"/>
      <x:c r="V1418" s="1"/>
    </x:row>
    <x:row r="1419">
      <x:c r="A1419" s="1"/>
      <x:c r="B1419" s="1"/>
      <x:c r="C1419" s="1"/>
      <x:c r="D1419" s="1"/>
      <x:c r="E1419" s="1"/>
      <x:c r="F1419" s="1"/>
      <x:c r="G1419" s="1"/>
      <x:c r="H1419" s="1"/>
      <x:c r="I1419" s="1"/>
      <x:c r="J1419" s="1"/>
      <x:c r="K1419" s="1"/>
      <x:c r="L1419" s="1"/>
      <x:c r="M1419" s="1"/>
      <x:c r="N1419" s="1"/>
      <x:c r="O1419" s="1"/>
      <x:c r="P1419" s="1"/>
      <x:c r="Q1419" s="1"/>
      <x:c r="R1419" s="1"/>
      <x:c r="S1419" s="1"/>
      <x:c r="T1419" s="1"/>
      <x:c r="U1419" s="1"/>
      <x:c r="V1419" s="1"/>
    </x:row>
    <x:row r="1420">
      <x:c r="A1420" s="1"/>
      <x:c r="B1420" s="1"/>
      <x:c r="C1420" s="1"/>
      <x:c r="D1420" s="1"/>
      <x:c r="E1420" s="1"/>
      <x:c r="F1420" s="1"/>
      <x:c r="G1420" s="1"/>
      <x:c r="H1420" s="1"/>
      <x:c r="I1420" s="1"/>
      <x:c r="J1420" s="1"/>
      <x:c r="K1420" s="1"/>
      <x:c r="L1420" s="1"/>
      <x:c r="M1420" s="1"/>
      <x:c r="N1420" s="1"/>
      <x:c r="O1420" s="1"/>
      <x:c r="P1420" s="1"/>
      <x:c r="Q1420" s="1"/>
      <x:c r="R1420" s="1"/>
      <x:c r="S1420" s="1"/>
      <x:c r="T1420" s="1"/>
      <x:c r="U1420" s="1"/>
      <x:c r="V1420" s="1"/>
    </x:row>
    <x:row r="1421">
      <x:c r="A1421" s="1"/>
      <x:c r="B1421" s="1"/>
      <x:c r="C1421" s="1"/>
      <x:c r="D1421" s="1"/>
      <x:c r="E1421" s="1"/>
      <x:c r="F1421" s="1"/>
      <x:c r="G1421" s="1"/>
      <x:c r="H1421" s="1"/>
      <x:c r="I1421" s="1"/>
      <x:c r="J1421" s="1"/>
      <x:c r="K1421" s="1"/>
      <x:c r="L1421" s="1"/>
      <x:c r="M1421" s="1"/>
      <x:c r="N1421" s="1"/>
      <x:c r="O1421" s="1"/>
      <x:c r="P1421" s="1"/>
      <x:c r="Q1421" s="1"/>
      <x:c r="R1421" s="1"/>
      <x:c r="S1421" s="1"/>
      <x:c r="T1421" s="1"/>
      <x:c r="U1421" s="1"/>
      <x:c r="V1421" s="1"/>
    </x:row>
    <x:row r="1422">
      <x:c r="A1422" s="1"/>
      <x:c r="B1422" s="1"/>
      <x:c r="C1422" s="1"/>
      <x:c r="D1422" s="1"/>
      <x:c r="E1422" s="1"/>
      <x:c r="F1422" s="1"/>
      <x:c r="G1422" s="1"/>
      <x:c r="H1422" s="1"/>
      <x:c r="I1422" s="1"/>
      <x:c r="J1422" s="1"/>
      <x:c r="K1422" s="1"/>
      <x:c r="L1422" s="1"/>
      <x:c r="M1422" s="1"/>
      <x:c r="N1422" s="1"/>
      <x:c r="O1422" s="1"/>
      <x:c r="P1422" s="1"/>
      <x:c r="Q1422" s="1"/>
      <x:c r="R1422" s="1"/>
      <x:c r="S1422" s="1"/>
      <x:c r="T1422" s="1"/>
      <x:c r="U1422" s="1"/>
      <x:c r="V1422" s="1"/>
    </x:row>
    <x:row r="1423">
      <x:c r="A1423" s="1"/>
      <x:c r="B1423" s="1"/>
      <x:c r="C1423" s="1"/>
      <x:c r="D1423" s="1"/>
      <x:c r="E1423" s="1"/>
      <x:c r="F1423" s="1"/>
      <x:c r="G1423" s="1"/>
      <x:c r="H1423" s="1"/>
      <x:c r="I1423" s="1"/>
      <x:c r="J1423" s="1"/>
      <x:c r="K1423" s="1"/>
      <x:c r="L1423" s="1"/>
      <x:c r="M1423" s="1"/>
      <x:c r="N1423" s="1"/>
      <x:c r="O1423" s="1"/>
      <x:c r="P1423" s="1"/>
      <x:c r="Q1423" s="1"/>
      <x:c r="R1423" s="1"/>
      <x:c r="S1423" s="1"/>
      <x:c r="T1423" s="1"/>
      <x:c r="U1423" s="1"/>
      <x:c r="V1423" s="1"/>
    </x:row>
    <x:row r="1424">
      <x:c r="A1424" s="1"/>
      <x:c r="B1424" s="1"/>
      <x:c r="C1424" s="1"/>
      <x:c r="D1424" s="1"/>
      <x:c r="E1424" s="1"/>
      <x:c r="F1424" s="1"/>
      <x:c r="G1424" s="1"/>
      <x:c r="H1424" s="1"/>
      <x:c r="I1424" s="1"/>
      <x:c r="J1424" s="1"/>
      <x:c r="K1424" s="1"/>
      <x:c r="L1424" s="1"/>
      <x:c r="M1424" s="1"/>
      <x:c r="N1424" s="1"/>
      <x:c r="O1424" s="1"/>
      <x:c r="P1424" s="1"/>
      <x:c r="Q1424" s="1"/>
      <x:c r="R1424" s="1"/>
      <x:c r="S1424" s="1"/>
      <x:c r="T1424" s="1"/>
      <x:c r="U1424" s="1"/>
      <x:c r="V1424" s="1"/>
    </x:row>
    <x:row r="1425">
      <x:c r="A1425" s="1"/>
      <x:c r="B1425" s="1"/>
      <x:c r="C1425" s="1"/>
      <x:c r="D1425" s="1"/>
      <x:c r="E1425" s="1"/>
      <x:c r="F1425" s="1"/>
      <x:c r="G1425" s="1"/>
      <x:c r="H1425" s="1"/>
      <x:c r="I1425" s="1"/>
      <x:c r="J1425" s="1"/>
      <x:c r="K1425" s="1"/>
      <x:c r="L1425" s="1"/>
      <x:c r="M1425" s="1"/>
      <x:c r="N1425" s="1"/>
      <x:c r="O1425" s="1"/>
      <x:c r="P1425" s="1"/>
      <x:c r="Q1425" s="1"/>
      <x:c r="R1425" s="1"/>
      <x:c r="S1425" s="1"/>
      <x:c r="T1425" s="1"/>
      <x:c r="U1425" s="1"/>
      <x:c r="V1425" s="1"/>
    </x:row>
    <x:row r="1426">
      <x:c r="A1426" s="1"/>
      <x:c r="B1426" s="1"/>
      <x:c r="C1426" s="1"/>
      <x:c r="D1426" s="1"/>
      <x:c r="E1426" s="1"/>
      <x:c r="F1426" s="1"/>
      <x:c r="G1426" s="1"/>
      <x:c r="H1426" s="1"/>
      <x:c r="I1426" s="1"/>
      <x:c r="J1426" s="1"/>
      <x:c r="K1426" s="1"/>
      <x:c r="L1426" s="1"/>
      <x:c r="M1426" s="1"/>
      <x:c r="N1426" s="1"/>
      <x:c r="O1426" s="1"/>
      <x:c r="P1426" s="1"/>
      <x:c r="Q1426" s="1"/>
      <x:c r="R1426" s="1"/>
      <x:c r="S1426" s="1"/>
      <x:c r="T1426" s="1"/>
      <x:c r="U1426" s="1"/>
      <x:c r="V1426" s="1"/>
    </x:row>
    <x:row r="1427">
      <x:c r="A1427" s="1"/>
      <x:c r="B1427" s="1"/>
      <x:c r="C1427" s="1"/>
      <x:c r="D1427" s="1"/>
      <x:c r="E1427" s="1"/>
      <x:c r="F1427" s="1"/>
      <x:c r="G1427" s="1"/>
      <x:c r="H1427" s="1"/>
      <x:c r="I1427" s="1"/>
      <x:c r="J1427" s="1"/>
      <x:c r="K1427" s="1"/>
      <x:c r="L1427" s="1"/>
      <x:c r="M1427" s="1"/>
      <x:c r="N1427" s="1"/>
      <x:c r="O1427" s="1"/>
      <x:c r="P1427" s="1"/>
      <x:c r="Q1427" s="1"/>
      <x:c r="R1427" s="1"/>
      <x:c r="S1427" s="1"/>
      <x:c r="T1427" s="1"/>
      <x:c r="U1427" s="1"/>
      <x:c r="V1427" s="1"/>
    </x:row>
    <x:row r="1428">
      <x:c r="A1428" s="1"/>
      <x:c r="B1428" s="1"/>
      <x:c r="C1428" s="1"/>
      <x:c r="D1428" s="1"/>
      <x:c r="E1428" s="1"/>
      <x:c r="F1428" s="1"/>
      <x:c r="G1428" s="1"/>
      <x:c r="H1428" s="1"/>
      <x:c r="I1428" s="1"/>
      <x:c r="J1428" s="1"/>
      <x:c r="K1428" s="1"/>
      <x:c r="L1428" s="1"/>
      <x:c r="M1428" s="1"/>
      <x:c r="N1428" s="1"/>
      <x:c r="O1428" s="1"/>
      <x:c r="P1428" s="1"/>
      <x:c r="Q1428" s="1"/>
      <x:c r="R1428" s="1"/>
      <x:c r="S1428" s="1"/>
      <x:c r="T1428" s="1"/>
      <x:c r="U1428" s="1"/>
      <x:c r="V1428" s="1"/>
    </x:row>
    <x:row r="1429">
      <x:c r="A1429" s="1"/>
      <x:c r="B1429" s="1"/>
      <x:c r="C1429" s="1"/>
      <x:c r="D1429" s="1"/>
      <x:c r="E1429" s="1"/>
      <x:c r="F1429" s="1"/>
      <x:c r="G1429" s="1"/>
      <x:c r="H1429" s="1"/>
      <x:c r="I1429" s="1"/>
      <x:c r="J1429" s="1"/>
      <x:c r="K1429" s="1"/>
      <x:c r="L1429" s="1"/>
      <x:c r="M1429" s="1"/>
      <x:c r="N1429" s="1"/>
      <x:c r="O1429" s="1"/>
      <x:c r="P1429" s="1"/>
      <x:c r="Q1429" s="1"/>
      <x:c r="R1429" s="1"/>
      <x:c r="S1429" s="1"/>
      <x:c r="T1429" s="1"/>
      <x:c r="U1429" s="1"/>
      <x:c r="V1429" s="1"/>
    </x:row>
    <x:row r="1430">
      <x:c r="A1430" s="1"/>
      <x:c r="B1430" s="1"/>
      <x:c r="C1430" s="1"/>
      <x:c r="D1430" s="1"/>
      <x:c r="E1430" s="1"/>
      <x:c r="F1430" s="1"/>
      <x:c r="G1430" s="1"/>
      <x:c r="H1430" s="1"/>
      <x:c r="I1430" s="1"/>
      <x:c r="J1430" s="1"/>
      <x:c r="K1430" s="1"/>
      <x:c r="L1430" s="1"/>
      <x:c r="M1430" s="1"/>
      <x:c r="N1430" s="1"/>
      <x:c r="O1430" s="1"/>
      <x:c r="P1430" s="1"/>
      <x:c r="Q1430" s="1"/>
      <x:c r="R1430" s="1"/>
      <x:c r="S1430" s="1"/>
      <x:c r="T1430" s="1"/>
      <x:c r="U1430" s="1"/>
      <x:c r="V1430" s="1"/>
    </x:row>
    <x:row r="1431">
      <x:c r="A1431" s="1"/>
      <x:c r="B1431" s="1"/>
      <x:c r="C1431" s="1"/>
      <x:c r="D1431" s="1"/>
      <x:c r="E1431" s="1"/>
      <x:c r="F1431" s="1"/>
      <x:c r="G1431" s="1"/>
      <x:c r="H1431" s="1"/>
      <x:c r="I1431" s="1"/>
      <x:c r="J1431" s="1"/>
      <x:c r="K1431" s="1"/>
      <x:c r="L1431" s="1"/>
      <x:c r="M1431" s="1"/>
      <x:c r="N1431" s="1"/>
      <x:c r="O1431" s="1"/>
      <x:c r="P1431" s="1"/>
      <x:c r="Q1431" s="1"/>
      <x:c r="R1431" s="1"/>
      <x:c r="S1431" s="1"/>
      <x:c r="T1431" s="1"/>
      <x:c r="U1431" s="1"/>
      <x:c r="V1431" s="1"/>
    </x:row>
    <x:row r="1432">
      <x:c r="A1432" s="1"/>
      <x:c r="B1432" s="1"/>
      <x:c r="C1432" s="1"/>
      <x:c r="D1432" s="1"/>
      <x:c r="E1432" s="1"/>
      <x:c r="F1432" s="1"/>
      <x:c r="G1432" s="1"/>
      <x:c r="H1432" s="1"/>
      <x:c r="I1432" s="1"/>
      <x:c r="J1432" s="1"/>
      <x:c r="K1432" s="1"/>
      <x:c r="L1432" s="1"/>
      <x:c r="M1432" s="1"/>
      <x:c r="N1432" s="1"/>
      <x:c r="O1432" s="1"/>
      <x:c r="P1432" s="1"/>
      <x:c r="Q1432" s="1"/>
      <x:c r="R1432" s="1"/>
      <x:c r="S1432" s="1"/>
      <x:c r="T1432" s="1"/>
      <x:c r="U1432" s="1"/>
      <x:c r="V1432" s="1"/>
    </x:row>
    <x:row r="1433">
      <x:c r="A1433" s="1"/>
      <x:c r="B1433" s="1"/>
      <x:c r="C1433" s="1"/>
      <x:c r="D1433" s="1"/>
      <x:c r="E1433" s="1"/>
      <x:c r="F1433" s="1"/>
      <x:c r="G1433" s="1"/>
      <x:c r="H1433" s="1"/>
      <x:c r="I1433" s="1"/>
      <x:c r="J1433" s="1"/>
      <x:c r="K1433" s="1"/>
      <x:c r="L1433" s="1"/>
      <x:c r="M1433" s="1"/>
      <x:c r="N1433" s="1"/>
      <x:c r="O1433" s="1"/>
      <x:c r="P1433" s="1"/>
      <x:c r="Q1433" s="1"/>
      <x:c r="R1433" s="1"/>
      <x:c r="S1433" s="1"/>
      <x:c r="T1433" s="1"/>
      <x:c r="U1433" s="1"/>
      <x:c r="V1433" s="1"/>
    </x:row>
    <x:row r="1434">
      <x:c r="A1434" s="1"/>
      <x:c r="B1434" s="1"/>
      <x:c r="C1434" s="1"/>
      <x:c r="D1434" s="1"/>
      <x:c r="E1434" s="1"/>
      <x:c r="F1434" s="1"/>
      <x:c r="G1434" s="1"/>
      <x:c r="H1434" s="1"/>
      <x:c r="I1434" s="1"/>
      <x:c r="J1434" s="1"/>
      <x:c r="K1434" s="1"/>
      <x:c r="L1434" s="1"/>
      <x:c r="M1434" s="1"/>
      <x:c r="N1434" s="1"/>
      <x:c r="O1434" s="1"/>
      <x:c r="P1434" s="1"/>
      <x:c r="Q1434" s="1"/>
      <x:c r="R1434" s="1"/>
      <x:c r="S1434" s="1"/>
      <x:c r="T1434" s="1"/>
      <x:c r="U1434" s="1"/>
      <x:c r="V1434" s="1"/>
    </x:row>
    <x:row r="1435">
      <x:c r="A1435" s="1"/>
      <x:c r="B1435" s="1"/>
      <x:c r="C1435" s="1"/>
      <x:c r="D1435" s="1"/>
      <x:c r="E1435" s="1"/>
      <x:c r="F1435" s="1"/>
      <x:c r="G1435" s="1"/>
      <x:c r="H1435" s="1"/>
      <x:c r="I1435" s="1"/>
      <x:c r="J1435" s="1"/>
      <x:c r="K1435" s="1"/>
      <x:c r="L1435" s="1"/>
      <x:c r="M1435" s="1"/>
      <x:c r="N1435" s="1"/>
      <x:c r="O1435" s="1"/>
      <x:c r="P1435" s="1"/>
      <x:c r="Q1435" s="1"/>
      <x:c r="R1435" s="1"/>
      <x:c r="S1435" s="1"/>
      <x:c r="T1435" s="1"/>
      <x:c r="U1435" s="1"/>
      <x:c r="V1435" s="1"/>
    </x:row>
    <x:row r="1436">
      <x:c r="A1436" s="1"/>
      <x:c r="B1436" s="1"/>
      <x:c r="C1436" s="1"/>
      <x:c r="D1436" s="1"/>
      <x:c r="E1436" s="1"/>
      <x:c r="F1436" s="1"/>
      <x:c r="G1436" s="1"/>
      <x:c r="H1436" s="1"/>
      <x:c r="I1436" s="1"/>
      <x:c r="J1436" s="1"/>
      <x:c r="K1436" s="1"/>
      <x:c r="L1436" s="1"/>
      <x:c r="M1436" s="1"/>
      <x:c r="N1436" s="1"/>
      <x:c r="O1436" s="1"/>
      <x:c r="P1436" s="1"/>
      <x:c r="Q1436" s="1"/>
      <x:c r="R1436" s="1"/>
      <x:c r="S1436" s="1"/>
      <x:c r="T1436" s="1"/>
      <x:c r="U1436" s="1"/>
      <x:c r="V1436" s="1"/>
    </x:row>
    <x:row r="1437">
      <x:c r="A1437" s="1"/>
      <x:c r="B1437" s="1"/>
      <x:c r="C1437" s="1"/>
      <x:c r="D1437" s="1"/>
      <x:c r="E1437" s="1"/>
      <x:c r="F1437" s="1"/>
      <x:c r="G1437" s="1"/>
      <x:c r="H1437" s="1"/>
      <x:c r="I1437" s="1"/>
      <x:c r="J1437" s="1"/>
      <x:c r="K1437" s="1"/>
      <x:c r="L1437" s="1"/>
      <x:c r="M1437" s="1"/>
      <x:c r="N1437" s="1"/>
      <x:c r="O1437" s="1"/>
      <x:c r="P1437" s="1"/>
      <x:c r="Q1437" s="1"/>
      <x:c r="R1437" s="1"/>
      <x:c r="S1437" s="1"/>
      <x:c r="T1437" s="1"/>
      <x:c r="U1437" s="1"/>
      <x:c r="V1437" s="1"/>
    </x:row>
    <x:row r="1438">
      <x:c r="A1438" s="1"/>
      <x:c r="B1438" s="1"/>
      <x:c r="C1438" s="1"/>
      <x:c r="D1438" s="1"/>
      <x:c r="E1438" s="1"/>
      <x:c r="F1438" s="1"/>
      <x:c r="G1438" s="1"/>
      <x:c r="H1438" s="1"/>
      <x:c r="I1438" s="1"/>
      <x:c r="J1438" s="1"/>
      <x:c r="K1438" s="1"/>
      <x:c r="L1438" s="1"/>
      <x:c r="M1438" s="1"/>
      <x:c r="N1438" s="1"/>
      <x:c r="O1438" s="1"/>
      <x:c r="P1438" s="1"/>
      <x:c r="Q1438" s="1"/>
      <x:c r="R1438" s="1"/>
      <x:c r="S1438" s="1"/>
      <x:c r="T1438" s="1"/>
      <x:c r="U1438" s="1"/>
      <x:c r="V1438" s="1"/>
    </x:row>
    <x:row r="1439">
      <x:c r="A1439" s="1"/>
      <x:c r="B1439" s="1"/>
      <x:c r="C1439" s="1"/>
      <x:c r="D1439" s="1"/>
      <x:c r="E1439" s="1"/>
      <x:c r="F1439" s="1"/>
      <x:c r="G1439" s="1"/>
      <x:c r="H1439" s="1"/>
      <x:c r="I1439" s="1"/>
      <x:c r="J1439" s="1"/>
      <x:c r="K1439" s="1"/>
      <x:c r="L1439" s="1"/>
      <x:c r="M1439" s="1"/>
      <x:c r="N1439" s="1"/>
      <x:c r="O1439" s="1"/>
      <x:c r="P1439" s="1"/>
      <x:c r="Q1439" s="1"/>
      <x:c r="R1439" s="1"/>
      <x:c r="S1439" s="1"/>
      <x:c r="T1439" s="1"/>
      <x:c r="U1439" s="1"/>
      <x:c r="V1439" s="1"/>
    </x:row>
    <x:row r="1440">
      <x:c r="A1440" s="1"/>
      <x:c r="B1440" s="1"/>
      <x:c r="C1440" s="1"/>
      <x:c r="D1440" s="1"/>
      <x:c r="E1440" s="1"/>
      <x:c r="F1440" s="1"/>
      <x:c r="G1440" s="1"/>
      <x:c r="H1440" s="1"/>
      <x:c r="I1440" s="1"/>
      <x:c r="J1440" s="1"/>
      <x:c r="K1440" s="1"/>
      <x:c r="L1440" s="1"/>
      <x:c r="M1440" s="1"/>
      <x:c r="N1440" s="1"/>
      <x:c r="O1440" s="1"/>
      <x:c r="P1440" s="1"/>
      <x:c r="Q1440" s="1"/>
      <x:c r="R1440" s="1"/>
      <x:c r="S1440" s="1"/>
      <x:c r="T1440" s="1"/>
      <x:c r="U1440" s="1"/>
      <x:c r="V1440" s="1"/>
    </x:row>
    <x:row r="1441">
      <x:c r="A1441" s="1"/>
      <x:c r="B1441" s="1"/>
      <x:c r="C1441" s="1"/>
      <x:c r="D1441" s="1"/>
      <x:c r="E1441" s="1"/>
      <x:c r="F1441" s="1"/>
      <x:c r="G1441" s="1"/>
      <x:c r="H1441" s="1"/>
      <x:c r="I1441" s="1"/>
      <x:c r="J1441" s="1"/>
      <x:c r="K1441" s="1"/>
      <x:c r="L1441" s="1"/>
      <x:c r="M1441" s="1"/>
      <x:c r="N1441" s="1"/>
      <x:c r="O1441" s="1"/>
      <x:c r="P1441" s="1"/>
      <x:c r="Q1441" s="1"/>
      <x:c r="R1441" s="1"/>
      <x:c r="S1441" s="1"/>
      <x:c r="T1441" s="1"/>
      <x:c r="U1441" s="1"/>
      <x:c r="V1441" s="1"/>
    </x:row>
    <x:row r="1442">
      <x:c r="A1442" s="1"/>
      <x:c r="B1442" s="1"/>
      <x:c r="C1442" s="1"/>
      <x:c r="D1442" s="1"/>
      <x:c r="E1442" s="1"/>
      <x:c r="F1442" s="1"/>
      <x:c r="G1442" s="1"/>
      <x:c r="H1442" s="1"/>
      <x:c r="I1442" s="1"/>
      <x:c r="J1442" s="1"/>
      <x:c r="K1442" s="1"/>
      <x:c r="L1442" s="1"/>
      <x:c r="M1442" s="1"/>
      <x:c r="N1442" s="1"/>
      <x:c r="O1442" s="1"/>
      <x:c r="P1442" s="1"/>
      <x:c r="Q1442" s="1"/>
      <x:c r="R1442" s="1"/>
      <x:c r="S1442" s="1"/>
      <x:c r="T1442" s="1"/>
      <x:c r="U1442" s="1"/>
      <x:c r="V1442" s="1"/>
    </x:row>
    <x:row r="1443">
      <x:c r="A1443" s="1"/>
      <x:c r="B1443" s="1"/>
      <x:c r="C1443" s="1"/>
      <x:c r="D1443" s="1"/>
      <x:c r="E1443" s="1"/>
      <x:c r="F1443" s="1"/>
      <x:c r="G1443" s="1"/>
      <x:c r="H1443" s="1"/>
      <x:c r="I1443" s="1"/>
      <x:c r="J1443" s="1"/>
      <x:c r="K1443" s="1"/>
      <x:c r="L1443" s="1"/>
      <x:c r="M1443" s="1"/>
      <x:c r="N1443" s="1"/>
      <x:c r="O1443" s="1"/>
      <x:c r="P1443" s="1"/>
      <x:c r="Q1443" s="1"/>
      <x:c r="R1443" s="1"/>
      <x:c r="S1443" s="1"/>
      <x:c r="T1443" s="1"/>
      <x:c r="U1443" s="1"/>
      <x:c r="V1443" s="1"/>
    </x:row>
    <x:row r="1444">
      <x:c r="A1444" s="1"/>
      <x:c r="B1444" s="1"/>
      <x:c r="C1444" s="1"/>
      <x:c r="D1444" s="1"/>
      <x:c r="E1444" s="1"/>
      <x:c r="F1444" s="1"/>
      <x:c r="G1444" s="1"/>
      <x:c r="H1444" s="1"/>
      <x:c r="I1444" s="1"/>
      <x:c r="J1444" s="1"/>
      <x:c r="K1444" s="1"/>
      <x:c r="L1444" s="1"/>
      <x:c r="M1444" s="1"/>
      <x:c r="N1444" s="1"/>
      <x:c r="O1444" s="1"/>
      <x:c r="P1444" s="1"/>
      <x:c r="Q1444" s="1"/>
      <x:c r="R1444" s="1"/>
      <x:c r="S1444" s="1"/>
      <x:c r="T1444" s="1"/>
      <x:c r="U1444" s="1"/>
      <x:c r="V1444" s="1"/>
    </x:row>
    <x:row r="1445">
      <x:c r="A1445" s="1"/>
      <x:c r="B1445" s="1"/>
      <x:c r="C1445" s="1"/>
      <x:c r="D1445" s="1"/>
      <x:c r="E1445" s="1"/>
      <x:c r="F1445" s="1"/>
      <x:c r="G1445" s="1"/>
      <x:c r="H1445" s="1"/>
      <x:c r="I1445" s="1"/>
      <x:c r="J1445" s="1"/>
      <x:c r="K1445" s="1"/>
      <x:c r="L1445" s="1"/>
      <x:c r="M1445" s="1"/>
      <x:c r="N1445" s="1"/>
      <x:c r="O1445" s="1"/>
      <x:c r="P1445" s="1"/>
      <x:c r="Q1445" s="1"/>
      <x:c r="R1445" s="1"/>
      <x:c r="S1445" s="1"/>
      <x:c r="T1445" s="1"/>
      <x:c r="U1445" s="1"/>
      <x:c r="V1445" s="1"/>
    </x:row>
    <x:row r="1446">
      <x:c r="A1446" s="1"/>
      <x:c r="B1446" s="1"/>
      <x:c r="C1446" s="1"/>
      <x:c r="D1446" s="1"/>
      <x:c r="E1446" s="1"/>
      <x:c r="F1446" s="1"/>
      <x:c r="G1446" s="1"/>
      <x:c r="H1446" s="1"/>
      <x:c r="I1446" s="1"/>
      <x:c r="J1446" s="1"/>
      <x:c r="K1446" s="1"/>
      <x:c r="L1446" s="1"/>
      <x:c r="M1446" s="1"/>
      <x:c r="N1446" s="1"/>
      <x:c r="O1446" s="1"/>
      <x:c r="P1446" s="1"/>
      <x:c r="Q1446" s="1"/>
      <x:c r="R1446" s="1"/>
      <x:c r="S1446" s="1"/>
      <x:c r="T1446" s="1"/>
      <x:c r="U1446" s="1"/>
      <x:c r="V1446" s="1"/>
    </x:row>
    <x:row r="1447">
      <x:c r="A1447" s="1"/>
      <x:c r="B1447" s="1"/>
      <x:c r="C1447" s="1"/>
      <x:c r="D1447" s="1"/>
      <x:c r="E1447" s="1"/>
      <x:c r="F1447" s="1"/>
      <x:c r="G1447" s="1"/>
      <x:c r="H1447" s="1"/>
      <x:c r="I1447" s="1"/>
      <x:c r="J1447" s="1"/>
      <x:c r="K1447" s="1"/>
      <x:c r="L1447" s="1"/>
      <x:c r="M1447" s="1"/>
      <x:c r="N1447" s="1"/>
      <x:c r="O1447" s="1"/>
      <x:c r="P1447" s="1"/>
      <x:c r="Q1447" s="1"/>
      <x:c r="R1447" s="1"/>
      <x:c r="S1447" s="1"/>
      <x:c r="T1447" s="1"/>
      <x:c r="U1447" s="1"/>
      <x:c r="V1447" s="1"/>
    </x:row>
    <x:row r="1448">
      <x:c r="A1448" s="1"/>
      <x:c r="B1448" s="1"/>
      <x:c r="C1448" s="1"/>
      <x:c r="D1448" s="1"/>
      <x:c r="E1448" s="1"/>
      <x:c r="F1448" s="1"/>
      <x:c r="G1448" s="1"/>
      <x:c r="H1448" s="1"/>
      <x:c r="I1448" s="1"/>
      <x:c r="J1448" s="1"/>
      <x:c r="K1448" s="1"/>
      <x:c r="L1448" s="1"/>
      <x:c r="M1448" s="1"/>
      <x:c r="N1448" s="1"/>
      <x:c r="O1448" s="1"/>
      <x:c r="P1448" s="1"/>
      <x:c r="Q1448" s="1"/>
      <x:c r="R1448" s="1"/>
      <x:c r="S1448" s="1"/>
      <x:c r="T1448" s="1"/>
      <x:c r="U1448" s="1"/>
      <x:c r="V1448" s="1"/>
    </x:row>
    <x:row r="1449">
      <x:c r="A1449" s="1"/>
      <x:c r="B1449" s="1"/>
      <x:c r="C1449" s="1"/>
      <x:c r="D1449" s="1"/>
      <x:c r="E1449" s="1"/>
      <x:c r="F1449" s="1"/>
      <x:c r="G1449" s="1"/>
      <x:c r="H1449" s="1"/>
      <x:c r="I1449" s="1"/>
      <x:c r="J1449" s="1"/>
      <x:c r="K1449" s="1"/>
      <x:c r="L1449" s="1"/>
      <x:c r="M1449" s="1"/>
      <x:c r="N1449" s="1"/>
      <x:c r="O1449" s="1"/>
      <x:c r="P1449" s="1"/>
      <x:c r="Q1449" s="1"/>
      <x:c r="R1449" s="1"/>
      <x:c r="S1449" s="1"/>
      <x:c r="T1449" s="1"/>
      <x:c r="U1449" s="1"/>
      <x:c r="V1449" s="1"/>
    </x:row>
    <x:row r="1450">
      <x:c r="A1450" s="1"/>
      <x:c r="B1450" s="1"/>
      <x:c r="C1450" s="1"/>
      <x:c r="D1450" s="1"/>
      <x:c r="E1450" s="1"/>
      <x:c r="F1450" s="1"/>
      <x:c r="G1450" s="1"/>
      <x:c r="H1450" s="1"/>
      <x:c r="I1450" s="1"/>
      <x:c r="J1450" s="1"/>
      <x:c r="K1450" s="1"/>
      <x:c r="L1450" s="1"/>
      <x:c r="M1450" s="1"/>
      <x:c r="N1450" s="1"/>
      <x:c r="O1450" s="1"/>
      <x:c r="P1450" s="1"/>
      <x:c r="Q1450" s="1"/>
      <x:c r="R1450" s="1"/>
      <x:c r="S1450" s="1"/>
      <x:c r="T1450" s="1"/>
      <x:c r="U1450" s="1"/>
      <x:c r="V1450" s="1"/>
    </x:row>
    <x:row r="1451">
      <x:c r="A1451" s="1"/>
      <x:c r="B1451" s="1"/>
      <x:c r="C1451" s="1"/>
      <x:c r="D1451" s="1"/>
      <x:c r="E1451" s="1"/>
      <x:c r="F1451" s="1"/>
      <x:c r="G1451" s="1"/>
      <x:c r="H1451" s="1"/>
      <x:c r="I1451" s="1"/>
      <x:c r="J1451" s="1"/>
      <x:c r="K1451" s="1"/>
      <x:c r="L1451" s="1"/>
      <x:c r="M1451" s="1"/>
      <x:c r="N1451" s="1"/>
      <x:c r="O1451" s="1"/>
      <x:c r="P1451" s="1"/>
      <x:c r="Q1451" s="1"/>
      <x:c r="R1451" s="1"/>
      <x:c r="S1451" s="1"/>
      <x:c r="T1451" s="1"/>
      <x:c r="U1451" s="1"/>
      <x:c r="V1451" s="1"/>
    </x:row>
    <x:row r="1452">
      <x:c r="A1452" s="1"/>
      <x:c r="B1452" s="1"/>
      <x:c r="C1452" s="1"/>
      <x:c r="D1452" s="1"/>
      <x:c r="E1452" s="1"/>
      <x:c r="F1452" s="1"/>
      <x:c r="G1452" s="1"/>
      <x:c r="H1452" s="1"/>
      <x:c r="I1452" s="1"/>
      <x:c r="J1452" s="1"/>
      <x:c r="K1452" s="1"/>
      <x:c r="L1452" s="1"/>
      <x:c r="M1452" s="1"/>
      <x:c r="N1452" s="1"/>
      <x:c r="O1452" s="1"/>
      <x:c r="P1452" s="1"/>
      <x:c r="Q1452" s="1"/>
      <x:c r="R1452" s="1"/>
      <x:c r="S1452" s="1"/>
      <x:c r="T1452" s="1"/>
      <x:c r="U1452" s="1"/>
      <x:c r="V1452" s="1"/>
    </x:row>
    <x:row r="1453">
      <x:c r="A1453" s="1"/>
      <x:c r="B1453" s="1"/>
      <x:c r="C1453" s="1"/>
      <x:c r="D1453" s="1"/>
      <x:c r="E1453" s="1"/>
      <x:c r="F1453" s="1"/>
      <x:c r="G1453" s="1"/>
      <x:c r="H1453" s="1"/>
      <x:c r="I1453" s="1"/>
      <x:c r="J1453" s="1"/>
      <x:c r="K1453" s="1"/>
      <x:c r="L1453" s="1"/>
      <x:c r="M1453" s="1"/>
      <x:c r="N1453" s="1"/>
      <x:c r="O1453" s="1"/>
      <x:c r="P1453" s="1"/>
      <x:c r="Q1453" s="1"/>
      <x:c r="R1453" s="1"/>
      <x:c r="S1453" s="1"/>
      <x:c r="T1453" s="1"/>
      <x:c r="U1453" s="1"/>
      <x:c r="V1453" s="1"/>
    </x:row>
    <x:row r="1454">
      <x:c r="A1454" s="1"/>
      <x:c r="B1454" s="1"/>
      <x:c r="C1454" s="1"/>
      <x:c r="D1454" s="1"/>
      <x:c r="E1454" s="1"/>
      <x:c r="F1454" s="1"/>
      <x:c r="G1454" s="1"/>
      <x:c r="H1454" s="1"/>
      <x:c r="I1454" s="1"/>
      <x:c r="J1454" s="1"/>
      <x:c r="K1454" s="1"/>
      <x:c r="L1454" s="1"/>
      <x:c r="M1454" s="1"/>
      <x:c r="N1454" s="1"/>
      <x:c r="O1454" s="1"/>
      <x:c r="P1454" s="1"/>
      <x:c r="Q1454" s="1"/>
      <x:c r="R1454" s="1"/>
      <x:c r="S1454" s="1"/>
      <x:c r="T1454" s="1"/>
      <x:c r="U1454" s="1"/>
      <x:c r="V1454" s="1"/>
    </x:row>
    <x:row r="1455">
      <x:c r="A1455" s="1"/>
      <x:c r="B1455" s="1"/>
      <x:c r="C1455" s="1"/>
      <x:c r="D1455" s="1"/>
      <x:c r="E1455" s="1"/>
      <x:c r="F1455" s="1"/>
      <x:c r="G1455" s="1"/>
      <x:c r="H1455" s="1"/>
      <x:c r="I1455" s="1"/>
      <x:c r="J1455" s="1"/>
      <x:c r="K1455" s="1"/>
      <x:c r="L1455" s="1"/>
      <x:c r="M1455" s="1"/>
      <x:c r="N1455" s="1"/>
      <x:c r="O1455" s="1"/>
      <x:c r="P1455" s="1"/>
      <x:c r="Q1455" s="1"/>
      <x:c r="R1455" s="1"/>
      <x:c r="S1455" s="1"/>
      <x:c r="T1455" s="1"/>
      <x:c r="U1455" s="1"/>
      <x:c r="V1455" s="1"/>
    </x:row>
    <x:row r="1456">
      <x:c r="A1456" s="1"/>
      <x:c r="B1456" s="1"/>
      <x:c r="C1456" s="1"/>
      <x:c r="D1456" s="1"/>
      <x:c r="E1456" s="1"/>
      <x:c r="F1456" s="1"/>
      <x:c r="G1456" s="1"/>
      <x:c r="H1456" s="1"/>
      <x:c r="I1456" s="1"/>
      <x:c r="J1456" s="1"/>
      <x:c r="K1456" s="1"/>
      <x:c r="L1456" s="1"/>
      <x:c r="M1456" s="1"/>
      <x:c r="N1456" s="1"/>
      <x:c r="O1456" s="1"/>
      <x:c r="P1456" s="1"/>
      <x:c r="Q1456" s="1"/>
      <x:c r="R1456" s="1"/>
      <x:c r="S1456" s="1"/>
      <x:c r="T1456" s="1"/>
      <x:c r="U1456" s="1"/>
      <x:c r="V1456" s="1"/>
    </x:row>
    <x:row r="1457">
      <x:c r="A1457" s="1"/>
      <x:c r="B1457" s="1"/>
      <x:c r="C1457" s="1"/>
      <x:c r="D1457" s="1"/>
      <x:c r="E1457" s="1"/>
      <x:c r="F1457" s="1"/>
      <x:c r="G1457" s="1"/>
      <x:c r="H1457" s="1"/>
      <x:c r="I1457" s="1"/>
      <x:c r="J1457" s="1"/>
      <x:c r="K1457" s="1"/>
      <x:c r="L1457" s="1"/>
      <x:c r="M1457" s="1"/>
      <x:c r="N1457" s="1"/>
      <x:c r="O1457" s="1"/>
      <x:c r="P1457" s="1"/>
      <x:c r="Q1457" s="1"/>
      <x:c r="R1457" s="1"/>
      <x:c r="S1457" s="1"/>
      <x:c r="T1457" s="1"/>
      <x:c r="U1457" s="1"/>
      <x:c r="V1457" s="1"/>
    </x:row>
    <x:row r="1458">
      <x:c r="A1458" s="1"/>
      <x:c r="B1458" s="1"/>
      <x:c r="C1458" s="1"/>
      <x:c r="D1458" s="1"/>
      <x:c r="E1458" s="1"/>
      <x:c r="F1458" s="1"/>
      <x:c r="G1458" s="1"/>
      <x:c r="H1458" s="1"/>
      <x:c r="I1458" s="1"/>
      <x:c r="J1458" s="1"/>
      <x:c r="K1458" s="1"/>
      <x:c r="L1458" s="1"/>
      <x:c r="M1458" s="1"/>
      <x:c r="N1458" s="1"/>
      <x:c r="O1458" s="1"/>
      <x:c r="P1458" s="1"/>
      <x:c r="Q1458" s="1"/>
      <x:c r="R1458" s="1"/>
      <x:c r="S1458" s="1"/>
      <x:c r="T1458" s="1"/>
      <x:c r="U1458" s="1"/>
      <x:c r="V1458" s="1"/>
    </x:row>
    <x:row r="1459">
      <x:c r="A1459" s="1"/>
      <x:c r="B1459" s="1"/>
      <x:c r="C1459" s="1"/>
      <x:c r="D1459" s="1"/>
      <x:c r="E1459" s="1"/>
      <x:c r="F1459" s="1"/>
      <x:c r="G1459" s="1"/>
      <x:c r="H1459" s="1"/>
      <x:c r="I1459" s="1"/>
      <x:c r="J1459" s="1"/>
      <x:c r="K1459" s="1"/>
      <x:c r="L1459" s="1"/>
      <x:c r="M1459" s="1"/>
      <x:c r="N1459" s="1"/>
      <x:c r="O1459" s="1"/>
      <x:c r="P1459" s="1"/>
      <x:c r="Q1459" s="1"/>
      <x:c r="R1459" s="1"/>
      <x:c r="S1459" s="1"/>
      <x:c r="T1459" s="1"/>
      <x:c r="U1459" s="1"/>
      <x:c r="V1459" s="1"/>
    </x:row>
    <x:row r="1460">
      <x:c r="A1460" s="1"/>
      <x:c r="B1460" s="1"/>
      <x:c r="C1460" s="1"/>
      <x:c r="D1460" s="1"/>
      <x:c r="E1460" s="1"/>
      <x:c r="F1460" s="1"/>
      <x:c r="G1460" s="1"/>
      <x:c r="H1460" s="1"/>
      <x:c r="I1460" s="1"/>
      <x:c r="J1460" s="1"/>
      <x:c r="K1460" s="1"/>
      <x:c r="L1460" s="1"/>
      <x:c r="M1460" s="1"/>
      <x:c r="N1460" s="1"/>
      <x:c r="O1460" s="1"/>
      <x:c r="P1460" s="1"/>
      <x:c r="Q1460" s="1"/>
      <x:c r="R1460" s="1"/>
      <x:c r="S1460" s="1"/>
      <x:c r="T1460" s="1"/>
      <x:c r="U1460" s="1"/>
      <x:c r="V1460" s="1"/>
    </x:row>
    <x:row r="1461">
      <x:c r="A1461" s="1"/>
      <x:c r="B1461" s="1"/>
      <x:c r="C1461" s="1"/>
      <x:c r="D1461" s="1"/>
      <x:c r="E1461" s="1"/>
      <x:c r="F1461" s="1"/>
      <x:c r="G1461" s="1"/>
      <x:c r="H1461" s="1"/>
      <x:c r="I1461" s="1"/>
      <x:c r="J1461" s="1"/>
      <x:c r="K1461" s="1"/>
      <x:c r="L1461" s="1"/>
      <x:c r="M1461" s="1"/>
      <x:c r="N1461" s="1"/>
      <x:c r="O1461" s="1"/>
      <x:c r="P1461" s="1"/>
      <x:c r="Q1461" s="1"/>
      <x:c r="R1461" s="1"/>
      <x:c r="S1461" s="1"/>
      <x:c r="T1461" s="1"/>
      <x:c r="U1461" s="1"/>
      <x:c r="V1461" s="1"/>
    </x:row>
    <x:row r="1462">
      <x:c r="A1462" s="1"/>
      <x:c r="B1462" s="1"/>
      <x:c r="C1462" s="1"/>
      <x:c r="D1462" s="1"/>
      <x:c r="E1462" s="1"/>
      <x:c r="F1462" s="1"/>
      <x:c r="G1462" s="1"/>
      <x:c r="H1462" s="1"/>
      <x:c r="I1462" s="1"/>
      <x:c r="J1462" s="1"/>
      <x:c r="K1462" s="1"/>
      <x:c r="L1462" s="1"/>
      <x:c r="M1462" s="1"/>
      <x:c r="N1462" s="1"/>
      <x:c r="O1462" s="1"/>
      <x:c r="P1462" s="1"/>
      <x:c r="Q1462" s="1"/>
      <x:c r="R1462" s="1"/>
      <x:c r="S1462" s="1"/>
      <x:c r="T1462" s="1"/>
      <x:c r="U1462" s="1"/>
      <x:c r="V1462" s="1"/>
    </x:row>
    <x:row r="1463">
      <x:c r="A1463" s="1"/>
      <x:c r="B1463" s="1"/>
      <x:c r="C1463" s="1"/>
      <x:c r="D1463" s="1"/>
      <x:c r="E1463" s="1"/>
      <x:c r="F1463" s="1"/>
      <x:c r="G1463" s="1"/>
      <x:c r="H1463" s="1"/>
      <x:c r="I1463" s="1"/>
      <x:c r="J1463" s="1"/>
      <x:c r="K1463" s="1"/>
      <x:c r="L1463" s="1"/>
      <x:c r="M1463" s="1"/>
      <x:c r="N1463" s="1"/>
      <x:c r="O1463" s="1"/>
      <x:c r="P1463" s="1"/>
      <x:c r="Q1463" s="1"/>
      <x:c r="R1463" s="1"/>
      <x:c r="S1463" s="1"/>
      <x:c r="T1463" s="1"/>
      <x:c r="U1463" s="1"/>
      <x:c r="V1463" s="1"/>
    </x:row>
    <x:row r="1464">
      <x:c r="A1464" s="1"/>
      <x:c r="B1464" s="1"/>
      <x:c r="C1464" s="1"/>
      <x:c r="D1464" s="1"/>
      <x:c r="E1464" s="1"/>
      <x:c r="F1464" s="1"/>
      <x:c r="G1464" s="1"/>
      <x:c r="H1464" s="1"/>
      <x:c r="I1464" s="1"/>
      <x:c r="J1464" s="1"/>
      <x:c r="K1464" s="1"/>
      <x:c r="L1464" s="1"/>
      <x:c r="M1464" s="1"/>
      <x:c r="N1464" s="1"/>
      <x:c r="O1464" s="1"/>
      <x:c r="P1464" s="1"/>
      <x:c r="Q1464" s="1"/>
      <x:c r="R1464" s="1"/>
      <x:c r="S1464" s="1"/>
      <x:c r="T1464" s="1"/>
      <x:c r="U1464" s="1"/>
      <x:c r="V1464" s="1"/>
    </x:row>
    <x:row r="1465">
      <x:c r="A1465" s="1"/>
      <x:c r="B1465" s="1"/>
      <x:c r="C1465" s="1"/>
      <x:c r="D1465" s="1"/>
      <x:c r="E1465" s="1"/>
      <x:c r="F1465" s="1"/>
      <x:c r="G1465" s="1"/>
      <x:c r="H1465" s="1"/>
      <x:c r="I1465" s="1"/>
      <x:c r="J1465" s="1"/>
      <x:c r="K1465" s="1"/>
      <x:c r="L1465" s="1"/>
      <x:c r="M1465" s="1"/>
      <x:c r="N1465" s="1"/>
      <x:c r="O1465" s="1"/>
      <x:c r="P1465" s="1"/>
      <x:c r="Q1465" s="1"/>
      <x:c r="R1465" s="1"/>
      <x:c r="S1465" s="1"/>
      <x:c r="T1465" s="1"/>
      <x:c r="U1465" s="1"/>
      <x:c r="V1465" s="1"/>
    </x:row>
    <x:row r="1466">
      <x:c r="A1466" s="1"/>
      <x:c r="B1466" s="1"/>
      <x:c r="C1466" s="1"/>
      <x:c r="D1466" s="1"/>
      <x:c r="E1466" s="1"/>
      <x:c r="F1466" s="1"/>
      <x:c r="G1466" s="1"/>
      <x:c r="H1466" s="1"/>
      <x:c r="I1466" s="1"/>
      <x:c r="J1466" s="1"/>
      <x:c r="K1466" s="1"/>
      <x:c r="L1466" s="1"/>
      <x:c r="M1466" s="1"/>
      <x:c r="N1466" s="1"/>
      <x:c r="O1466" s="1"/>
      <x:c r="P1466" s="1"/>
      <x:c r="Q1466" s="1"/>
      <x:c r="R1466" s="1"/>
      <x:c r="S1466" s="1"/>
      <x:c r="T1466" s="1"/>
      <x:c r="U1466" s="1"/>
      <x:c r="V1466" s="1"/>
    </x:row>
    <x:row r="1467">
      <x:c r="A1467" s="1"/>
      <x:c r="B1467" s="1"/>
      <x:c r="C1467" s="1"/>
      <x:c r="D1467" s="1"/>
      <x:c r="E1467" s="1"/>
      <x:c r="F1467" s="1"/>
      <x:c r="G1467" s="1"/>
      <x:c r="H1467" s="1"/>
      <x:c r="I1467" s="1"/>
      <x:c r="J1467" s="1"/>
      <x:c r="K1467" s="1"/>
      <x:c r="L1467" s="1"/>
      <x:c r="M1467" s="1"/>
      <x:c r="N1467" s="1"/>
      <x:c r="O1467" s="1"/>
      <x:c r="P1467" s="1"/>
      <x:c r="Q1467" s="1"/>
      <x:c r="R1467" s="1"/>
      <x:c r="S1467" s="1"/>
      <x:c r="T1467" s="1"/>
      <x:c r="U1467" s="1"/>
      <x:c r="V1467" s="1"/>
    </x:row>
    <x:row r="1468">
      <x:c r="A1468" s="1"/>
      <x:c r="B1468" s="1"/>
      <x:c r="C1468" s="1"/>
      <x:c r="D1468" s="1"/>
      <x:c r="E1468" s="1"/>
      <x:c r="F1468" s="1"/>
      <x:c r="G1468" s="1"/>
      <x:c r="H1468" s="1"/>
      <x:c r="I1468" s="1"/>
      <x:c r="J1468" s="1"/>
      <x:c r="K1468" s="1"/>
      <x:c r="L1468" s="1"/>
      <x:c r="M1468" s="1"/>
      <x:c r="N1468" s="1"/>
      <x:c r="O1468" s="1"/>
      <x:c r="P1468" s="1"/>
      <x:c r="Q1468" s="1"/>
      <x:c r="R1468" s="1"/>
      <x:c r="S1468" s="1"/>
      <x:c r="T1468" s="1"/>
      <x:c r="U1468" s="1"/>
      <x:c r="V1468" s="1"/>
    </x:row>
    <x:row r="1469">
      <x:c r="A1469" s="1"/>
      <x:c r="B1469" s="1"/>
      <x:c r="C1469" s="1"/>
      <x:c r="D1469" s="1"/>
      <x:c r="E1469" s="1"/>
      <x:c r="F1469" s="1"/>
      <x:c r="G1469" s="1"/>
      <x:c r="H1469" s="1"/>
      <x:c r="I1469" s="1"/>
      <x:c r="J1469" s="1"/>
      <x:c r="K1469" s="1"/>
      <x:c r="L1469" s="1"/>
      <x:c r="M1469" s="1"/>
      <x:c r="N1469" s="1"/>
      <x:c r="O1469" s="1"/>
      <x:c r="P1469" s="1"/>
      <x:c r="Q1469" s="1"/>
      <x:c r="R1469" s="1"/>
      <x:c r="S1469" s="1"/>
      <x:c r="T1469" s="1"/>
      <x:c r="U1469" s="1"/>
      <x:c r="V1469" s="1"/>
    </x:row>
    <x:row r="1470">
      <x:c r="A1470" s="1"/>
      <x:c r="B1470" s="1"/>
      <x:c r="C1470" s="1"/>
      <x:c r="D1470" s="1"/>
      <x:c r="E1470" s="1"/>
      <x:c r="F1470" s="1"/>
      <x:c r="G1470" s="1"/>
      <x:c r="H1470" s="1"/>
      <x:c r="I1470" s="1"/>
      <x:c r="J1470" s="1"/>
      <x:c r="K1470" s="1"/>
      <x:c r="L1470" s="1"/>
      <x:c r="M1470" s="1"/>
      <x:c r="N1470" s="1"/>
      <x:c r="O1470" s="1"/>
      <x:c r="P1470" s="1"/>
      <x:c r="Q1470" s="1"/>
      <x:c r="R1470" s="1"/>
      <x:c r="S1470" s="1"/>
      <x:c r="T1470" s="1"/>
      <x:c r="U1470" s="1"/>
      <x:c r="V1470" s="1"/>
    </x:row>
    <x:row r="1471">
      <x:c r="A1471" s="1"/>
      <x:c r="B1471" s="1"/>
      <x:c r="C1471" s="1"/>
      <x:c r="D1471" s="1"/>
      <x:c r="E1471" s="1"/>
      <x:c r="F1471" s="1"/>
      <x:c r="G1471" s="1"/>
      <x:c r="H1471" s="1"/>
      <x:c r="I1471" s="1"/>
      <x:c r="J1471" s="1"/>
      <x:c r="K1471" s="1"/>
      <x:c r="L1471" s="1"/>
      <x:c r="M1471" s="1"/>
      <x:c r="N1471" s="1"/>
      <x:c r="O1471" s="1"/>
      <x:c r="P1471" s="1"/>
      <x:c r="Q1471" s="1"/>
      <x:c r="R1471" s="1"/>
      <x:c r="S1471" s="1"/>
      <x:c r="T1471" s="1"/>
      <x:c r="U1471" s="1"/>
      <x:c r="V1471" s="1"/>
    </x:row>
    <x:row r="1472">
      <x:c r="A1472" s="1"/>
      <x:c r="B1472" s="1"/>
      <x:c r="C1472" s="1"/>
      <x:c r="D1472" s="1"/>
      <x:c r="E1472" s="1"/>
      <x:c r="F1472" s="1"/>
      <x:c r="G1472" s="1"/>
      <x:c r="H1472" s="1"/>
      <x:c r="I1472" s="1"/>
      <x:c r="J1472" s="1"/>
      <x:c r="K1472" s="1"/>
      <x:c r="L1472" s="1"/>
      <x:c r="M1472" s="1"/>
      <x:c r="N1472" s="1"/>
      <x:c r="O1472" s="1"/>
      <x:c r="P1472" s="1"/>
      <x:c r="Q1472" s="1"/>
      <x:c r="R1472" s="1"/>
      <x:c r="S1472" s="1"/>
      <x:c r="T1472" s="1"/>
      <x:c r="U1472" s="1"/>
      <x:c r="V1472" s="1"/>
    </x:row>
    <x:row r="1473">
      <x:c r="A1473" s="1"/>
      <x:c r="B1473" s="1"/>
      <x:c r="C1473" s="1"/>
      <x:c r="D1473" s="1"/>
      <x:c r="E1473" s="1"/>
      <x:c r="F1473" s="1"/>
      <x:c r="G1473" s="1"/>
      <x:c r="H1473" s="1"/>
      <x:c r="I1473" s="1"/>
      <x:c r="J1473" s="1"/>
      <x:c r="K1473" s="1"/>
      <x:c r="L1473" s="1"/>
      <x:c r="M1473" s="1"/>
      <x:c r="N1473" s="1"/>
      <x:c r="O1473" s="1"/>
      <x:c r="P1473" s="1"/>
      <x:c r="Q1473" s="1"/>
      <x:c r="R1473" s="1"/>
      <x:c r="S1473" s="1"/>
      <x:c r="T1473" s="1"/>
      <x:c r="U1473" s="1"/>
      <x:c r="V1473" s="1"/>
    </x:row>
    <x:row r="1474">
      <x:c r="A1474" s="1"/>
      <x:c r="B1474" s="1"/>
      <x:c r="C1474" s="1"/>
      <x:c r="D1474" s="1"/>
      <x:c r="E1474" s="1"/>
      <x:c r="F1474" s="1"/>
      <x:c r="G1474" s="1"/>
      <x:c r="H1474" s="1"/>
      <x:c r="I1474" s="1"/>
      <x:c r="J1474" s="1"/>
      <x:c r="K1474" s="1"/>
      <x:c r="L1474" s="1"/>
      <x:c r="M1474" s="1"/>
      <x:c r="N1474" s="1"/>
      <x:c r="O1474" s="1"/>
      <x:c r="P1474" s="1"/>
      <x:c r="Q1474" s="1"/>
      <x:c r="R1474" s="1"/>
      <x:c r="S1474" s="1"/>
      <x:c r="T1474" s="1"/>
      <x:c r="U1474" s="1"/>
      <x:c r="V1474" s="1"/>
    </x:row>
    <x:row r="1475">
      <x:c r="A1475" s="1"/>
      <x:c r="B1475" s="1"/>
      <x:c r="C1475" s="1"/>
      <x:c r="D1475" s="1"/>
      <x:c r="E1475" s="1"/>
      <x:c r="F1475" s="1"/>
      <x:c r="G1475" s="1"/>
      <x:c r="H1475" s="1"/>
      <x:c r="I1475" s="1"/>
      <x:c r="J1475" s="1"/>
      <x:c r="K1475" s="1"/>
      <x:c r="L1475" s="1"/>
      <x:c r="M1475" s="1"/>
      <x:c r="N1475" s="1"/>
      <x:c r="O1475" s="1"/>
      <x:c r="P1475" s="1"/>
      <x:c r="Q1475" s="1"/>
      <x:c r="R1475" s="1"/>
      <x:c r="S1475" s="1"/>
      <x:c r="T1475" s="1"/>
      <x:c r="U1475" s="1"/>
      <x:c r="V1475" s="1"/>
    </x:row>
    <x:row r="1476">
      <x:c r="A1476" s="1"/>
      <x:c r="B1476" s="1"/>
      <x:c r="C1476" s="1"/>
      <x:c r="D1476" s="1"/>
      <x:c r="E1476" s="1"/>
      <x:c r="F1476" s="1"/>
      <x:c r="G1476" s="1"/>
      <x:c r="H1476" s="1"/>
      <x:c r="I1476" s="1"/>
      <x:c r="J1476" s="1"/>
      <x:c r="K1476" s="1"/>
      <x:c r="L1476" s="1"/>
      <x:c r="M1476" s="1"/>
      <x:c r="N1476" s="1"/>
      <x:c r="O1476" s="1"/>
      <x:c r="P1476" s="1"/>
      <x:c r="Q1476" s="1"/>
      <x:c r="R1476" s="1"/>
      <x:c r="S1476" s="1"/>
      <x:c r="T1476" s="1"/>
      <x:c r="U1476" s="1"/>
      <x:c r="V1476" s="1"/>
    </x:row>
    <x:row r="1477">
      <x:c r="A1477" s="1"/>
      <x:c r="B1477" s="1"/>
      <x:c r="C1477" s="1"/>
      <x:c r="D1477" s="1"/>
      <x:c r="E1477" s="1"/>
      <x:c r="F1477" s="1"/>
      <x:c r="G1477" s="1"/>
      <x:c r="H1477" s="1"/>
      <x:c r="I1477" s="1"/>
      <x:c r="J1477" s="1"/>
      <x:c r="K1477" s="1"/>
      <x:c r="L1477" s="1"/>
      <x:c r="M1477" s="1"/>
      <x:c r="N1477" s="1"/>
      <x:c r="O1477" s="1"/>
      <x:c r="P1477" s="1"/>
      <x:c r="Q1477" s="1"/>
      <x:c r="R1477" s="1"/>
      <x:c r="S1477" s="1"/>
      <x:c r="T1477" s="1"/>
      <x:c r="U1477" s="1"/>
      <x:c r="V1477" s="1"/>
    </x:row>
    <x:row r="1478">
      <x:c r="A1478" s="1"/>
      <x:c r="B1478" s="1"/>
      <x:c r="C1478" s="1"/>
      <x:c r="D1478" s="1"/>
      <x:c r="E1478" s="1"/>
      <x:c r="F1478" s="1"/>
      <x:c r="G1478" s="1"/>
      <x:c r="H1478" s="1"/>
      <x:c r="I1478" s="1"/>
      <x:c r="J1478" s="1"/>
      <x:c r="K1478" s="1"/>
      <x:c r="L1478" s="1"/>
      <x:c r="M1478" s="1"/>
      <x:c r="N1478" s="1"/>
      <x:c r="O1478" s="1"/>
      <x:c r="P1478" s="1"/>
      <x:c r="Q1478" s="1"/>
      <x:c r="R1478" s="1"/>
      <x:c r="S1478" s="1"/>
      <x:c r="T1478" s="1"/>
      <x:c r="U1478" s="1"/>
      <x:c r="V1478" s="1"/>
    </x:row>
    <x:row r="1479">
      <x:c r="A1479" s="1"/>
      <x:c r="B1479" s="1"/>
      <x:c r="C1479" s="1"/>
      <x:c r="D1479" s="1"/>
      <x:c r="E1479" s="1"/>
      <x:c r="F1479" s="1"/>
      <x:c r="G1479" s="1"/>
      <x:c r="H1479" s="1"/>
      <x:c r="I1479" s="1"/>
      <x:c r="J1479" s="1"/>
      <x:c r="K1479" s="1"/>
      <x:c r="L1479" s="1"/>
      <x:c r="M1479" s="1"/>
      <x:c r="N1479" s="1"/>
      <x:c r="O1479" s="1"/>
      <x:c r="P1479" s="1"/>
      <x:c r="Q1479" s="1"/>
      <x:c r="R1479" s="1"/>
      <x:c r="S1479" s="1"/>
      <x:c r="T1479" s="1"/>
      <x:c r="U1479" s="1"/>
      <x:c r="V1479" s="1"/>
    </x:row>
    <x:row r="1480">
      <x:c r="A1480" s="1"/>
      <x:c r="B1480" s="1"/>
      <x:c r="C1480" s="1"/>
      <x:c r="D1480" s="1"/>
      <x:c r="E1480" s="1"/>
      <x:c r="F1480" s="1"/>
      <x:c r="G1480" s="1"/>
      <x:c r="H1480" s="1"/>
      <x:c r="I1480" s="1"/>
      <x:c r="J1480" s="1"/>
      <x:c r="K1480" s="1"/>
      <x:c r="L1480" s="1"/>
      <x:c r="M1480" s="1"/>
      <x:c r="N1480" s="1"/>
      <x:c r="O1480" s="1"/>
      <x:c r="P1480" s="1"/>
      <x:c r="Q1480" s="1"/>
      <x:c r="R1480" s="1"/>
      <x:c r="S1480" s="1"/>
      <x:c r="T1480" s="1"/>
      <x:c r="U1480" s="1"/>
      <x:c r="V1480" s="1"/>
    </x:row>
    <x:row r="1481">
      <x:c r="A1481" s="1"/>
      <x:c r="B1481" s="1"/>
      <x:c r="C1481" s="1"/>
      <x:c r="D1481" s="1"/>
      <x:c r="E1481" s="1"/>
      <x:c r="F1481" s="1"/>
      <x:c r="G1481" s="1"/>
      <x:c r="H1481" s="1"/>
      <x:c r="I1481" s="1"/>
      <x:c r="J1481" s="1"/>
      <x:c r="K1481" s="1"/>
      <x:c r="L1481" s="1"/>
      <x:c r="M1481" s="1"/>
      <x:c r="N1481" s="1"/>
      <x:c r="O1481" s="1"/>
      <x:c r="P1481" s="1"/>
      <x:c r="Q1481" s="1"/>
      <x:c r="R1481" s="1"/>
      <x:c r="S1481" s="1"/>
      <x:c r="T1481" s="1"/>
      <x:c r="U1481" s="1"/>
      <x:c r="V1481" s="1"/>
    </x:row>
    <x:row r="1482">
      <x:c r="A1482" s="1"/>
      <x:c r="B1482" s="1"/>
      <x:c r="C1482" s="1"/>
      <x:c r="D1482" s="1"/>
      <x:c r="E1482" s="1"/>
      <x:c r="F1482" s="1"/>
      <x:c r="G1482" s="1"/>
      <x:c r="H1482" s="1"/>
      <x:c r="I1482" s="1"/>
      <x:c r="J1482" s="1"/>
      <x:c r="K1482" s="1"/>
      <x:c r="L1482" s="1"/>
      <x:c r="M1482" s="1"/>
      <x:c r="N1482" s="1"/>
      <x:c r="O1482" s="1"/>
      <x:c r="P1482" s="1"/>
      <x:c r="Q1482" s="1"/>
      <x:c r="R1482" s="1"/>
      <x:c r="S1482" s="1"/>
      <x:c r="T1482" s="1"/>
      <x:c r="U1482" s="1"/>
      <x:c r="V1482" s="1"/>
    </x:row>
    <x:row r="1483">
      <x:c r="A1483" s="1"/>
      <x:c r="B1483" s="1"/>
      <x:c r="C1483" s="1"/>
      <x:c r="D1483" s="1"/>
      <x:c r="E1483" s="1"/>
      <x:c r="F1483" s="1"/>
      <x:c r="G1483" s="1"/>
      <x:c r="H1483" s="1"/>
      <x:c r="I1483" s="1"/>
      <x:c r="J1483" s="1"/>
      <x:c r="K1483" s="1"/>
      <x:c r="L1483" s="1"/>
      <x:c r="M1483" s="1"/>
      <x:c r="N1483" s="1"/>
      <x:c r="O1483" s="1"/>
      <x:c r="P1483" s="1"/>
      <x:c r="Q1483" s="1"/>
      <x:c r="R1483" s="1"/>
      <x:c r="S1483" s="1"/>
      <x:c r="T1483" s="1"/>
      <x:c r="U1483" s="1"/>
      <x:c r="V1483" s="1"/>
    </x:row>
    <x:row r="1484">
      <x:c r="A1484" s="1"/>
      <x:c r="B1484" s="1"/>
      <x:c r="C1484" s="1"/>
      <x:c r="D1484" s="1"/>
      <x:c r="E1484" s="1"/>
      <x:c r="F1484" s="1"/>
      <x:c r="G1484" s="1"/>
      <x:c r="H1484" s="1"/>
      <x:c r="I1484" s="1"/>
      <x:c r="J1484" s="1"/>
      <x:c r="K1484" s="1"/>
      <x:c r="L1484" s="1"/>
      <x:c r="M1484" s="1"/>
      <x:c r="N1484" s="1"/>
      <x:c r="O1484" s="1"/>
      <x:c r="P1484" s="1"/>
      <x:c r="Q1484" s="1"/>
      <x:c r="R1484" s="1"/>
      <x:c r="S1484" s="1"/>
      <x:c r="T1484" s="1"/>
      <x:c r="U1484" s="1"/>
      <x:c r="V1484" s="1"/>
    </x:row>
    <x:row r="1485">
      <x:c r="A1485" s="1"/>
      <x:c r="B1485" s="1"/>
      <x:c r="C1485" s="1"/>
      <x:c r="D1485" s="1"/>
      <x:c r="E1485" s="1"/>
      <x:c r="F1485" s="1"/>
      <x:c r="G1485" s="1"/>
      <x:c r="H1485" s="1"/>
      <x:c r="I1485" s="1"/>
      <x:c r="J1485" s="1"/>
      <x:c r="K1485" s="1"/>
      <x:c r="L1485" s="1"/>
      <x:c r="M1485" s="1"/>
      <x:c r="N1485" s="1"/>
      <x:c r="O1485" s="1"/>
      <x:c r="P1485" s="1"/>
      <x:c r="Q1485" s="1"/>
      <x:c r="R1485" s="1"/>
      <x:c r="S1485" s="1"/>
      <x:c r="T1485" s="1"/>
      <x:c r="U1485" s="1"/>
      <x:c r="V1485" s="1"/>
    </x:row>
    <x:row r="1486">
      <x:c r="A1486" s="1"/>
      <x:c r="B1486" s="1"/>
      <x:c r="C1486" s="1"/>
      <x:c r="D1486" s="1"/>
      <x:c r="E1486" s="1"/>
      <x:c r="F1486" s="1"/>
      <x:c r="G1486" s="1"/>
      <x:c r="H1486" s="1"/>
      <x:c r="I1486" s="1"/>
      <x:c r="J1486" s="1"/>
      <x:c r="K1486" s="1"/>
      <x:c r="L1486" s="1"/>
      <x:c r="M1486" s="1"/>
      <x:c r="N1486" s="1"/>
      <x:c r="O1486" s="1"/>
      <x:c r="P1486" s="1"/>
      <x:c r="Q1486" s="1"/>
      <x:c r="R1486" s="1"/>
      <x:c r="S1486" s="1"/>
      <x:c r="T1486" s="1"/>
      <x:c r="U1486" s="1"/>
      <x:c r="V1486" s="1"/>
    </x:row>
    <x:row r="1487">
      <x:c r="A1487" s="1"/>
      <x:c r="B1487" s="1"/>
      <x:c r="C1487" s="1"/>
      <x:c r="D1487" s="1"/>
      <x:c r="E1487" s="1"/>
      <x:c r="F1487" s="1"/>
      <x:c r="G1487" s="1"/>
      <x:c r="H1487" s="1"/>
      <x:c r="I1487" s="1"/>
      <x:c r="J1487" s="1"/>
      <x:c r="K1487" s="1"/>
      <x:c r="L1487" s="1"/>
      <x:c r="M1487" s="1"/>
      <x:c r="N1487" s="1"/>
      <x:c r="O1487" s="1"/>
      <x:c r="P1487" s="1"/>
      <x:c r="Q1487" s="1"/>
      <x:c r="R1487" s="1"/>
      <x:c r="S1487" s="1"/>
      <x:c r="T1487" s="1"/>
      <x:c r="U1487" s="1"/>
      <x:c r="V1487" s="1"/>
    </x:row>
    <x:row r="1488">
      <x:c r="A1488" s="1"/>
      <x:c r="B1488" s="1"/>
      <x:c r="C1488" s="1"/>
      <x:c r="D1488" s="1"/>
      <x:c r="E1488" s="1"/>
      <x:c r="F1488" s="1"/>
      <x:c r="G1488" s="1"/>
      <x:c r="H1488" s="1"/>
      <x:c r="I1488" s="1"/>
      <x:c r="J1488" s="1"/>
      <x:c r="K1488" s="1"/>
      <x:c r="L1488" s="1"/>
      <x:c r="M1488" s="1"/>
      <x:c r="N1488" s="1"/>
      <x:c r="O1488" s="1"/>
      <x:c r="P1488" s="1"/>
      <x:c r="Q1488" s="1"/>
      <x:c r="R1488" s="1"/>
      <x:c r="S1488" s="1"/>
      <x:c r="T1488" s="1"/>
      <x:c r="U1488" s="1"/>
      <x:c r="V1488" s="1"/>
    </x:row>
    <x:row r="1489">
      <x:c r="A1489" s="1"/>
      <x:c r="B1489" s="1"/>
      <x:c r="C1489" s="1"/>
      <x:c r="D1489" s="1"/>
      <x:c r="E1489" s="1"/>
      <x:c r="F1489" s="1"/>
      <x:c r="G1489" s="1"/>
      <x:c r="H1489" s="1"/>
      <x:c r="I1489" s="1"/>
      <x:c r="J1489" s="1"/>
      <x:c r="K1489" s="1"/>
      <x:c r="L1489" s="1"/>
      <x:c r="M1489" s="1"/>
      <x:c r="N1489" s="1"/>
      <x:c r="O1489" s="1"/>
      <x:c r="P1489" s="1"/>
      <x:c r="Q1489" s="1"/>
      <x:c r="R1489" s="1"/>
      <x:c r="S1489" s="1"/>
      <x:c r="T1489" s="1"/>
      <x:c r="U1489" s="1"/>
      <x:c r="V1489" s="1"/>
    </x:row>
    <x:row r="1490">
      <x:c r="A1490" s="1"/>
      <x:c r="B1490" s="1"/>
      <x:c r="C1490" s="1"/>
      <x:c r="D1490" s="1"/>
      <x:c r="E1490" s="1"/>
      <x:c r="F1490" s="1"/>
      <x:c r="G1490" s="1"/>
      <x:c r="H1490" s="1"/>
      <x:c r="I1490" s="1"/>
      <x:c r="J1490" s="1"/>
      <x:c r="K1490" s="1"/>
      <x:c r="L1490" s="1"/>
      <x:c r="M1490" s="1"/>
      <x:c r="N1490" s="1"/>
      <x:c r="O1490" s="1"/>
      <x:c r="P1490" s="1"/>
      <x:c r="Q1490" s="1"/>
      <x:c r="R1490" s="1"/>
      <x:c r="S1490" s="1"/>
      <x:c r="T1490" s="1"/>
      <x:c r="U1490" s="1"/>
      <x:c r="V1490" s="1"/>
    </x:row>
    <x:row r="1491">
      <x:c r="A1491" s="1"/>
      <x:c r="B1491" s="1"/>
      <x:c r="C1491" s="1"/>
      <x:c r="D1491" s="1"/>
      <x:c r="E1491" s="1"/>
      <x:c r="F1491" s="1"/>
      <x:c r="G1491" s="1"/>
      <x:c r="H1491" s="1"/>
      <x:c r="I1491" s="1"/>
      <x:c r="J1491" s="1"/>
      <x:c r="K1491" s="1"/>
      <x:c r="L1491" s="1"/>
      <x:c r="M1491" s="1"/>
      <x:c r="N1491" s="1"/>
      <x:c r="O1491" s="1"/>
      <x:c r="P1491" s="1"/>
      <x:c r="Q1491" s="1"/>
      <x:c r="R1491" s="1"/>
      <x:c r="S1491" s="1"/>
      <x:c r="T1491" s="1"/>
      <x:c r="U1491" s="1"/>
      <x:c r="V1491" s="1"/>
    </x:row>
    <x:row r="1492">
      <x:c r="A1492" s="1"/>
      <x:c r="B1492" s="1"/>
      <x:c r="C1492" s="1"/>
      <x:c r="D1492" s="1"/>
      <x:c r="E1492" s="1"/>
      <x:c r="F1492" s="1"/>
      <x:c r="G1492" s="1"/>
      <x:c r="H1492" s="1"/>
      <x:c r="I1492" s="1"/>
      <x:c r="J1492" s="1"/>
      <x:c r="K1492" s="1"/>
      <x:c r="L1492" s="1"/>
      <x:c r="M1492" s="1"/>
      <x:c r="N1492" s="1"/>
      <x:c r="O1492" s="1"/>
      <x:c r="P1492" s="1"/>
      <x:c r="Q1492" s="1"/>
      <x:c r="R1492" s="1"/>
      <x:c r="S1492" s="1"/>
      <x:c r="T1492" s="1"/>
      <x:c r="U1492" s="1"/>
      <x:c r="V1492" s="1"/>
    </x:row>
    <x:row r="1493">
      <x:c r="A1493" s="1"/>
      <x:c r="B1493" s="1"/>
      <x:c r="C1493" s="1"/>
      <x:c r="D1493" s="1"/>
      <x:c r="E1493" s="1"/>
      <x:c r="F1493" s="1"/>
      <x:c r="G1493" s="1"/>
      <x:c r="H1493" s="1"/>
      <x:c r="I1493" s="1"/>
      <x:c r="J1493" s="1"/>
      <x:c r="K1493" s="1"/>
      <x:c r="L1493" s="1"/>
      <x:c r="M1493" s="1"/>
      <x:c r="N1493" s="1"/>
      <x:c r="O1493" s="1"/>
      <x:c r="P1493" s="1"/>
      <x:c r="Q1493" s="1"/>
      <x:c r="R1493" s="1"/>
      <x:c r="S1493" s="1"/>
      <x:c r="T1493" s="1"/>
      <x:c r="U1493" s="1"/>
      <x:c r="V1493" s="1"/>
    </x:row>
    <x:row r="1494">
      <x:c r="A1494" s="1"/>
      <x:c r="B1494" s="1"/>
      <x:c r="C1494" s="1"/>
      <x:c r="D1494" s="1"/>
      <x:c r="E1494" s="1"/>
      <x:c r="F1494" s="1"/>
      <x:c r="G1494" s="1"/>
      <x:c r="H1494" s="1"/>
      <x:c r="I1494" s="1"/>
      <x:c r="J1494" s="1"/>
      <x:c r="K1494" s="1"/>
      <x:c r="L1494" s="1"/>
      <x:c r="M1494" s="1"/>
      <x:c r="N1494" s="1"/>
      <x:c r="O1494" s="1"/>
      <x:c r="P1494" s="1"/>
      <x:c r="Q1494" s="1"/>
      <x:c r="R1494" s="1"/>
      <x:c r="S1494" s="1"/>
      <x:c r="T1494" s="1"/>
      <x:c r="U1494" s="1"/>
      <x:c r="V1494" s="1"/>
    </x:row>
    <x:row r="1495">
      <x:c r="A1495" s="1"/>
      <x:c r="B1495" s="1"/>
      <x:c r="C1495" s="1"/>
      <x:c r="D1495" s="1"/>
      <x:c r="E1495" s="1"/>
      <x:c r="F1495" s="1"/>
      <x:c r="G1495" s="1"/>
      <x:c r="H1495" s="1"/>
      <x:c r="I1495" s="1"/>
      <x:c r="J1495" s="1"/>
      <x:c r="K1495" s="1"/>
      <x:c r="L1495" s="1"/>
      <x:c r="M1495" s="1"/>
      <x:c r="N1495" s="1"/>
      <x:c r="O1495" s="1"/>
      <x:c r="P1495" s="1"/>
      <x:c r="Q1495" s="1"/>
      <x:c r="R1495" s="1"/>
      <x:c r="S1495" s="1"/>
      <x:c r="T1495" s="1"/>
      <x:c r="U1495" s="1"/>
      <x:c r="V1495" s="1"/>
    </x:row>
    <x:row r="1496">
      <x:c r="A1496" s="1"/>
      <x:c r="B1496" s="1"/>
      <x:c r="C1496" s="1"/>
      <x:c r="D1496" s="1"/>
      <x:c r="E1496" s="1"/>
      <x:c r="F1496" s="1"/>
      <x:c r="G1496" s="1"/>
      <x:c r="H1496" s="1"/>
      <x:c r="I1496" s="1"/>
      <x:c r="J1496" s="1"/>
      <x:c r="K1496" s="1"/>
      <x:c r="L1496" s="1"/>
      <x:c r="M1496" s="1"/>
      <x:c r="N1496" s="1"/>
      <x:c r="O1496" s="1"/>
      <x:c r="P1496" s="1"/>
      <x:c r="Q1496" s="1"/>
      <x:c r="R1496" s="1"/>
      <x:c r="S1496" s="1"/>
      <x:c r="T1496" s="1"/>
      <x:c r="U1496" s="1"/>
      <x:c r="V1496" s="1"/>
    </x:row>
    <x:row r="1497">
      <x:c r="A1497" s="1"/>
      <x:c r="B1497" s="1"/>
      <x:c r="C1497" s="1"/>
      <x:c r="D1497" s="1"/>
      <x:c r="E1497" s="1"/>
      <x:c r="F1497" s="1"/>
      <x:c r="G1497" s="1"/>
      <x:c r="H1497" s="1"/>
      <x:c r="I1497" s="1"/>
      <x:c r="J1497" s="1"/>
      <x:c r="K1497" s="1"/>
      <x:c r="L1497" s="1"/>
      <x:c r="M1497" s="1"/>
      <x:c r="N1497" s="1"/>
      <x:c r="O1497" s="1"/>
      <x:c r="P1497" s="1"/>
      <x:c r="Q1497" s="1"/>
      <x:c r="R1497" s="1"/>
      <x:c r="S1497" s="1"/>
      <x:c r="T1497" s="1"/>
      <x:c r="U1497" s="1"/>
      <x:c r="V1497" s="1"/>
    </x:row>
    <x:row r="1498">
      <x:c r="A1498" s="1"/>
      <x:c r="B1498" s="1"/>
      <x:c r="C1498" s="1"/>
      <x:c r="D1498" s="1"/>
      <x:c r="E1498" s="1"/>
      <x:c r="F1498" s="1"/>
      <x:c r="G1498" s="1"/>
      <x:c r="H1498" s="1"/>
      <x:c r="I1498" s="1"/>
      <x:c r="J1498" s="1"/>
      <x:c r="K1498" s="1"/>
      <x:c r="L1498" s="1"/>
      <x:c r="M1498" s="1"/>
      <x:c r="N1498" s="1"/>
      <x:c r="O1498" s="1"/>
      <x:c r="P1498" s="1"/>
      <x:c r="Q1498" s="1"/>
      <x:c r="R1498" s="1"/>
      <x:c r="S1498" s="1"/>
      <x:c r="T1498" s="1"/>
      <x:c r="U1498" s="1"/>
      <x:c r="V1498" s="1"/>
    </x:row>
    <x:row r="1499">
      <x:c r="A1499" s="1"/>
      <x:c r="B1499" s="1"/>
      <x:c r="C1499" s="1"/>
      <x:c r="D1499" s="1"/>
      <x:c r="E1499" s="1"/>
      <x:c r="F1499" s="1"/>
      <x:c r="G1499" s="1"/>
      <x:c r="H1499" s="1"/>
      <x:c r="I1499" s="1"/>
      <x:c r="J1499" s="1"/>
      <x:c r="K1499" s="1"/>
      <x:c r="L1499" s="1"/>
      <x:c r="M1499" s="1"/>
      <x:c r="N1499" s="1"/>
      <x:c r="O1499" s="1"/>
      <x:c r="P1499" s="1"/>
      <x:c r="Q1499" s="1"/>
      <x:c r="R1499" s="1"/>
      <x:c r="S1499" s="1"/>
      <x:c r="T1499" s="1"/>
      <x:c r="U1499" s="1"/>
      <x:c r="V1499" s="1"/>
    </x:row>
    <x:row r="1500">
      <x:c r="A1500" s="1"/>
      <x:c r="B1500" s="1"/>
      <x:c r="C1500" s="1"/>
      <x:c r="D1500" s="1"/>
      <x:c r="E1500" s="1"/>
      <x:c r="F1500" s="1"/>
      <x:c r="G1500" s="1"/>
      <x:c r="H1500" s="1"/>
      <x:c r="I1500" s="1"/>
      <x:c r="J1500" s="1"/>
      <x:c r="K1500" s="1"/>
      <x:c r="L1500" s="1"/>
      <x:c r="M1500" s="1"/>
      <x:c r="N1500" s="1"/>
      <x:c r="O1500" s="1"/>
      <x:c r="P1500" s="1"/>
      <x:c r="Q1500" s="1"/>
      <x:c r="R1500" s="1"/>
      <x:c r="S1500" s="1"/>
      <x:c r="T1500" s="1"/>
      <x:c r="U1500" s="1"/>
      <x:c r="V1500" s="1"/>
    </x:row>
    <x:row r="1501">
      <x:c r="A1501" s="1"/>
      <x:c r="B1501" s="1"/>
      <x:c r="C1501" s="1"/>
      <x:c r="D1501" s="1"/>
      <x:c r="E1501" s="1"/>
      <x:c r="F1501" s="1"/>
      <x:c r="G1501" s="1"/>
      <x:c r="H1501" s="1"/>
      <x:c r="I1501" s="1"/>
      <x:c r="J1501" s="1"/>
      <x:c r="K1501" s="1"/>
      <x:c r="L1501" s="1"/>
      <x:c r="M1501" s="1"/>
      <x:c r="N1501" s="1"/>
      <x:c r="O1501" s="1"/>
      <x:c r="P1501" s="1"/>
      <x:c r="Q1501" s="1"/>
      <x:c r="R1501" s="1"/>
      <x:c r="S1501" s="1"/>
      <x:c r="T1501" s="1"/>
      <x:c r="U1501" s="1"/>
      <x:c r="V1501" s="1"/>
    </x:row>
    <x:row r="1502">
      <x:c r="A1502" s="1"/>
      <x:c r="B1502" s="1"/>
      <x:c r="C1502" s="1"/>
      <x:c r="D1502" s="1"/>
      <x:c r="E1502" s="1"/>
      <x:c r="F1502" s="1"/>
      <x:c r="G1502" s="1"/>
      <x:c r="H1502" s="1"/>
      <x:c r="I1502" s="1"/>
      <x:c r="J1502" s="1"/>
      <x:c r="K1502" s="1"/>
      <x:c r="L1502" s="1"/>
      <x:c r="M1502" s="1"/>
      <x:c r="N1502" s="1"/>
      <x:c r="O1502" s="1"/>
      <x:c r="P1502" s="1"/>
      <x:c r="Q1502" s="1"/>
      <x:c r="R1502" s="1"/>
      <x:c r="S1502" s="1"/>
      <x:c r="T1502" s="1"/>
      <x:c r="U1502" s="1"/>
      <x:c r="V1502" s="1"/>
    </x:row>
    <x:row r="1503">
      <x:c r="A1503" s="1"/>
      <x:c r="B1503" s="1"/>
      <x:c r="C1503" s="1"/>
      <x:c r="D1503" s="1"/>
      <x:c r="E1503" s="1"/>
      <x:c r="F1503" s="1"/>
      <x:c r="G1503" s="1"/>
      <x:c r="H1503" s="1"/>
      <x:c r="I1503" s="1"/>
      <x:c r="J1503" s="1"/>
      <x:c r="K1503" s="1"/>
      <x:c r="L1503" s="1"/>
      <x:c r="M1503" s="1"/>
      <x:c r="N1503" s="1"/>
      <x:c r="O1503" s="1"/>
      <x:c r="P1503" s="1"/>
      <x:c r="Q1503" s="1"/>
      <x:c r="R1503" s="1"/>
      <x:c r="S1503" s="1"/>
      <x:c r="T1503" s="1"/>
      <x:c r="U1503" s="1"/>
      <x:c r="V1503" s="1"/>
    </x:row>
    <x:row r="1504">
      <x:c r="A1504" s="1"/>
      <x:c r="B1504" s="1"/>
      <x:c r="C1504" s="1"/>
      <x:c r="D1504" s="1"/>
      <x:c r="E1504" s="1"/>
      <x:c r="F1504" s="1"/>
      <x:c r="G1504" s="1"/>
      <x:c r="H1504" s="1"/>
      <x:c r="I1504" s="1"/>
      <x:c r="J1504" s="1"/>
      <x:c r="K1504" s="1"/>
      <x:c r="L1504" s="1"/>
      <x:c r="M1504" s="1"/>
      <x:c r="N1504" s="1"/>
      <x:c r="O1504" s="1"/>
      <x:c r="P1504" s="1"/>
      <x:c r="Q1504" s="1"/>
      <x:c r="R1504" s="1"/>
      <x:c r="S1504" s="1"/>
      <x:c r="T1504" s="1"/>
      <x:c r="U1504" s="1"/>
      <x:c r="V1504" s="1"/>
    </x:row>
    <x:row r="1505">
      <x:c r="A1505" s="1"/>
      <x:c r="B1505" s="1"/>
      <x:c r="C1505" s="1"/>
      <x:c r="D1505" s="1"/>
      <x:c r="E1505" s="1"/>
      <x:c r="F1505" s="1"/>
      <x:c r="G1505" s="1"/>
      <x:c r="H1505" s="1"/>
      <x:c r="I1505" s="1"/>
      <x:c r="J1505" s="1"/>
      <x:c r="K1505" s="1"/>
      <x:c r="L1505" s="1"/>
      <x:c r="M1505" s="1"/>
      <x:c r="N1505" s="1"/>
      <x:c r="O1505" s="1"/>
      <x:c r="P1505" s="1"/>
      <x:c r="Q1505" s="1"/>
      <x:c r="R1505" s="1"/>
      <x:c r="S1505" s="1"/>
      <x:c r="T1505" s="1"/>
      <x:c r="U1505" s="1"/>
      <x:c r="V1505" s="1"/>
    </x:row>
    <x:row r="1506">
      <x:c r="A1506" s="1"/>
      <x:c r="B1506" s="1"/>
      <x:c r="C1506" s="1"/>
      <x:c r="D1506" s="1"/>
      <x:c r="E1506" s="1"/>
      <x:c r="F1506" s="1"/>
      <x:c r="G1506" s="1"/>
      <x:c r="H1506" s="1"/>
      <x:c r="I1506" s="1"/>
      <x:c r="J1506" s="1"/>
      <x:c r="K1506" s="1"/>
      <x:c r="L1506" s="1"/>
      <x:c r="M1506" s="1"/>
      <x:c r="N1506" s="1"/>
      <x:c r="O1506" s="1"/>
      <x:c r="P1506" s="1"/>
      <x:c r="Q1506" s="1"/>
      <x:c r="R1506" s="1"/>
      <x:c r="S1506" s="1"/>
      <x:c r="T1506" s="1"/>
      <x:c r="U1506" s="1"/>
      <x:c r="V1506" s="1"/>
    </x:row>
    <x:row r="1507">
      <x:c r="A1507" s="1"/>
      <x:c r="B1507" s="1"/>
      <x:c r="C1507" s="1"/>
      <x:c r="D1507" s="1"/>
      <x:c r="E1507" s="1"/>
      <x:c r="F1507" s="1"/>
      <x:c r="G1507" s="1"/>
      <x:c r="H1507" s="1"/>
      <x:c r="I1507" s="1"/>
      <x:c r="J1507" s="1"/>
      <x:c r="K1507" s="1"/>
      <x:c r="L1507" s="1"/>
      <x:c r="M1507" s="1"/>
      <x:c r="N1507" s="1"/>
      <x:c r="O1507" s="1"/>
      <x:c r="P1507" s="1"/>
      <x:c r="Q1507" s="1"/>
      <x:c r="R1507" s="1"/>
      <x:c r="S1507" s="1"/>
      <x:c r="T1507" s="1"/>
      <x:c r="U1507" s="1"/>
      <x:c r="V1507" s="1"/>
    </x:row>
    <x:row r="1508">
      <x:c r="A1508" s="1"/>
      <x:c r="B1508" s="1"/>
      <x:c r="C1508" s="1"/>
      <x:c r="D1508" s="1"/>
      <x:c r="E1508" s="1"/>
      <x:c r="F1508" s="1"/>
      <x:c r="G1508" s="1"/>
      <x:c r="H1508" s="1"/>
      <x:c r="I1508" s="1"/>
      <x:c r="J1508" s="1"/>
      <x:c r="K1508" s="1"/>
      <x:c r="L1508" s="1"/>
      <x:c r="M1508" s="1"/>
      <x:c r="N1508" s="1"/>
      <x:c r="O1508" s="1"/>
      <x:c r="P1508" s="1"/>
      <x:c r="Q1508" s="1"/>
      <x:c r="R1508" s="1"/>
      <x:c r="S1508" s="1"/>
      <x:c r="T1508" s="1"/>
      <x:c r="U1508" s="1"/>
      <x:c r="V1508" s="1"/>
    </x:row>
    <x:row r="1509">
      <x:c r="A1509" s="1"/>
      <x:c r="B1509" s="1"/>
      <x:c r="C1509" s="1"/>
      <x:c r="D1509" s="1"/>
      <x:c r="E1509" s="1"/>
      <x:c r="F1509" s="1"/>
      <x:c r="G1509" s="1"/>
      <x:c r="H1509" s="1"/>
      <x:c r="I1509" s="1"/>
      <x:c r="J1509" s="1"/>
      <x:c r="K1509" s="1"/>
      <x:c r="L1509" s="1"/>
      <x:c r="M1509" s="1"/>
      <x:c r="N1509" s="1"/>
      <x:c r="O1509" s="1"/>
      <x:c r="P1509" s="1"/>
      <x:c r="Q1509" s="1"/>
      <x:c r="R1509" s="1"/>
      <x:c r="S1509" s="1"/>
      <x:c r="T1509" s="1"/>
      <x:c r="U1509" s="1"/>
      <x:c r="V1509" s="1"/>
    </x:row>
    <x:row r="1510">
      <x:c r="A1510" s="1"/>
      <x:c r="B1510" s="1"/>
      <x:c r="C1510" s="1"/>
      <x:c r="D1510" s="1"/>
      <x:c r="E1510" s="1"/>
      <x:c r="F1510" s="1"/>
      <x:c r="G1510" s="1"/>
      <x:c r="H1510" s="1"/>
      <x:c r="I1510" s="1"/>
      <x:c r="J1510" s="1"/>
      <x:c r="K1510" s="1"/>
      <x:c r="L1510" s="1"/>
      <x:c r="M1510" s="1"/>
      <x:c r="N1510" s="1"/>
      <x:c r="O1510" s="1"/>
      <x:c r="P1510" s="1"/>
      <x:c r="Q1510" s="1"/>
      <x:c r="R1510" s="1"/>
      <x:c r="S1510" s="1"/>
      <x:c r="T1510" s="1"/>
      <x:c r="U1510" s="1"/>
      <x:c r="V1510" s="1"/>
    </x:row>
    <x:row r="1511">
      <x:c r="A1511" s="1"/>
      <x:c r="B1511" s="1"/>
      <x:c r="C1511" s="1"/>
      <x:c r="D1511" s="1"/>
      <x:c r="E1511" s="1"/>
      <x:c r="F1511" s="1"/>
      <x:c r="G1511" s="1"/>
      <x:c r="H1511" s="1"/>
      <x:c r="I1511" s="1"/>
      <x:c r="J1511" s="1"/>
      <x:c r="K1511" s="1"/>
      <x:c r="L1511" s="1"/>
      <x:c r="M1511" s="1"/>
      <x:c r="N1511" s="1"/>
      <x:c r="O1511" s="1"/>
      <x:c r="P1511" s="1"/>
      <x:c r="Q1511" s="1"/>
      <x:c r="R1511" s="1"/>
      <x:c r="S1511" s="1"/>
      <x:c r="T1511" s="1"/>
      <x:c r="U1511" s="1"/>
      <x:c r="V1511" s="1"/>
    </x:row>
    <x:row r="1512">
      <x:c r="A1512" s="1"/>
      <x:c r="B1512" s="1"/>
      <x:c r="C1512" s="1"/>
      <x:c r="D1512" s="1"/>
      <x:c r="E1512" s="1"/>
      <x:c r="F1512" s="1"/>
      <x:c r="G1512" s="1"/>
      <x:c r="H1512" s="1"/>
      <x:c r="I1512" s="1"/>
      <x:c r="J1512" s="1"/>
      <x:c r="K1512" s="1"/>
      <x:c r="L1512" s="1"/>
      <x:c r="M1512" s="1"/>
      <x:c r="N1512" s="1"/>
      <x:c r="O1512" s="1"/>
      <x:c r="P1512" s="1"/>
      <x:c r="Q1512" s="1"/>
      <x:c r="R1512" s="1"/>
      <x:c r="S1512" s="1"/>
      <x:c r="T1512" s="1"/>
      <x:c r="U1512" s="1"/>
      <x:c r="V1512" s="1"/>
    </x:row>
    <x:row r="1513">
      <x:c r="A1513" s="1"/>
      <x:c r="B1513" s="1"/>
      <x:c r="C1513" s="1"/>
      <x:c r="D1513" s="1"/>
      <x:c r="E1513" s="1"/>
      <x:c r="F1513" s="1"/>
      <x:c r="G1513" s="1"/>
      <x:c r="H1513" s="1"/>
      <x:c r="I1513" s="1"/>
      <x:c r="J1513" s="1"/>
      <x:c r="K1513" s="1"/>
      <x:c r="L1513" s="1"/>
      <x:c r="M1513" s="1"/>
      <x:c r="N1513" s="1"/>
      <x:c r="O1513" s="1"/>
      <x:c r="P1513" s="1"/>
      <x:c r="Q1513" s="1"/>
      <x:c r="R1513" s="1"/>
      <x:c r="S1513" s="1"/>
      <x:c r="T1513" s="1"/>
      <x:c r="U1513" s="1"/>
      <x:c r="V1513" s="1"/>
    </x:row>
    <x:row r="1514">
      <x:c r="A1514" s="1"/>
      <x:c r="B1514" s="1"/>
      <x:c r="C1514" s="1"/>
      <x:c r="D1514" s="1"/>
      <x:c r="E1514" s="1"/>
      <x:c r="F1514" s="1"/>
      <x:c r="G1514" s="1"/>
      <x:c r="H1514" s="1"/>
      <x:c r="I1514" s="1"/>
      <x:c r="J1514" s="1"/>
      <x:c r="K1514" s="1"/>
      <x:c r="L1514" s="1"/>
      <x:c r="M1514" s="1"/>
      <x:c r="N1514" s="1"/>
      <x:c r="O1514" s="1"/>
      <x:c r="P1514" s="1"/>
      <x:c r="Q1514" s="1"/>
      <x:c r="R1514" s="1"/>
      <x:c r="S1514" s="1"/>
      <x:c r="T1514" s="1"/>
      <x:c r="U1514" s="1"/>
      <x:c r="V1514" s="1"/>
    </x:row>
    <x:row r="1515">
      <x:c r="A1515" s="1"/>
      <x:c r="B1515" s="1"/>
      <x:c r="C1515" s="1"/>
      <x:c r="D1515" s="1"/>
      <x:c r="E1515" s="1"/>
      <x:c r="F1515" s="1"/>
      <x:c r="G1515" s="1"/>
      <x:c r="H1515" s="1"/>
      <x:c r="I1515" s="1"/>
      <x:c r="J1515" s="1"/>
      <x:c r="K1515" s="1"/>
      <x:c r="L1515" s="1"/>
      <x:c r="M1515" s="1"/>
      <x:c r="N1515" s="1"/>
      <x:c r="O1515" s="1"/>
      <x:c r="P1515" s="1"/>
      <x:c r="Q1515" s="1"/>
      <x:c r="R1515" s="1"/>
      <x:c r="S1515" s="1"/>
      <x:c r="T1515" s="1"/>
      <x:c r="U1515" s="1"/>
      <x:c r="V1515" s="1"/>
    </x:row>
    <x:row r="1516">
      <x:c r="A1516" s="1"/>
      <x:c r="B1516" s="1"/>
      <x:c r="C1516" s="1"/>
      <x:c r="D1516" s="1"/>
      <x:c r="E1516" s="1"/>
      <x:c r="F1516" s="1"/>
      <x:c r="G1516" s="1"/>
      <x:c r="H1516" s="1"/>
      <x:c r="I1516" s="1"/>
      <x:c r="J1516" s="1"/>
      <x:c r="K1516" s="1"/>
      <x:c r="L1516" s="1"/>
      <x:c r="M1516" s="1"/>
      <x:c r="N1516" s="1"/>
      <x:c r="O1516" s="1"/>
      <x:c r="P1516" s="1"/>
      <x:c r="Q1516" s="1"/>
      <x:c r="R1516" s="1"/>
      <x:c r="S1516" s="1"/>
      <x:c r="T1516" s="1"/>
      <x:c r="U1516" s="1"/>
      <x:c r="V1516" s="1"/>
    </x:row>
    <x:row r="1517">
      <x:c r="A1517" s="1"/>
      <x:c r="B1517" s="1"/>
      <x:c r="C1517" s="1"/>
      <x:c r="D1517" s="1"/>
      <x:c r="E1517" s="1"/>
      <x:c r="F1517" s="1"/>
      <x:c r="G1517" s="1"/>
      <x:c r="H1517" s="1"/>
      <x:c r="I1517" s="1"/>
      <x:c r="J1517" s="1"/>
      <x:c r="K1517" s="1"/>
      <x:c r="L1517" s="1"/>
      <x:c r="M1517" s="1"/>
      <x:c r="N1517" s="1"/>
      <x:c r="O1517" s="1"/>
      <x:c r="P1517" s="1"/>
      <x:c r="Q1517" s="1"/>
      <x:c r="R1517" s="1"/>
      <x:c r="S1517" s="1"/>
      <x:c r="T1517" s="1"/>
      <x:c r="U1517" s="1"/>
      <x:c r="V1517" s="1"/>
    </x:row>
    <x:row r="1518">
      <x:c r="A1518" s="1"/>
      <x:c r="B1518" s="1"/>
      <x:c r="C1518" s="1"/>
      <x:c r="D1518" s="1"/>
      <x:c r="E1518" s="1"/>
      <x:c r="F1518" s="1"/>
      <x:c r="G1518" s="1"/>
      <x:c r="H1518" s="1"/>
      <x:c r="I1518" s="1"/>
      <x:c r="J1518" s="1"/>
      <x:c r="K1518" s="1"/>
      <x:c r="L1518" s="1"/>
      <x:c r="M1518" s="1"/>
      <x:c r="N1518" s="1"/>
      <x:c r="O1518" s="1"/>
      <x:c r="P1518" s="1"/>
      <x:c r="Q1518" s="1"/>
      <x:c r="R1518" s="1"/>
      <x:c r="S1518" s="1"/>
      <x:c r="T1518" s="1"/>
      <x:c r="U1518" s="1"/>
      <x:c r="V1518" s="1"/>
    </x:row>
    <x:row r="1519">
      <x:c r="A1519" s="1"/>
      <x:c r="B1519" s="1"/>
      <x:c r="C1519" s="1"/>
      <x:c r="D1519" s="1"/>
      <x:c r="E1519" s="1"/>
      <x:c r="F1519" s="1"/>
      <x:c r="G1519" s="1"/>
      <x:c r="H1519" s="1"/>
      <x:c r="I1519" s="1"/>
      <x:c r="J1519" s="1"/>
      <x:c r="K1519" s="1"/>
      <x:c r="L1519" s="1"/>
      <x:c r="M1519" s="1"/>
      <x:c r="N1519" s="1"/>
      <x:c r="O1519" s="1"/>
      <x:c r="P1519" s="1"/>
      <x:c r="Q1519" s="1"/>
      <x:c r="R1519" s="1"/>
      <x:c r="S1519" s="1"/>
      <x:c r="T1519" s="1"/>
      <x:c r="U1519" s="1"/>
      <x:c r="V1519" s="1"/>
    </x:row>
    <x:row r="1520">
      <x:c r="A1520" s="1"/>
      <x:c r="B1520" s="1"/>
      <x:c r="C1520" s="1"/>
      <x:c r="D1520" s="1"/>
      <x:c r="E1520" s="1"/>
      <x:c r="F1520" s="1"/>
      <x:c r="G1520" s="1"/>
      <x:c r="H1520" s="1"/>
      <x:c r="I1520" s="1"/>
      <x:c r="J1520" s="1"/>
      <x:c r="K1520" s="1"/>
      <x:c r="L1520" s="1"/>
      <x:c r="M1520" s="1"/>
      <x:c r="N1520" s="1"/>
      <x:c r="O1520" s="1"/>
      <x:c r="P1520" s="1"/>
      <x:c r="Q1520" s="1"/>
      <x:c r="R1520" s="1"/>
      <x:c r="S1520" s="1"/>
      <x:c r="T1520" s="1"/>
      <x:c r="U1520" s="1"/>
      <x:c r="V1520" s="1"/>
    </x:row>
    <x:row r="1521">
      <x:c r="A1521" s="1"/>
      <x:c r="B1521" s="1"/>
      <x:c r="C1521" s="1"/>
      <x:c r="D1521" s="1"/>
      <x:c r="E1521" s="1"/>
      <x:c r="F1521" s="1"/>
      <x:c r="G1521" s="1"/>
      <x:c r="H1521" s="1"/>
      <x:c r="I1521" s="1"/>
      <x:c r="J1521" s="1"/>
      <x:c r="K1521" s="1"/>
      <x:c r="L1521" s="1"/>
      <x:c r="M1521" s="1"/>
      <x:c r="N1521" s="1"/>
      <x:c r="O1521" s="1"/>
      <x:c r="P1521" s="1"/>
      <x:c r="Q1521" s="1"/>
      <x:c r="R1521" s="1"/>
      <x:c r="S1521" s="1"/>
      <x:c r="T1521" s="1"/>
      <x:c r="U1521" s="1"/>
      <x:c r="V1521" s="1"/>
    </x:row>
    <x:row r="1522">
      <x:c r="A1522" s="1"/>
      <x:c r="B1522" s="1"/>
      <x:c r="C1522" s="1"/>
      <x:c r="D1522" s="1"/>
      <x:c r="E1522" s="1"/>
      <x:c r="F1522" s="1"/>
      <x:c r="G1522" s="1"/>
      <x:c r="H1522" s="1"/>
      <x:c r="I1522" s="1"/>
      <x:c r="J1522" s="1"/>
      <x:c r="K1522" s="1"/>
      <x:c r="L1522" s="1"/>
      <x:c r="M1522" s="1"/>
      <x:c r="N1522" s="1"/>
      <x:c r="O1522" s="1"/>
      <x:c r="P1522" s="1"/>
      <x:c r="Q1522" s="1"/>
      <x:c r="R1522" s="1"/>
      <x:c r="S1522" s="1"/>
      <x:c r="T1522" s="1"/>
      <x:c r="U1522" s="1"/>
      <x:c r="V1522" s="1"/>
    </x:row>
    <x:row r="1523">
      <x:c r="A1523" s="1"/>
      <x:c r="B1523" s="1"/>
      <x:c r="C1523" s="1"/>
      <x:c r="D1523" s="1"/>
      <x:c r="E1523" s="1"/>
      <x:c r="F1523" s="1"/>
      <x:c r="G1523" s="1"/>
      <x:c r="H1523" s="1"/>
      <x:c r="I1523" s="1"/>
      <x:c r="J1523" s="1"/>
      <x:c r="K1523" s="1"/>
      <x:c r="L1523" s="1"/>
      <x:c r="M1523" s="1"/>
      <x:c r="N1523" s="1"/>
      <x:c r="O1523" s="1"/>
      <x:c r="P1523" s="1"/>
      <x:c r="Q1523" s="1"/>
      <x:c r="R1523" s="1"/>
      <x:c r="S1523" s="1"/>
      <x:c r="T1523" s="1"/>
      <x:c r="U1523" s="1"/>
      <x:c r="V1523" s="1"/>
    </x:row>
    <x:row r="1524">
      <x:c r="A1524" s="1"/>
      <x:c r="B1524" s="1"/>
      <x:c r="C1524" s="1"/>
      <x:c r="D1524" s="1"/>
      <x:c r="E1524" s="1"/>
      <x:c r="F1524" s="1"/>
      <x:c r="G1524" s="1"/>
      <x:c r="H1524" s="1"/>
      <x:c r="I1524" s="1"/>
      <x:c r="J1524" s="1"/>
      <x:c r="K1524" s="1"/>
      <x:c r="L1524" s="1"/>
      <x:c r="M1524" s="1"/>
      <x:c r="N1524" s="1"/>
      <x:c r="O1524" s="1"/>
      <x:c r="P1524" s="1"/>
      <x:c r="Q1524" s="1"/>
      <x:c r="R1524" s="1"/>
      <x:c r="S1524" s="1"/>
      <x:c r="T1524" s="1"/>
      <x:c r="U1524" s="1"/>
      <x:c r="V1524" s="1"/>
    </x:row>
    <x:row r="1525">
      <x:c r="A1525" s="1"/>
      <x:c r="B1525" s="1"/>
      <x:c r="C1525" s="1"/>
      <x:c r="D1525" s="1"/>
      <x:c r="E1525" s="1"/>
      <x:c r="F1525" s="1"/>
      <x:c r="G1525" s="1"/>
      <x:c r="H1525" s="1"/>
      <x:c r="I1525" s="1"/>
      <x:c r="J1525" s="1"/>
      <x:c r="K1525" s="1"/>
      <x:c r="L1525" s="1"/>
      <x:c r="M1525" s="1"/>
      <x:c r="N1525" s="1"/>
      <x:c r="O1525" s="1"/>
      <x:c r="P1525" s="1"/>
      <x:c r="Q1525" s="1"/>
      <x:c r="R1525" s="1"/>
      <x:c r="S1525" s="1"/>
      <x:c r="T1525" s="1"/>
      <x:c r="U1525" s="1"/>
      <x:c r="V1525" s="1"/>
    </x:row>
    <x:row r="1526">
      <x:c r="A1526" s="1"/>
      <x:c r="B1526" s="1"/>
      <x:c r="C1526" s="1"/>
      <x:c r="D1526" s="1"/>
      <x:c r="E1526" s="1"/>
      <x:c r="F1526" s="1"/>
      <x:c r="G1526" s="1"/>
      <x:c r="H1526" s="1"/>
      <x:c r="I1526" s="1"/>
      <x:c r="J1526" s="1"/>
      <x:c r="K1526" s="1"/>
      <x:c r="L1526" s="1"/>
      <x:c r="M1526" s="1"/>
      <x:c r="N1526" s="1"/>
      <x:c r="O1526" s="1"/>
      <x:c r="P1526" s="1"/>
      <x:c r="Q1526" s="1"/>
      <x:c r="R1526" s="1"/>
      <x:c r="S1526" s="1"/>
      <x:c r="T1526" s="1"/>
      <x:c r="U1526" s="1"/>
      <x:c r="V1526" s="1"/>
    </x:row>
    <x:row r="1527">
      <x:c r="A1527" s="1"/>
      <x:c r="B1527" s="1"/>
      <x:c r="C1527" s="1"/>
      <x:c r="D1527" s="1"/>
      <x:c r="E1527" s="1"/>
      <x:c r="F1527" s="1"/>
      <x:c r="G1527" s="1"/>
      <x:c r="H1527" s="1"/>
      <x:c r="I1527" s="1"/>
      <x:c r="J1527" s="1"/>
      <x:c r="K1527" s="1"/>
      <x:c r="L1527" s="1"/>
      <x:c r="M1527" s="1"/>
      <x:c r="N1527" s="1"/>
      <x:c r="O1527" s="1"/>
      <x:c r="P1527" s="1"/>
      <x:c r="Q1527" s="1"/>
      <x:c r="R1527" s="1"/>
      <x:c r="S1527" s="1"/>
      <x:c r="T1527" s="1"/>
      <x:c r="U1527" s="1"/>
      <x:c r="V1527" s="1"/>
    </x:row>
    <x:row r="1528">
      <x:c r="A1528" s="1"/>
      <x:c r="B1528" s="1"/>
      <x:c r="C1528" s="1"/>
      <x:c r="D1528" s="1"/>
      <x:c r="E1528" s="1"/>
      <x:c r="F1528" s="1"/>
      <x:c r="G1528" s="1"/>
      <x:c r="H1528" s="1"/>
      <x:c r="I1528" s="1"/>
      <x:c r="J1528" s="1"/>
      <x:c r="K1528" s="1"/>
      <x:c r="L1528" s="1"/>
      <x:c r="M1528" s="1"/>
      <x:c r="N1528" s="1"/>
      <x:c r="O1528" s="1"/>
      <x:c r="P1528" s="1"/>
      <x:c r="Q1528" s="1"/>
      <x:c r="R1528" s="1"/>
      <x:c r="S1528" s="1"/>
      <x:c r="T1528" s="1"/>
      <x:c r="U1528" s="1"/>
      <x:c r="V1528" s="1"/>
    </x:row>
    <x:row r="1529">
      <x:c r="A1529" s="1"/>
      <x:c r="B1529" s="1"/>
      <x:c r="C1529" s="1"/>
      <x:c r="D1529" s="1"/>
      <x:c r="E1529" s="1"/>
      <x:c r="F1529" s="1"/>
      <x:c r="G1529" s="1"/>
      <x:c r="H1529" s="1"/>
      <x:c r="I1529" s="1"/>
      <x:c r="J1529" s="1"/>
      <x:c r="K1529" s="1"/>
      <x:c r="L1529" s="1"/>
      <x:c r="M1529" s="1"/>
      <x:c r="N1529" s="1"/>
      <x:c r="O1529" s="1"/>
      <x:c r="P1529" s="1"/>
      <x:c r="Q1529" s="1"/>
      <x:c r="R1529" s="1"/>
      <x:c r="S1529" s="1"/>
      <x:c r="T1529" s="1"/>
      <x:c r="U1529" s="1"/>
      <x:c r="V1529" s="1"/>
    </x:row>
    <x:row r="1530">
      <x:c r="A1530" s="1"/>
      <x:c r="B1530" s="1"/>
      <x:c r="C1530" s="1"/>
      <x:c r="D1530" s="1"/>
      <x:c r="E1530" s="1"/>
      <x:c r="F1530" s="1"/>
      <x:c r="G1530" s="1"/>
      <x:c r="H1530" s="1"/>
      <x:c r="I1530" s="1"/>
      <x:c r="J1530" s="1"/>
      <x:c r="K1530" s="1"/>
      <x:c r="L1530" s="1"/>
      <x:c r="M1530" s="1"/>
      <x:c r="N1530" s="1"/>
      <x:c r="O1530" s="1"/>
      <x:c r="P1530" s="1"/>
      <x:c r="Q1530" s="1"/>
      <x:c r="R1530" s="1"/>
      <x:c r="S1530" s="1"/>
      <x:c r="T1530" s="1"/>
      <x:c r="U1530" s="1"/>
      <x:c r="V1530" s="1"/>
    </x:row>
    <x:row r="1531">
      <x:c r="A1531" s="1"/>
      <x:c r="B1531" s="1"/>
      <x:c r="C1531" s="1"/>
      <x:c r="D1531" s="1"/>
      <x:c r="E1531" s="1"/>
      <x:c r="F1531" s="1"/>
      <x:c r="G1531" s="1"/>
      <x:c r="H1531" s="1"/>
      <x:c r="I1531" s="1"/>
      <x:c r="J1531" s="1"/>
      <x:c r="K1531" s="1"/>
      <x:c r="L1531" s="1"/>
      <x:c r="M1531" s="1"/>
      <x:c r="N1531" s="1"/>
      <x:c r="O1531" s="1"/>
      <x:c r="P1531" s="1"/>
      <x:c r="Q1531" s="1"/>
      <x:c r="R1531" s="1"/>
      <x:c r="S1531" s="1"/>
      <x:c r="T1531" s="1"/>
      <x:c r="U1531" s="1"/>
      <x:c r="V1531" s="1"/>
    </x:row>
    <x:row r="1532">
      <x:c r="A1532" s="1"/>
      <x:c r="B1532" s="1"/>
      <x:c r="C1532" s="1"/>
      <x:c r="D1532" s="1"/>
      <x:c r="E1532" s="1"/>
      <x:c r="F1532" s="1"/>
      <x:c r="G1532" s="1"/>
      <x:c r="H1532" s="1"/>
      <x:c r="I1532" s="1"/>
      <x:c r="J1532" s="1"/>
      <x:c r="K1532" s="1"/>
      <x:c r="L1532" s="1"/>
      <x:c r="M1532" s="1"/>
      <x:c r="N1532" s="1"/>
      <x:c r="O1532" s="1"/>
      <x:c r="P1532" s="1"/>
      <x:c r="Q1532" s="1"/>
      <x:c r="R1532" s="1"/>
      <x:c r="S1532" s="1"/>
      <x:c r="T1532" s="1"/>
      <x:c r="U1532" s="1"/>
      <x:c r="V1532" s="1"/>
    </x:row>
    <x:row r="1533">
      <x:c r="A1533" s="1"/>
      <x:c r="B1533" s="1"/>
      <x:c r="C1533" s="1"/>
      <x:c r="D1533" s="1"/>
      <x:c r="E1533" s="1"/>
      <x:c r="F1533" s="1"/>
      <x:c r="G1533" s="1"/>
      <x:c r="H1533" s="1"/>
      <x:c r="I1533" s="1"/>
      <x:c r="J1533" s="1"/>
      <x:c r="K1533" s="1"/>
      <x:c r="L1533" s="1"/>
      <x:c r="M1533" s="1"/>
      <x:c r="N1533" s="1"/>
      <x:c r="O1533" s="1"/>
      <x:c r="P1533" s="1"/>
      <x:c r="Q1533" s="1"/>
      <x:c r="R1533" s="1"/>
      <x:c r="S1533" s="1"/>
      <x:c r="T1533" s="1"/>
      <x:c r="U1533" s="1"/>
      <x:c r="V1533" s="1"/>
    </x:row>
    <x:row r="1534">
      <x:c r="A1534" s="1"/>
      <x:c r="B1534" s="1"/>
      <x:c r="C1534" s="1"/>
      <x:c r="D1534" s="1"/>
      <x:c r="E1534" s="1"/>
      <x:c r="F1534" s="1"/>
      <x:c r="G1534" s="1"/>
      <x:c r="H1534" s="1"/>
      <x:c r="I1534" s="1"/>
      <x:c r="J1534" s="1"/>
      <x:c r="K1534" s="1"/>
      <x:c r="L1534" s="1"/>
      <x:c r="M1534" s="1"/>
      <x:c r="N1534" s="1"/>
      <x:c r="O1534" s="1"/>
      <x:c r="P1534" s="1"/>
      <x:c r="Q1534" s="1"/>
      <x:c r="R1534" s="1"/>
      <x:c r="S1534" s="1"/>
      <x:c r="T1534" s="1"/>
      <x:c r="U1534" s="1"/>
      <x:c r="V1534" s="1"/>
    </x:row>
    <x:row r="1535">
      <x:c r="A1535" s="1"/>
      <x:c r="B1535" s="1"/>
      <x:c r="C1535" s="1"/>
      <x:c r="D1535" s="1"/>
      <x:c r="E1535" s="1"/>
      <x:c r="F1535" s="1"/>
      <x:c r="G1535" s="1"/>
      <x:c r="H1535" s="1"/>
      <x:c r="I1535" s="1"/>
      <x:c r="J1535" s="1"/>
      <x:c r="K1535" s="1"/>
      <x:c r="L1535" s="1"/>
      <x:c r="M1535" s="1"/>
      <x:c r="N1535" s="1"/>
      <x:c r="O1535" s="1"/>
      <x:c r="P1535" s="1"/>
      <x:c r="Q1535" s="1"/>
      <x:c r="R1535" s="1"/>
      <x:c r="S1535" s="1"/>
      <x:c r="T1535" s="1"/>
      <x:c r="U1535" s="1"/>
      <x:c r="V1535" s="1"/>
    </x:row>
    <x:row r="1536">
      <x:c r="A1536" s="1"/>
      <x:c r="B1536" s="1"/>
      <x:c r="C1536" s="1"/>
      <x:c r="D1536" s="1"/>
      <x:c r="E1536" s="1"/>
      <x:c r="F1536" s="1"/>
      <x:c r="G1536" s="1"/>
      <x:c r="H1536" s="1"/>
      <x:c r="I1536" s="1"/>
      <x:c r="J1536" s="1"/>
      <x:c r="K1536" s="1"/>
      <x:c r="L1536" s="1"/>
      <x:c r="M1536" s="1"/>
      <x:c r="N1536" s="1"/>
      <x:c r="O1536" s="1"/>
      <x:c r="P1536" s="1"/>
      <x:c r="Q1536" s="1"/>
      <x:c r="R1536" s="1"/>
      <x:c r="S1536" s="1"/>
      <x:c r="T1536" s="1"/>
      <x:c r="U1536" s="1"/>
      <x:c r="V1536" s="1"/>
    </x:row>
    <x:row r="1537">
      <x:c r="A1537" s="1"/>
      <x:c r="B1537" s="1"/>
      <x:c r="C1537" s="1"/>
      <x:c r="D1537" s="1"/>
      <x:c r="E1537" s="1"/>
      <x:c r="F1537" s="1"/>
      <x:c r="G1537" s="1"/>
      <x:c r="H1537" s="1"/>
      <x:c r="I1537" s="1"/>
      <x:c r="J1537" s="1"/>
      <x:c r="K1537" s="1"/>
      <x:c r="L1537" s="1"/>
      <x:c r="M1537" s="1"/>
      <x:c r="N1537" s="1"/>
      <x:c r="O1537" s="1"/>
      <x:c r="P1537" s="1"/>
      <x:c r="Q1537" s="1"/>
      <x:c r="R1537" s="1"/>
      <x:c r="S1537" s="1"/>
      <x:c r="T1537" s="1"/>
      <x:c r="U1537" s="1"/>
      <x:c r="V1537" s="1"/>
    </x:row>
    <x:row r="1538">
      <x:c r="A1538" s="1"/>
      <x:c r="B1538" s="1"/>
      <x:c r="C1538" s="1"/>
      <x:c r="D1538" s="1"/>
      <x:c r="E1538" s="1"/>
      <x:c r="F1538" s="1"/>
      <x:c r="G1538" s="1"/>
      <x:c r="H1538" s="1"/>
      <x:c r="I1538" s="1"/>
      <x:c r="J1538" s="1"/>
      <x:c r="K1538" s="1"/>
      <x:c r="L1538" s="1"/>
      <x:c r="M1538" s="1"/>
      <x:c r="N1538" s="1"/>
      <x:c r="O1538" s="1"/>
      <x:c r="P1538" s="1"/>
      <x:c r="Q1538" s="1"/>
      <x:c r="R1538" s="1"/>
      <x:c r="S1538" s="1"/>
      <x:c r="T1538" s="1"/>
      <x:c r="U1538" s="1"/>
      <x:c r="V1538" s="1"/>
    </x:row>
    <x:row r="1539">
      <x:c r="A1539" s="1"/>
      <x:c r="B1539" s="1"/>
      <x:c r="C1539" s="1"/>
      <x:c r="D1539" s="1"/>
      <x:c r="E1539" s="1"/>
      <x:c r="F1539" s="1"/>
      <x:c r="G1539" s="1"/>
      <x:c r="H1539" s="1"/>
      <x:c r="I1539" s="1"/>
      <x:c r="J1539" s="1"/>
      <x:c r="K1539" s="1"/>
      <x:c r="L1539" s="1"/>
      <x:c r="M1539" s="1"/>
      <x:c r="N1539" s="1"/>
      <x:c r="O1539" s="1"/>
      <x:c r="P1539" s="1"/>
      <x:c r="Q1539" s="1"/>
      <x:c r="R1539" s="1"/>
      <x:c r="S1539" s="1"/>
      <x:c r="T1539" s="1"/>
      <x:c r="U1539" s="1"/>
      <x:c r="V1539" s="1"/>
    </x:row>
    <x:row r="1540">
      <x:c r="A1540" s="1"/>
      <x:c r="B1540" s="1"/>
      <x:c r="C1540" s="1"/>
      <x:c r="D1540" s="1"/>
      <x:c r="E1540" s="1"/>
      <x:c r="F1540" s="1"/>
      <x:c r="G1540" s="1"/>
      <x:c r="H1540" s="1"/>
      <x:c r="I1540" s="1"/>
      <x:c r="J1540" s="1"/>
      <x:c r="K1540" s="1"/>
      <x:c r="L1540" s="1"/>
      <x:c r="M1540" s="1"/>
      <x:c r="N1540" s="1"/>
      <x:c r="O1540" s="1"/>
      <x:c r="P1540" s="1"/>
      <x:c r="Q1540" s="1"/>
      <x:c r="R1540" s="1"/>
      <x:c r="S1540" s="1"/>
      <x:c r="T1540" s="1"/>
      <x:c r="U1540" s="1"/>
      <x:c r="V1540" s="1"/>
    </x:row>
    <x:row r="1541">
      <x:c r="A1541" s="1"/>
      <x:c r="B1541" s="1"/>
      <x:c r="C1541" s="1"/>
      <x:c r="D1541" s="1"/>
      <x:c r="E1541" s="1"/>
      <x:c r="F1541" s="1"/>
      <x:c r="G1541" s="1"/>
      <x:c r="H1541" s="1"/>
      <x:c r="I1541" s="1"/>
      <x:c r="J1541" s="1"/>
      <x:c r="K1541" s="1"/>
      <x:c r="L1541" s="1"/>
      <x:c r="M1541" s="1"/>
      <x:c r="N1541" s="1"/>
      <x:c r="O1541" s="1"/>
      <x:c r="P1541" s="1"/>
      <x:c r="Q1541" s="1"/>
      <x:c r="R1541" s="1"/>
      <x:c r="S1541" s="1"/>
      <x:c r="T1541" s="1"/>
      <x:c r="U1541" s="1"/>
      <x:c r="V1541" s="1"/>
    </x:row>
    <x:row r="1542">
      <x:c r="A1542" s="1"/>
      <x:c r="B1542" s="1"/>
      <x:c r="C1542" s="1"/>
      <x:c r="D1542" s="1"/>
      <x:c r="E1542" s="1"/>
      <x:c r="F1542" s="1"/>
      <x:c r="G1542" s="1"/>
      <x:c r="H1542" s="1"/>
      <x:c r="I1542" s="1"/>
      <x:c r="J1542" s="1"/>
      <x:c r="K1542" s="1"/>
      <x:c r="L1542" s="1"/>
      <x:c r="M1542" s="1"/>
      <x:c r="N1542" s="1"/>
      <x:c r="O1542" s="1"/>
      <x:c r="P1542" s="1"/>
      <x:c r="Q1542" s="1"/>
      <x:c r="R1542" s="1"/>
      <x:c r="S1542" s="1"/>
      <x:c r="T1542" s="1"/>
      <x:c r="U1542" s="1"/>
      <x:c r="V1542" s="1"/>
    </x:row>
    <x:row r="1543">
      <x:c r="A1543" s="1"/>
      <x:c r="B1543" s="1"/>
      <x:c r="C1543" s="1"/>
      <x:c r="D1543" s="1"/>
      <x:c r="E1543" s="1"/>
      <x:c r="F1543" s="1"/>
      <x:c r="G1543" s="1"/>
      <x:c r="H1543" s="1"/>
      <x:c r="I1543" s="1"/>
      <x:c r="J1543" s="1"/>
      <x:c r="K1543" s="1"/>
      <x:c r="L1543" s="1"/>
      <x:c r="M1543" s="1"/>
      <x:c r="N1543" s="1"/>
      <x:c r="O1543" s="1"/>
      <x:c r="P1543" s="1"/>
      <x:c r="Q1543" s="1"/>
      <x:c r="R1543" s="1"/>
      <x:c r="S1543" s="1"/>
      <x:c r="T1543" s="1"/>
      <x:c r="U1543" s="1"/>
      <x:c r="V1543" s="1"/>
    </x:row>
    <x:row r="1544">
      <x:c r="A1544" s="1"/>
      <x:c r="B1544" s="1"/>
      <x:c r="C1544" s="1"/>
      <x:c r="D1544" s="1"/>
      <x:c r="E1544" s="1"/>
      <x:c r="F1544" s="1"/>
      <x:c r="G1544" s="1"/>
      <x:c r="H1544" s="1"/>
      <x:c r="I1544" s="1"/>
      <x:c r="J1544" s="1"/>
      <x:c r="K1544" s="1"/>
      <x:c r="L1544" s="1"/>
      <x:c r="M1544" s="1"/>
      <x:c r="N1544" s="1"/>
      <x:c r="O1544" s="1"/>
      <x:c r="P1544" s="1"/>
      <x:c r="Q1544" s="1"/>
      <x:c r="R1544" s="1"/>
      <x:c r="S1544" s="1"/>
      <x:c r="T1544" s="1"/>
      <x:c r="U1544" s="1"/>
      <x:c r="V1544" s="1"/>
    </x:row>
    <x:row r="1545">
      <x:c r="A1545" s="1"/>
      <x:c r="B1545" s="1"/>
      <x:c r="C1545" s="1"/>
      <x:c r="D1545" s="1"/>
      <x:c r="E1545" s="1"/>
      <x:c r="F1545" s="1"/>
      <x:c r="G1545" s="1"/>
      <x:c r="H1545" s="1"/>
      <x:c r="I1545" s="1"/>
      <x:c r="J1545" s="1"/>
      <x:c r="K1545" s="1"/>
      <x:c r="L1545" s="1"/>
      <x:c r="M1545" s="1"/>
      <x:c r="N1545" s="1"/>
      <x:c r="O1545" s="1"/>
      <x:c r="P1545" s="1"/>
      <x:c r="Q1545" s="1"/>
      <x:c r="R1545" s="1"/>
      <x:c r="S1545" s="1"/>
      <x:c r="T1545" s="1"/>
      <x:c r="U1545" s="1"/>
      <x:c r="V1545" s="1"/>
    </x:row>
    <x:row r="1546">
      <x:c r="A1546" s="1"/>
      <x:c r="B1546" s="1"/>
      <x:c r="C1546" s="1"/>
      <x:c r="D1546" s="1"/>
      <x:c r="E1546" s="1"/>
      <x:c r="F1546" s="1"/>
      <x:c r="G1546" s="1"/>
      <x:c r="H1546" s="1"/>
      <x:c r="I1546" s="1"/>
      <x:c r="J1546" s="1"/>
      <x:c r="K1546" s="1"/>
      <x:c r="L1546" s="1"/>
      <x:c r="M1546" s="1"/>
      <x:c r="N1546" s="1"/>
      <x:c r="O1546" s="1"/>
      <x:c r="P1546" s="1"/>
      <x:c r="Q1546" s="1"/>
      <x:c r="R1546" s="1"/>
      <x:c r="S1546" s="1"/>
      <x:c r="T1546" s="1"/>
      <x:c r="U1546" s="1"/>
      <x:c r="V1546" s="1"/>
    </x:row>
    <x:row r="1547">
      <x:c r="A1547" s="1"/>
      <x:c r="B1547" s="1"/>
      <x:c r="C1547" s="1"/>
      <x:c r="D1547" s="1"/>
      <x:c r="E1547" s="1"/>
      <x:c r="F1547" s="1"/>
      <x:c r="G1547" s="1"/>
      <x:c r="H1547" s="1"/>
      <x:c r="I1547" s="1"/>
      <x:c r="J1547" s="1"/>
      <x:c r="K1547" s="1"/>
      <x:c r="L1547" s="1"/>
      <x:c r="M1547" s="1"/>
      <x:c r="N1547" s="1"/>
      <x:c r="O1547" s="1"/>
      <x:c r="P1547" s="1"/>
      <x:c r="Q1547" s="1"/>
      <x:c r="R1547" s="1"/>
      <x:c r="S1547" s="1"/>
      <x:c r="T1547" s="1"/>
      <x:c r="U1547" s="1"/>
      <x:c r="V1547" s="1"/>
    </x:row>
    <x:row r="1548">
      <x:c r="A1548" s="1"/>
      <x:c r="B1548" s="1"/>
      <x:c r="C1548" s="1"/>
      <x:c r="D1548" s="1"/>
      <x:c r="E1548" s="1"/>
      <x:c r="F1548" s="1"/>
      <x:c r="G1548" s="1"/>
      <x:c r="H1548" s="1"/>
      <x:c r="I1548" s="1"/>
      <x:c r="J1548" s="1"/>
      <x:c r="K1548" s="1"/>
      <x:c r="L1548" s="1"/>
      <x:c r="M1548" s="1"/>
      <x:c r="N1548" s="1"/>
      <x:c r="O1548" s="1"/>
      <x:c r="P1548" s="1"/>
      <x:c r="Q1548" s="1"/>
      <x:c r="R1548" s="1"/>
      <x:c r="S1548" s="1"/>
      <x:c r="T1548" s="1"/>
      <x:c r="U1548" s="1"/>
      <x:c r="V1548" s="1"/>
    </x:row>
    <x:row r="1549">
      <x:c r="A1549" s="1"/>
      <x:c r="B1549" s="1"/>
      <x:c r="C1549" s="1"/>
      <x:c r="D1549" s="1"/>
      <x:c r="E1549" s="1"/>
      <x:c r="F1549" s="1"/>
      <x:c r="G1549" s="1"/>
      <x:c r="H1549" s="1"/>
      <x:c r="I1549" s="1"/>
      <x:c r="J1549" s="1"/>
      <x:c r="K1549" s="1"/>
      <x:c r="L1549" s="1"/>
      <x:c r="M1549" s="1"/>
      <x:c r="N1549" s="1"/>
      <x:c r="O1549" s="1"/>
      <x:c r="P1549" s="1"/>
      <x:c r="Q1549" s="1"/>
      <x:c r="R1549" s="1"/>
      <x:c r="S1549" s="1"/>
      <x:c r="T1549" s="1"/>
      <x:c r="U1549" s="1"/>
      <x:c r="V1549" s="1"/>
    </x:row>
    <x:row r="1550">
      <x:c r="A1550" s="1"/>
      <x:c r="B1550" s="1"/>
      <x:c r="C1550" s="1"/>
      <x:c r="D1550" s="1"/>
      <x:c r="E1550" s="1"/>
      <x:c r="F1550" s="1"/>
      <x:c r="G1550" s="1"/>
      <x:c r="H1550" s="1"/>
      <x:c r="I1550" s="1"/>
      <x:c r="J1550" s="1"/>
      <x:c r="K1550" s="1"/>
      <x:c r="L1550" s="1"/>
      <x:c r="M1550" s="1"/>
      <x:c r="N1550" s="1"/>
      <x:c r="O1550" s="1"/>
      <x:c r="P1550" s="1"/>
      <x:c r="Q1550" s="1"/>
      <x:c r="R1550" s="1"/>
      <x:c r="S1550" s="1"/>
      <x:c r="T1550" s="1"/>
      <x:c r="U1550" s="1"/>
      <x:c r="V1550" s="1"/>
    </x:row>
    <x:row r="1551">
      <x:c r="A1551" s="1"/>
      <x:c r="B1551" s="1"/>
      <x:c r="C1551" s="1"/>
      <x:c r="D1551" s="1"/>
      <x:c r="E1551" s="1"/>
      <x:c r="F1551" s="1"/>
      <x:c r="G1551" s="1"/>
      <x:c r="H1551" s="1"/>
      <x:c r="I1551" s="1"/>
      <x:c r="J1551" s="1"/>
      <x:c r="K1551" s="1"/>
      <x:c r="L1551" s="1"/>
      <x:c r="M1551" s="1"/>
      <x:c r="N1551" s="1"/>
      <x:c r="O1551" s="1"/>
      <x:c r="P1551" s="1"/>
      <x:c r="Q1551" s="1"/>
      <x:c r="R1551" s="1"/>
      <x:c r="S1551" s="1"/>
      <x:c r="T1551" s="1"/>
      <x:c r="U1551" s="1"/>
      <x:c r="V1551" s="1"/>
    </x:row>
    <x:row r="1552">
      <x:c r="A1552" s="1"/>
      <x:c r="B1552" s="1"/>
      <x:c r="C1552" s="1"/>
      <x:c r="D1552" s="1"/>
      <x:c r="E1552" s="1"/>
      <x:c r="F1552" s="1"/>
      <x:c r="G1552" s="1"/>
      <x:c r="H1552" s="1"/>
      <x:c r="I1552" s="1"/>
      <x:c r="J1552" s="1"/>
      <x:c r="K1552" s="1"/>
      <x:c r="L1552" s="1"/>
      <x:c r="M1552" s="1"/>
      <x:c r="N1552" s="1"/>
      <x:c r="O1552" s="1"/>
      <x:c r="P1552" s="1"/>
      <x:c r="Q1552" s="1"/>
      <x:c r="R1552" s="1"/>
      <x:c r="S1552" s="1"/>
      <x:c r="T1552" s="1"/>
      <x:c r="U1552" s="1"/>
      <x:c r="V1552" s="1"/>
    </x:row>
    <x:row r="1553">
      <x:c r="A1553" s="1"/>
      <x:c r="B1553" s="1"/>
      <x:c r="C1553" s="1"/>
      <x:c r="D1553" s="1"/>
      <x:c r="E1553" s="1"/>
      <x:c r="F1553" s="1"/>
      <x:c r="G1553" s="1"/>
      <x:c r="H1553" s="1"/>
      <x:c r="I1553" s="1"/>
      <x:c r="J1553" s="1"/>
      <x:c r="K1553" s="1"/>
      <x:c r="L1553" s="1"/>
      <x:c r="M1553" s="1"/>
      <x:c r="N1553" s="1"/>
      <x:c r="O1553" s="1"/>
      <x:c r="P1553" s="1"/>
      <x:c r="Q1553" s="1"/>
      <x:c r="R1553" s="1"/>
      <x:c r="S1553" s="1"/>
      <x:c r="T1553" s="1"/>
      <x:c r="U1553" s="1"/>
      <x:c r="V1553" s="1"/>
    </x:row>
    <x:row r="1554">
      <x:c r="A1554" s="1"/>
      <x:c r="B1554" s="1"/>
      <x:c r="C1554" s="1"/>
      <x:c r="D1554" s="1"/>
      <x:c r="E1554" s="1"/>
      <x:c r="F1554" s="1"/>
      <x:c r="G1554" s="1"/>
      <x:c r="H1554" s="1"/>
      <x:c r="I1554" s="1"/>
      <x:c r="J1554" s="1"/>
      <x:c r="K1554" s="1"/>
      <x:c r="L1554" s="1"/>
      <x:c r="M1554" s="1"/>
      <x:c r="N1554" s="1"/>
      <x:c r="O1554" s="1"/>
      <x:c r="P1554" s="1"/>
      <x:c r="Q1554" s="1"/>
      <x:c r="R1554" s="1"/>
      <x:c r="S1554" s="1"/>
      <x:c r="T1554" s="1"/>
      <x:c r="U1554" s="1"/>
      <x:c r="V1554" s="1"/>
    </x:row>
    <x:row r="1555">
      <x:c r="A1555" s="1"/>
      <x:c r="B1555" s="1"/>
      <x:c r="C1555" s="1"/>
      <x:c r="D1555" s="1"/>
      <x:c r="E1555" s="1"/>
      <x:c r="F1555" s="1"/>
      <x:c r="G1555" s="1"/>
      <x:c r="H1555" s="1"/>
      <x:c r="I1555" s="1"/>
      <x:c r="J1555" s="1"/>
      <x:c r="K1555" s="1"/>
      <x:c r="L1555" s="1"/>
      <x:c r="M1555" s="1"/>
      <x:c r="N1555" s="1"/>
      <x:c r="O1555" s="1"/>
      <x:c r="P1555" s="1"/>
      <x:c r="Q1555" s="1"/>
      <x:c r="R1555" s="1"/>
      <x:c r="S1555" s="1"/>
      <x:c r="T1555" s="1"/>
      <x:c r="U1555" s="1"/>
      <x:c r="V1555" s="1"/>
    </x:row>
    <x:row r="1556">
      <x:c r="A1556" s="1"/>
      <x:c r="B1556" s="1"/>
      <x:c r="C1556" s="1"/>
      <x:c r="D1556" s="1"/>
      <x:c r="E1556" s="1"/>
      <x:c r="F1556" s="1"/>
      <x:c r="G1556" s="1"/>
      <x:c r="H1556" s="1"/>
      <x:c r="I1556" s="1"/>
      <x:c r="J1556" s="1"/>
      <x:c r="K1556" s="1"/>
      <x:c r="L1556" s="1"/>
      <x:c r="M1556" s="1"/>
      <x:c r="N1556" s="1"/>
      <x:c r="O1556" s="1"/>
      <x:c r="P1556" s="1"/>
      <x:c r="Q1556" s="1"/>
      <x:c r="R1556" s="1"/>
      <x:c r="S1556" s="1"/>
      <x:c r="T1556" s="1"/>
      <x:c r="U1556" s="1"/>
      <x:c r="V1556" s="1"/>
    </x:row>
    <x:row r="1557">
      <x:c r="A1557" s="1"/>
      <x:c r="B1557" s="1"/>
      <x:c r="C1557" s="1"/>
      <x:c r="D1557" s="1"/>
      <x:c r="E1557" s="1"/>
      <x:c r="F1557" s="1"/>
      <x:c r="G1557" s="1"/>
      <x:c r="H1557" s="1"/>
      <x:c r="I1557" s="1"/>
      <x:c r="J1557" s="1"/>
      <x:c r="K1557" s="1"/>
      <x:c r="L1557" s="1"/>
      <x:c r="M1557" s="1"/>
      <x:c r="N1557" s="1"/>
      <x:c r="O1557" s="1"/>
      <x:c r="P1557" s="1"/>
      <x:c r="Q1557" s="1"/>
      <x:c r="R1557" s="1"/>
      <x:c r="S1557" s="1"/>
      <x:c r="T1557" s="1"/>
      <x:c r="U1557" s="1"/>
      <x:c r="V1557" s="1"/>
    </x:row>
    <x:row r="1558">
      <x:c r="A1558" s="1"/>
      <x:c r="B1558" s="1"/>
      <x:c r="C1558" s="1"/>
      <x:c r="D1558" s="1"/>
      <x:c r="E1558" s="1"/>
      <x:c r="F1558" s="1"/>
      <x:c r="G1558" s="1"/>
      <x:c r="H1558" s="1"/>
      <x:c r="I1558" s="1"/>
      <x:c r="J1558" s="1"/>
      <x:c r="K1558" s="1"/>
      <x:c r="L1558" s="1"/>
      <x:c r="M1558" s="1"/>
      <x:c r="N1558" s="1"/>
      <x:c r="O1558" s="1"/>
      <x:c r="P1558" s="1"/>
      <x:c r="Q1558" s="1"/>
      <x:c r="R1558" s="1"/>
      <x:c r="S1558" s="1"/>
      <x:c r="T1558" s="1"/>
      <x:c r="U1558" s="1"/>
      <x:c r="V1558" s="1"/>
    </x:row>
    <x:row r="1559">
      <x:c r="A1559" s="1"/>
      <x:c r="B1559" s="1"/>
      <x:c r="C1559" s="1"/>
      <x:c r="D1559" s="1"/>
      <x:c r="E1559" s="1"/>
      <x:c r="F1559" s="1"/>
      <x:c r="G1559" s="1"/>
      <x:c r="H1559" s="1"/>
      <x:c r="I1559" s="1"/>
      <x:c r="J1559" s="1"/>
      <x:c r="K1559" s="1"/>
      <x:c r="L1559" s="1"/>
      <x:c r="M1559" s="1"/>
      <x:c r="N1559" s="1"/>
      <x:c r="O1559" s="1"/>
      <x:c r="P1559" s="1"/>
      <x:c r="Q1559" s="1"/>
      <x:c r="R1559" s="1"/>
      <x:c r="S1559" s="1"/>
      <x:c r="T1559" s="1"/>
      <x:c r="U1559" s="1"/>
      <x:c r="V1559" s="1"/>
    </x:row>
    <x:row r="1560">
      <x:c r="A1560" s="1"/>
      <x:c r="B1560" s="1"/>
      <x:c r="C1560" s="1"/>
      <x:c r="D1560" s="1"/>
      <x:c r="E1560" s="1"/>
      <x:c r="F1560" s="1"/>
      <x:c r="G1560" s="1"/>
      <x:c r="H1560" s="1"/>
      <x:c r="I1560" s="1"/>
      <x:c r="J1560" s="1"/>
      <x:c r="K1560" s="1"/>
      <x:c r="L1560" s="1"/>
      <x:c r="M1560" s="1"/>
      <x:c r="N1560" s="1"/>
      <x:c r="O1560" s="1"/>
      <x:c r="P1560" s="1"/>
      <x:c r="Q1560" s="1"/>
      <x:c r="R1560" s="1"/>
      <x:c r="S1560" s="1"/>
      <x:c r="T1560" s="1"/>
      <x:c r="U1560" s="1"/>
      <x:c r="V1560" s="1"/>
    </x:row>
    <x:row r="1561">
      <x:c r="A1561" s="1"/>
      <x:c r="B1561" s="1"/>
      <x:c r="C1561" s="1"/>
      <x:c r="D1561" s="1"/>
      <x:c r="E1561" s="1"/>
      <x:c r="F1561" s="1"/>
      <x:c r="G1561" s="1"/>
      <x:c r="H1561" s="1"/>
      <x:c r="I1561" s="1"/>
      <x:c r="J1561" s="1"/>
      <x:c r="K1561" s="1"/>
      <x:c r="L1561" s="1"/>
      <x:c r="M1561" s="1"/>
      <x:c r="N1561" s="1"/>
      <x:c r="O1561" s="1"/>
      <x:c r="P1561" s="1"/>
      <x:c r="Q1561" s="1"/>
      <x:c r="R1561" s="1"/>
      <x:c r="S1561" s="1"/>
      <x:c r="T1561" s="1"/>
      <x:c r="U1561" s="1"/>
      <x:c r="V1561" s="1"/>
    </x:row>
    <x:row r="1562">
      <x:c r="A1562" s="1"/>
      <x:c r="B1562" s="1"/>
      <x:c r="C1562" s="1"/>
      <x:c r="D1562" s="1"/>
      <x:c r="E1562" s="1"/>
      <x:c r="F1562" s="1"/>
      <x:c r="G1562" s="1"/>
      <x:c r="H1562" s="1"/>
      <x:c r="I1562" s="1"/>
      <x:c r="J1562" s="1"/>
      <x:c r="K1562" s="1"/>
      <x:c r="L1562" s="1"/>
      <x:c r="M1562" s="1"/>
      <x:c r="N1562" s="1"/>
      <x:c r="O1562" s="1"/>
      <x:c r="P1562" s="1"/>
      <x:c r="Q1562" s="1"/>
      <x:c r="R1562" s="1"/>
      <x:c r="S1562" s="1"/>
      <x:c r="T1562" s="1"/>
      <x:c r="U1562" s="1"/>
      <x:c r="V1562" s="1"/>
    </x:row>
    <x:row r="1563">
      <x:c r="A1563" s="1"/>
      <x:c r="B1563" s="1"/>
      <x:c r="C1563" s="1"/>
      <x:c r="D1563" s="1"/>
      <x:c r="E1563" s="1"/>
      <x:c r="F1563" s="1"/>
      <x:c r="G1563" s="1"/>
      <x:c r="H1563" s="1"/>
      <x:c r="I1563" s="1"/>
      <x:c r="J1563" s="1"/>
      <x:c r="K1563" s="1"/>
      <x:c r="L1563" s="1"/>
      <x:c r="M1563" s="1"/>
      <x:c r="N1563" s="1"/>
      <x:c r="O1563" s="1"/>
      <x:c r="P1563" s="1"/>
      <x:c r="Q1563" s="1"/>
      <x:c r="R1563" s="1"/>
      <x:c r="S1563" s="1"/>
      <x:c r="T1563" s="1"/>
      <x:c r="U1563" s="1"/>
      <x:c r="V1563" s="1"/>
    </x:row>
    <x:row r="1564">
      <x:c r="A1564" s="1"/>
      <x:c r="B1564" s="1"/>
      <x:c r="C1564" s="1"/>
      <x:c r="D1564" s="1"/>
      <x:c r="E1564" s="1"/>
      <x:c r="F1564" s="1"/>
      <x:c r="G1564" s="1"/>
      <x:c r="H1564" s="1"/>
      <x:c r="I1564" s="1"/>
      <x:c r="J1564" s="1"/>
      <x:c r="K1564" s="1"/>
      <x:c r="L1564" s="1"/>
      <x:c r="M1564" s="1"/>
      <x:c r="N1564" s="1"/>
      <x:c r="O1564" s="1"/>
      <x:c r="P1564" s="1"/>
      <x:c r="Q1564" s="1"/>
      <x:c r="R1564" s="1"/>
      <x:c r="S1564" s="1"/>
      <x:c r="T1564" s="1"/>
      <x:c r="U1564" s="1"/>
      <x:c r="V1564" s="1"/>
    </x:row>
    <x:row r="1565">
      <x:c r="A1565" s="1"/>
      <x:c r="B1565" s="1"/>
      <x:c r="C1565" s="1"/>
      <x:c r="D1565" s="1"/>
      <x:c r="E1565" s="1"/>
      <x:c r="F1565" s="1"/>
      <x:c r="G1565" s="1"/>
      <x:c r="H1565" s="1"/>
      <x:c r="I1565" s="1"/>
      <x:c r="J1565" s="1"/>
      <x:c r="K1565" s="1"/>
      <x:c r="L1565" s="1"/>
      <x:c r="M1565" s="1"/>
      <x:c r="N1565" s="1"/>
      <x:c r="O1565" s="1"/>
      <x:c r="P1565" s="1"/>
      <x:c r="Q1565" s="1"/>
      <x:c r="R1565" s="1"/>
      <x:c r="S1565" s="1"/>
      <x:c r="T1565" s="1"/>
      <x:c r="U1565" s="1"/>
      <x:c r="V1565" s="1"/>
    </x:row>
    <x:row r="1566">
      <x:c r="A1566" s="1"/>
      <x:c r="B1566" s="1"/>
      <x:c r="C1566" s="1"/>
      <x:c r="D1566" s="1"/>
      <x:c r="E1566" s="1"/>
      <x:c r="F1566" s="1"/>
      <x:c r="G1566" s="1"/>
      <x:c r="H1566" s="1"/>
      <x:c r="I1566" s="1"/>
      <x:c r="J1566" s="1"/>
      <x:c r="K1566" s="1"/>
      <x:c r="L1566" s="1"/>
      <x:c r="M1566" s="1"/>
      <x:c r="N1566" s="1"/>
      <x:c r="O1566" s="1"/>
      <x:c r="P1566" s="1"/>
      <x:c r="Q1566" s="1"/>
      <x:c r="R1566" s="1"/>
      <x:c r="S1566" s="1"/>
      <x:c r="T1566" s="1"/>
      <x:c r="U1566" s="1"/>
      <x:c r="V1566" s="1"/>
    </x:row>
    <x:row r="1567">
      <x:c r="A1567" s="1"/>
      <x:c r="B1567" s="1"/>
      <x:c r="C1567" s="1"/>
      <x:c r="D1567" s="1"/>
      <x:c r="E1567" s="1"/>
      <x:c r="F1567" s="1"/>
      <x:c r="G1567" s="1"/>
      <x:c r="H1567" s="1"/>
      <x:c r="I1567" s="1"/>
      <x:c r="J1567" s="1"/>
      <x:c r="K1567" s="1"/>
      <x:c r="L1567" s="1"/>
      <x:c r="M1567" s="1"/>
      <x:c r="N1567" s="1"/>
      <x:c r="O1567" s="1"/>
      <x:c r="P1567" s="1"/>
      <x:c r="Q1567" s="1"/>
      <x:c r="R1567" s="1"/>
      <x:c r="S1567" s="1"/>
      <x:c r="T1567" s="1"/>
      <x:c r="U1567" s="1"/>
      <x:c r="V1567" s="1"/>
    </x:row>
    <x:row r="1568">
      <x:c r="A1568" s="1"/>
      <x:c r="B1568" s="1"/>
      <x:c r="C1568" s="1"/>
      <x:c r="D1568" s="1"/>
      <x:c r="E1568" s="1"/>
      <x:c r="F1568" s="1"/>
      <x:c r="G1568" s="1"/>
      <x:c r="H1568" s="1"/>
      <x:c r="I1568" s="1"/>
      <x:c r="J1568" s="1"/>
      <x:c r="K1568" s="1"/>
      <x:c r="L1568" s="1"/>
      <x:c r="M1568" s="1"/>
      <x:c r="N1568" s="1"/>
      <x:c r="O1568" s="1"/>
      <x:c r="P1568" s="1"/>
      <x:c r="Q1568" s="1"/>
      <x:c r="R1568" s="1"/>
      <x:c r="S1568" s="1"/>
      <x:c r="T1568" s="1"/>
      <x:c r="U1568" s="1"/>
      <x:c r="V1568" s="1"/>
    </x:row>
    <x:row r="1569">
      <x:c r="A1569" s="1"/>
      <x:c r="B1569" s="1"/>
      <x:c r="C1569" s="1"/>
      <x:c r="D1569" s="1"/>
      <x:c r="E1569" s="1"/>
      <x:c r="F1569" s="1"/>
      <x:c r="G1569" s="1"/>
      <x:c r="H1569" s="1"/>
      <x:c r="I1569" s="1"/>
      <x:c r="J1569" s="1"/>
      <x:c r="K1569" s="1"/>
      <x:c r="L1569" s="1"/>
      <x:c r="M1569" s="1"/>
      <x:c r="N1569" s="1"/>
      <x:c r="O1569" s="1"/>
      <x:c r="P1569" s="1"/>
      <x:c r="Q1569" s="1"/>
      <x:c r="R1569" s="1"/>
      <x:c r="S1569" s="1"/>
      <x:c r="T1569" s="1"/>
      <x:c r="U1569" s="1"/>
      <x:c r="V1569" s="1"/>
    </x:row>
    <x:row r="1570">
      <x:c r="A1570" s="1"/>
      <x:c r="B1570" s="1"/>
      <x:c r="C1570" s="1"/>
      <x:c r="D1570" s="1"/>
      <x:c r="E1570" s="1"/>
      <x:c r="F1570" s="1"/>
      <x:c r="G1570" s="1"/>
      <x:c r="H1570" s="1"/>
      <x:c r="I1570" s="1"/>
      <x:c r="J1570" s="1"/>
      <x:c r="K1570" s="1"/>
      <x:c r="L1570" s="1"/>
      <x:c r="M1570" s="1"/>
      <x:c r="N1570" s="1"/>
      <x:c r="O1570" s="1"/>
      <x:c r="P1570" s="1"/>
      <x:c r="Q1570" s="1"/>
      <x:c r="R1570" s="1"/>
      <x:c r="S1570" s="1"/>
      <x:c r="T1570" s="1"/>
      <x:c r="U1570" s="1"/>
      <x:c r="V1570" s="1"/>
    </x:row>
    <x:row r="1571">
      <x:c r="A1571" s="1"/>
      <x:c r="B1571" s="1"/>
      <x:c r="C1571" s="1"/>
      <x:c r="D1571" s="1"/>
      <x:c r="E1571" s="1"/>
      <x:c r="F1571" s="1"/>
      <x:c r="G1571" s="1"/>
      <x:c r="H1571" s="1"/>
      <x:c r="I1571" s="1"/>
      <x:c r="J1571" s="1"/>
      <x:c r="K1571" s="1"/>
      <x:c r="L1571" s="1"/>
      <x:c r="M1571" s="1"/>
      <x:c r="N1571" s="1"/>
      <x:c r="O1571" s="1"/>
      <x:c r="P1571" s="1"/>
      <x:c r="Q1571" s="1"/>
      <x:c r="R1571" s="1"/>
      <x:c r="S1571" s="1"/>
      <x:c r="T1571" s="1"/>
      <x:c r="U1571" s="1"/>
      <x:c r="V1571" s="1"/>
    </x:row>
    <x:row r="1572">
      <x:c r="A1572" s="1"/>
      <x:c r="B1572" s="1"/>
      <x:c r="C1572" s="1"/>
      <x:c r="D1572" s="1"/>
      <x:c r="E1572" s="1"/>
      <x:c r="F1572" s="1"/>
      <x:c r="G1572" s="1"/>
      <x:c r="H1572" s="1"/>
      <x:c r="I1572" s="1"/>
      <x:c r="J1572" s="1"/>
      <x:c r="K1572" s="1"/>
      <x:c r="L1572" s="1"/>
      <x:c r="M1572" s="1"/>
      <x:c r="N1572" s="1"/>
      <x:c r="O1572" s="1"/>
      <x:c r="P1572" s="1"/>
      <x:c r="Q1572" s="1"/>
      <x:c r="R1572" s="1"/>
      <x:c r="S1572" s="1"/>
      <x:c r="T1572" s="1"/>
      <x:c r="U1572" s="1"/>
      <x:c r="V1572" s="1"/>
    </x:row>
    <x:row r="1573">
      <x:c r="A1573" s="1"/>
      <x:c r="B1573" s="1"/>
      <x:c r="C1573" s="1"/>
      <x:c r="D1573" s="1"/>
      <x:c r="E1573" s="1"/>
      <x:c r="F1573" s="1"/>
      <x:c r="G1573" s="1"/>
      <x:c r="H1573" s="1"/>
      <x:c r="I1573" s="1"/>
      <x:c r="J1573" s="1"/>
      <x:c r="K1573" s="1"/>
      <x:c r="L1573" s="1"/>
      <x:c r="M1573" s="1"/>
      <x:c r="N1573" s="1"/>
      <x:c r="O1573" s="1"/>
      <x:c r="P1573" s="1"/>
      <x:c r="Q1573" s="1"/>
      <x:c r="R1573" s="1"/>
      <x:c r="S1573" s="1"/>
      <x:c r="T1573" s="1"/>
      <x:c r="U1573" s="1"/>
      <x:c r="V1573" s="1"/>
    </x:row>
    <x:row r="1574">
      <x:c r="A1574" s="1"/>
      <x:c r="B1574" s="1"/>
      <x:c r="C1574" s="1"/>
      <x:c r="D1574" s="1"/>
      <x:c r="E1574" s="1"/>
      <x:c r="F1574" s="1"/>
      <x:c r="G1574" s="1"/>
      <x:c r="H1574" s="1"/>
      <x:c r="I1574" s="1"/>
      <x:c r="J1574" s="1"/>
      <x:c r="K1574" s="1"/>
      <x:c r="L1574" s="1"/>
      <x:c r="M1574" s="1"/>
      <x:c r="N1574" s="1"/>
      <x:c r="O1574" s="1"/>
      <x:c r="P1574" s="1"/>
      <x:c r="Q1574" s="1"/>
      <x:c r="R1574" s="1"/>
      <x:c r="S1574" s="1"/>
      <x:c r="T1574" s="1"/>
      <x:c r="U1574" s="1"/>
      <x:c r="V1574" s="1"/>
    </x:row>
    <x:row r="1575">
      <x:c r="A1575" s="1"/>
      <x:c r="B1575" s="1"/>
      <x:c r="C1575" s="1"/>
      <x:c r="D1575" s="1"/>
      <x:c r="E1575" s="1"/>
      <x:c r="F1575" s="1"/>
      <x:c r="G1575" s="1"/>
      <x:c r="H1575" s="1"/>
      <x:c r="I1575" s="1"/>
      <x:c r="J1575" s="1"/>
      <x:c r="K1575" s="1"/>
      <x:c r="L1575" s="1"/>
      <x:c r="M1575" s="1"/>
      <x:c r="N1575" s="1"/>
      <x:c r="O1575" s="1"/>
      <x:c r="P1575" s="1"/>
      <x:c r="Q1575" s="1"/>
      <x:c r="R1575" s="1"/>
      <x:c r="S1575" s="1"/>
      <x:c r="T1575" s="1"/>
      <x:c r="U1575" s="1"/>
      <x:c r="V1575" s="1"/>
    </x:row>
    <x:row r="1576">
      <x:c r="A1576" s="1"/>
      <x:c r="B1576" s="1"/>
      <x:c r="C1576" s="1"/>
      <x:c r="D1576" s="1"/>
      <x:c r="E1576" s="1"/>
      <x:c r="F1576" s="1"/>
      <x:c r="G1576" s="1"/>
      <x:c r="H1576" s="1"/>
      <x:c r="I1576" s="1"/>
      <x:c r="J1576" s="1"/>
      <x:c r="K1576" s="1"/>
      <x:c r="L1576" s="1"/>
      <x:c r="M1576" s="1"/>
      <x:c r="N1576" s="1"/>
      <x:c r="O1576" s="1"/>
      <x:c r="P1576" s="1"/>
      <x:c r="Q1576" s="1"/>
      <x:c r="R1576" s="1"/>
      <x:c r="S1576" s="1"/>
      <x:c r="T1576" s="1"/>
      <x:c r="U1576" s="1"/>
      <x:c r="V1576" s="1"/>
    </x:row>
    <x:row r="1577">
      <x:c r="A1577" s="1"/>
      <x:c r="B1577" s="1"/>
      <x:c r="C1577" s="1"/>
      <x:c r="D1577" s="1"/>
      <x:c r="E1577" s="1"/>
      <x:c r="F1577" s="1"/>
      <x:c r="G1577" s="1"/>
      <x:c r="H1577" s="1"/>
      <x:c r="I1577" s="1"/>
      <x:c r="J1577" s="1"/>
      <x:c r="K1577" s="1"/>
      <x:c r="L1577" s="1"/>
      <x:c r="M1577" s="1"/>
      <x:c r="N1577" s="1"/>
      <x:c r="O1577" s="1"/>
      <x:c r="P1577" s="1"/>
      <x:c r="Q1577" s="1"/>
      <x:c r="R1577" s="1"/>
      <x:c r="S1577" s="1"/>
      <x:c r="T1577" s="1"/>
      <x:c r="U1577" s="1"/>
      <x:c r="V1577" s="1"/>
    </x:row>
    <x:row r="1578">
      <x:c r="A1578" s="1"/>
      <x:c r="B1578" s="1"/>
      <x:c r="C1578" s="1"/>
      <x:c r="D1578" s="1"/>
      <x:c r="E1578" s="1"/>
      <x:c r="F1578" s="1"/>
      <x:c r="G1578" s="1"/>
      <x:c r="H1578" s="1"/>
      <x:c r="I1578" s="1"/>
      <x:c r="J1578" s="1"/>
      <x:c r="K1578" s="1"/>
      <x:c r="L1578" s="1"/>
      <x:c r="M1578" s="1"/>
      <x:c r="N1578" s="1"/>
      <x:c r="O1578" s="1"/>
      <x:c r="P1578" s="1"/>
      <x:c r="Q1578" s="1"/>
      <x:c r="R1578" s="1"/>
      <x:c r="S1578" s="1"/>
      <x:c r="T1578" s="1"/>
      <x:c r="U1578" s="1"/>
      <x:c r="V1578" s="1"/>
    </x:row>
    <x:row r="1579">
      <x:c r="A1579" s="1"/>
      <x:c r="B1579" s="1"/>
      <x:c r="C1579" s="1"/>
      <x:c r="D1579" s="1"/>
      <x:c r="E1579" s="1"/>
      <x:c r="F1579" s="1"/>
      <x:c r="G1579" s="1"/>
      <x:c r="H1579" s="1"/>
      <x:c r="I1579" s="1"/>
      <x:c r="J1579" s="1"/>
      <x:c r="K1579" s="1"/>
      <x:c r="L1579" s="1"/>
      <x:c r="M1579" s="1"/>
      <x:c r="N1579" s="1"/>
      <x:c r="O1579" s="1"/>
      <x:c r="P1579" s="1"/>
      <x:c r="Q1579" s="1"/>
      <x:c r="R1579" s="1"/>
      <x:c r="S1579" s="1"/>
      <x:c r="T1579" s="1"/>
      <x:c r="U1579" s="1"/>
      <x:c r="V1579" s="1"/>
    </x:row>
    <x:row r="1580">
      <x:c r="A1580" s="1"/>
      <x:c r="B1580" s="1"/>
      <x:c r="C1580" s="1"/>
      <x:c r="D1580" s="1"/>
      <x:c r="E1580" s="1"/>
      <x:c r="F1580" s="1"/>
      <x:c r="G1580" s="1"/>
      <x:c r="H1580" s="1"/>
      <x:c r="I1580" s="1"/>
      <x:c r="J1580" s="1"/>
      <x:c r="K1580" s="1"/>
      <x:c r="L1580" s="1"/>
      <x:c r="M1580" s="1"/>
      <x:c r="N1580" s="1"/>
      <x:c r="O1580" s="1"/>
      <x:c r="P1580" s="1"/>
      <x:c r="Q1580" s="1"/>
      <x:c r="R1580" s="1"/>
      <x:c r="S1580" s="1"/>
      <x:c r="T1580" s="1"/>
      <x:c r="U1580" s="1"/>
      <x:c r="V1580" s="1"/>
    </x:row>
    <x:row r="1581">
      <x:c r="A1581" s="1"/>
      <x:c r="B1581" s="1"/>
      <x:c r="C1581" s="1"/>
      <x:c r="D1581" s="1"/>
      <x:c r="E1581" s="1"/>
      <x:c r="F1581" s="1"/>
      <x:c r="G1581" s="1"/>
      <x:c r="H1581" s="1"/>
      <x:c r="I1581" s="1"/>
      <x:c r="J1581" s="1"/>
      <x:c r="K1581" s="1"/>
      <x:c r="L1581" s="1"/>
      <x:c r="M1581" s="1"/>
      <x:c r="N1581" s="1"/>
      <x:c r="O1581" s="1"/>
      <x:c r="P1581" s="1"/>
      <x:c r="Q1581" s="1"/>
      <x:c r="R1581" s="1"/>
      <x:c r="S1581" s="1"/>
      <x:c r="T1581" s="1"/>
      <x:c r="U1581" s="1"/>
      <x:c r="V1581" s="1"/>
    </x:row>
    <x:row r="1582">
      <x:c r="A1582" s="1"/>
      <x:c r="B1582" s="1"/>
      <x:c r="C1582" s="1"/>
      <x:c r="D1582" s="1"/>
      <x:c r="E1582" s="1"/>
      <x:c r="F1582" s="1"/>
      <x:c r="G1582" s="1"/>
      <x:c r="H1582" s="1"/>
      <x:c r="I1582" s="1"/>
      <x:c r="J1582" s="1"/>
      <x:c r="K1582" s="1"/>
      <x:c r="L1582" s="1"/>
      <x:c r="M1582" s="1"/>
      <x:c r="N1582" s="1"/>
      <x:c r="O1582" s="1"/>
      <x:c r="P1582" s="1"/>
      <x:c r="Q1582" s="1"/>
      <x:c r="R1582" s="1"/>
      <x:c r="S1582" s="1"/>
      <x:c r="T1582" s="1"/>
      <x:c r="U1582" s="1"/>
      <x:c r="V1582" s="1"/>
    </x:row>
    <x:row r="1583">
      <x:c r="A1583" s="1"/>
      <x:c r="B1583" s="1"/>
      <x:c r="C1583" s="1"/>
      <x:c r="D1583" s="1"/>
      <x:c r="E1583" s="1"/>
      <x:c r="F1583" s="1"/>
      <x:c r="G1583" s="1"/>
      <x:c r="H1583" s="1"/>
      <x:c r="I1583" s="1"/>
      <x:c r="J1583" s="1"/>
      <x:c r="K1583" s="1"/>
      <x:c r="L1583" s="1"/>
      <x:c r="M1583" s="1"/>
      <x:c r="N1583" s="1"/>
      <x:c r="O1583" s="1"/>
      <x:c r="P1583" s="1"/>
      <x:c r="Q1583" s="1"/>
      <x:c r="R1583" s="1"/>
      <x:c r="S1583" s="1"/>
      <x:c r="T1583" s="1"/>
      <x:c r="U1583" s="1"/>
      <x:c r="V1583" s="1"/>
    </x:row>
    <x:row r="1584">
      <x:c r="A1584" s="1"/>
      <x:c r="B1584" s="1"/>
      <x:c r="C1584" s="1"/>
      <x:c r="D1584" s="1"/>
      <x:c r="E1584" s="1"/>
      <x:c r="F1584" s="1"/>
      <x:c r="G1584" s="1"/>
      <x:c r="H1584" s="1"/>
      <x:c r="I1584" s="1"/>
      <x:c r="J1584" s="1"/>
      <x:c r="K1584" s="1"/>
      <x:c r="L1584" s="1"/>
      <x:c r="M1584" s="1"/>
      <x:c r="N1584" s="1"/>
      <x:c r="O1584" s="1"/>
      <x:c r="P1584" s="1"/>
      <x:c r="Q1584" s="1"/>
      <x:c r="R1584" s="1"/>
      <x:c r="S1584" s="1"/>
      <x:c r="T1584" s="1"/>
      <x:c r="U1584" s="1"/>
      <x:c r="V1584" s="1"/>
    </x:row>
    <x:row r="1585">
      <x:c r="A1585" s="1"/>
      <x:c r="B1585" s="1"/>
      <x:c r="C1585" s="1"/>
      <x:c r="D1585" s="1"/>
      <x:c r="E1585" s="1"/>
      <x:c r="F1585" s="1"/>
      <x:c r="G1585" s="1"/>
      <x:c r="H1585" s="1"/>
      <x:c r="I1585" s="1"/>
      <x:c r="J1585" s="1"/>
      <x:c r="K1585" s="1"/>
      <x:c r="L1585" s="1"/>
      <x:c r="M1585" s="1"/>
      <x:c r="N1585" s="1"/>
      <x:c r="O1585" s="1"/>
      <x:c r="P1585" s="1"/>
      <x:c r="Q1585" s="1"/>
      <x:c r="R1585" s="1"/>
      <x:c r="S1585" s="1"/>
      <x:c r="T1585" s="1"/>
      <x:c r="U1585" s="1"/>
      <x:c r="V1585" s="1"/>
    </x:row>
    <x:row r="1586">
      <x:c r="A1586" s="1"/>
      <x:c r="B1586" s="1"/>
      <x:c r="C1586" s="1"/>
      <x:c r="D1586" s="1"/>
      <x:c r="E1586" s="1"/>
      <x:c r="F1586" s="1"/>
      <x:c r="G1586" s="1"/>
      <x:c r="H1586" s="1"/>
      <x:c r="I1586" s="1"/>
      <x:c r="J1586" s="1"/>
      <x:c r="K1586" s="1"/>
      <x:c r="L1586" s="1"/>
      <x:c r="M1586" s="1"/>
      <x:c r="N1586" s="1"/>
      <x:c r="O1586" s="1"/>
      <x:c r="P1586" s="1"/>
      <x:c r="Q1586" s="1"/>
      <x:c r="R1586" s="1"/>
      <x:c r="S1586" s="1"/>
      <x:c r="T1586" s="1"/>
      <x:c r="U1586" s="1"/>
      <x:c r="V1586" s="1"/>
    </x:row>
    <x:row r="1587">
      <x:c r="A1587" s="1"/>
      <x:c r="B1587" s="1"/>
      <x:c r="C1587" s="1"/>
      <x:c r="D1587" s="1"/>
      <x:c r="E1587" s="1"/>
      <x:c r="F1587" s="1"/>
      <x:c r="G1587" s="1"/>
      <x:c r="H1587" s="1"/>
      <x:c r="I1587" s="1"/>
      <x:c r="J1587" s="1"/>
      <x:c r="K1587" s="1"/>
      <x:c r="L1587" s="1"/>
      <x:c r="M1587" s="1"/>
      <x:c r="N1587" s="1"/>
      <x:c r="O1587" s="1"/>
      <x:c r="P1587" s="1"/>
      <x:c r="Q1587" s="1"/>
      <x:c r="R1587" s="1"/>
      <x:c r="S1587" s="1"/>
      <x:c r="T1587" s="1"/>
      <x:c r="U1587" s="1"/>
      <x:c r="V1587" s="1"/>
    </x:row>
    <x:row r="1588">
      <x:c r="A1588" s="1"/>
      <x:c r="B1588" s="1"/>
      <x:c r="C1588" s="1"/>
      <x:c r="D1588" s="1"/>
      <x:c r="E1588" s="1"/>
      <x:c r="F1588" s="1"/>
      <x:c r="G1588" s="1"/>
      <x:c r="H1588" s="1"/>
      <x:c r="I1588" s="1"/>
      <x:c r="J1588" s="1"/>
      <x:c r="K1588" s="1"/>
      <x:c r="L1588" s="1"/>
      <x:c r="M1588" s="1"/>
      <x:c r="N1588" s="1"/>
      <x:c r="O1588" s="1"/>
      <x:c r="P1588" s="1"/>
      <x:c r="Q1588" s="1"/>
      <x:c r="R1588" s="1"/>
      <x:c r="S1588" s="1"/>
      <x:c r="T1588" s="1"/>
      <x:c r="U1588" s="1"/>
      <x:c r="V1588" s="1"/>
    </x:row>
    <x:row r="1589">
      <x:c r="A1589" s="1"/>
      <x:c r="B1589" s="1"/>
      <x:c r="C1589" s="1"/>
      <x:c r="D1589" s="1"/>
      <x:c r="E1589" s="1"/>
      <x:c r="F1589" s="1"/>
      <x:c r="G1589" s="1"/>
      <x:c r="H1589" s="1"/>
      <x:c r="I1589" s="1"/>
      <x:c r="J1589" s="1"/>
      <x:c r="K1589" s="1"/>
      <x:c r="L1589" s="1"/>
      <x:c r="M1589" s="1"/>
      <x:c r="N1589" s="1"/>
      <x:c r="O1589" s="1"/>
      <x:c r="P1589" s="1"/>
      <x:c r="Q1589" s="1"/>
      <x:c r="R1589" s="1"/>
      <x:c r="S1589" s="1"/>
      <x:c r="T1589" s="1"/>
      <x:c r="U1589" s="1"/>
      <x:c r="V1589" s="1"/>
    </x:row>
    <x:row r="1590">
      <x:c r="A1590" s="1"/>
      <x:c r="B1590" s="1"/>
      <x:c r="C1590" s="1"/>
      <x:c r="D1590" s="1"/>
      <x:c r="E1590" s="1"/>
      <x:c r="F1590" s="1"/>
      <x:c r="G1590" s="1"/>
      <x:c r="H1590" s="1"/>
      <x:c r="I1590" s="1"/>
      <x:c r="J1590" s="1"/>
      <x:c r="K1590" s="1"/>
      <x:c r="L1590" s="1"/>
      <x:c r="M1590" s="1"/>
      <x:c r="N1590" s="1"/>
      <x:c r="O1590" s="1"/>
      <x:c r="P1590" s="1"/>
      <x:c r="Q1590" s="1"/>
      <x:c r="R1590" s="1"/>
      <x:c r="S1590" s="1"/>
      <x:c r="T1590" s="1"/>
      <x:c r="U1590" s="1"/>
      <x:c r="V1590" s="1"/>
    </x:row>
    <x:row r="1591">
      <x:c r="A1591" s="1"/>
      <x:c r="B1591" s="1"/>
      <x:c r="C1591" s="1"/>
      <x:c r="D1591" s="1"/>
      <x:c r="E1591" s="1"/>
      <x:c r="F1591" s="1"/>
      <x:c r="G1591" s="1"/>
      <x:c r="H1591" s="1"/>
      <x:c r="I1591" s="1"/>
      <x:c r="J1591" s="1"/>
      <x:c r="K1591" s="1"/>
      <x:c r="L1591" s="1"/>
      <x:c r="M1591" s="1"/>
      <x:c r="N1591" s="1"/>
      <x:c r="O1591" s="1"/>
      <x:c r="P1591" s="1"/>
      <x:c r="Q1591" s="1"/>
      <x:c r="R1591" s="1"/>
      <x:c r="S1591" s="1"/>
      <x:c r="T1591" s="1"/>
      <x:c r="U1591" s="1"/>
      <x:c r="V1591" s="1"/>
    </x:row>
    <x:row r="1592">
      <x:c r="A1592" s="1"/>
      <x:c r="B1592" s="1"/>
      <x:c r="C1592" s="1"/>
      <x:c r="D1592" s="1"/>
      <x:c r="E1592" s="1"/>
      <x:c r="F1592" s="1"/>
      <x:c r="G1592" s="1"/>
      <x:c r="H1592" s="1"/>
      <x:c r="I1592" s="1"/>
      <x:c r="J1592" s="1"/>
      <x:c r="K1592" s="1"/>
      <x:c r="L1592" s="1"/>
      <x:c r="M1592" s="1"/>
      <x:c r="N1592" s="1"/>
      <x:c r="O1592" s="1"/>
      <x:c r="P1592" s="1"/>
      <x:c r="Q1592" s="1"/>
      <x:c r="R1592" s="1"/>
      <x:c r="S1592" s="1"/>
      <x:c r="T1592" s="1"/>
      <x:c r="U1592" s="1"/>
      <x:c r="V1592" s="1"/>
    </x:row>
    <x:row r="1593">
      <x:c r="A1593" s="1"/>
      <x:c r="B1593" s="1"/>
      <x:c r="C1593" s="1"/>
      <x:c r="D1593" s="1"/>
      <x:c r="E1593" s="1"/>
      <x:c r="F1593" s="1"/>
      <x:c r="G1593" s="1"/>
      <x:c r="H1593" s="1"/>
      <x:c r="I1593" s="1"/>
      <x:c r="J1593" s="1"/>
      <x:c r="K1593" s="1"/>
      <x:c r="L1593" s="1"/>
      <x:c r="M1593" s="1"/>
      <x:c r="N1593" s="1"/>
      <x:c r="O1593" s="1"/>
      <x:c r="P1593" s="1"/>
      <x:c r="Q1593" s="1"/>
      <x:c r="R1593" s="1"/>
      <x:c r="S1593" s="1"/>
      <x:c r="T1593" s="1"/>
      <x:c r="U1593" s="1"/>
      <x:c r="V1593" s="1"/>
    </x:row>
    <x:row r="1594">
      <x:c r="A1594" s="1"/>
      <x:c r="B1594" s="1"/>
      <x:c r="C1594" s="1"/>
      <x:c r="D1594" s="1"/>
      <x:c r="E1594" s="1"/>
      <x:c r="F1594" s="1"/>
      <x:c r="G1594" s="1"/>
      <x:c r="H1594" s="1"/>
      <x:c r="I1594" s="1"/>
      <x:c r="J1594" s="1"/>
      <x:c r="K1594" s="1"/>
      <x:c r="L1594" s="1"/>
      <x:c r="M1594" s="1"/>
      <x:c r="N1594" s="1"/>
      <x:c r="O1594" s="1"/>
      <x:c r="P1594" s="1"/>
      <x:c r="Q1594" s="1"/>
      <x:c r="R1594" s="1"/>
      <x:c r="S1594" s="1"/>
      <x:c r="T1594" s="1"/>
      <x:c r="U1594" s="1"/>
      <x:c r="V1594" s="1"/>
    </x:row>
    <x:row r="1595">
      <x:c r="A1595" s="1"/>
      <x:c r="B1595" s="1"/>
      <x:c r="C1595" s="1"/>
      <x:c r="D1595" s="1"/>
      <x:c r="E1595" s="1"/>
      <x:c r="F1595" s="1"/>
      <x:c r="G1595" s="1"/>
      <x:c r="H1595" s="1"/>
      <x:c r="I1595" s="1"/>
      <x:c r="J1595" s="1"/>
      <x:c r="K1595" s="1"/>
      <x:c r="L1595" s="1"/>
      <x:c r="M1595" s="1"/>
      <x:c r="N1595" s="1"/>
      <x:c r="O1595" s="1"/>
      <x:c r="P1595" s="1"/>
      <x:c r="Q1595" s="1"/>
      <x:c r="R1595" s="1"/>
      <x:c r="S1595" s="1"/>
      <x:c r="T1595" s="1"/>
      <x:c r="U1595" s="1"/>
      <x:c r="V1595" s="1"/>
    </x:row>
    <x:row r="1596">
      <x:c r="A1596" s="1"/>
      <x:c r="B1596" s="1"/>
      <x:c r="C1596" s="1"/>
      <x:c r="D1596" s="1"/>
      <x:c r="E1596" s="1"/>
      <x:c r="F1596" s="1"/>
      <x:c r="G1596" s="1"/>
      <x:c r="H1596" s="1"/>
      <x:c r="I1596" s="1"/>
      <x:c r="J1596" s="1"/>
      <x:c r="K1596" s="1"/>
      <x:c r="L1596" s="1"/>
      <x:c r="M1596" s="1"/>
      <x:c r="N1596" s="1"/>
      <x:c r="O1596" s="1"/>
      <x:c r="P1596" s="1"/>
      <x:c r="Q1596" s="1"/>
      <x:c r="R1596" s="1"/>
      <x:c r="S1596" s="1"/>
      <x:c r="T1596" s="1"/>
      <x:c r="U1596" s="1"/>
      <x:c r="V1596" s="1"/>
    </x:row>
    <x:row r="1597">
      <x:c r="A1597" s="1"/>
      <x:c r="B1597" s="1"/>
      <x:c r="C1597" s="1"/>
      <x:c r="D1597" s="1"/>
      <x:c r="E1597" s="1"/>
      <x:c r="F1597" s="1"/>
      <x:c r="G1597" s="1"/>
      <x:c r="H1597" s="1"/>
      <x:c r="I1597" s="1"/>
      <x:c r="J1597" s="1"/>
      <x:c r="K1597" s="1"/>
      <x:c r="L1597" s="1"/>
      <x:c r="M1597" s="1"/>
      <x:c r="N1597" s="1"/>
      <x:c r="O1597" s="1"/>
      <x:c r="P1597" s="1"/>
      <x:c r="Q1597" s="1"/>
      <x:c r="R1597" s="1"/>
      <x:c r="S1597" s="1"/>
      <x:c r="T1597" s="1"/>
      <x:c r="U1597" s="1"/>
      <x:c r="V1597" s="1"/>
    </x:row>
    <x:row r="1598">
      <x:c r="A1598" s="1"/>
      <x:c r="B1598" s="1"/>
      <x:c r="C1598" s="1"/>
      <x:c r="D1598" s="1"/>
      <x:c r="E1598" s="1"/>
      <x:c r="F1598" s="1"/>
      <x:c r="G1598" s="1"/>
      <x:c r="H1598" s="1"/>
      <x:c r="I1598" s="1"/>
      <x:c r="J1598" s="1"/>
      <x:c r="K1598" s="1"/>
      <x:c r="L1598" s="1"/>
      <x:c r="M1598" s="1"/>
      <x:c r="N1598" s="1"/>
      <x:c r="O1598" s="1"/>
      <x:c r="P1598" s="1"/>
      <x:c r="Q1598" s="1"/>
      <x:c r="R1598" s="1"/>
      <x:c r="S1598" s="1"/>
      <x:c r="T1598" s="1"/>
      <x:c r="U1598" s="1"/>
      <x:c r="V1598" s="1"/>
    </x:row>
    <x:row r="1599">
      <x:c r="A1599" s="1"/>
      <x:c r="B1599" s="1"/>
      <x:c r="C1599" s="1"/>
      <x:c r="D1599" s="1"/>
      <x:c r="E1599" s="1"/>
      <x:c r="F1599" s="1"/>
      <x:c r="G1599" s="1"/>
      <x:c r="H1599" s="1"/>
      <x:c r="I1599" s="1"/>
      <x:c r="J1599" s="1"/>
      <x:c r="K1599" s="1"/>
      <x:c r="L1599" s="1"/>
      <x:c r="M1599" s="1"/>
      <x:c r="N1599" s="1"/>
      <x:c r="O1599" s="1"/>
      <x:c r="P1599" s="1"/>
      <x:c r="Q1599" s="1"/>
      <x:c r="R1599" s="1"/>
      <x:c r="S1599" s="1"/>
      <x:c r="T1599" s="1"/>
      <x:c r="U1599" s="1"/>
      <x:c r="V1599" s="1"/>
    </x:row>
    <x:row r="1600">
      <x:c r="A1600" s="1"/>
      <x:c r="B1600" s="1"/>
      <x:c r="C1600" s="1"/>
      <x:c r="D1600" s="1"/>
      <x:c r="E1600" s="1"/>
      <x:c r="F1600" s="1"/>
      <x:c r="G1600" s="1"/>
      <x:c r="H1600" s="1"/>
      <x:c r="I1600" s="1"/>
      <x:c r="J1600" s="1"/>
      <x:c r="K1600" s="1"/>
      <x:c r="L1600" s="1"/>
      <x:c r="M1600" s="1"/>
      <x:c r="N1600" s="1"/>
      <x:c r="O1600" s="1"/>
      <x:c r="P1600" s="1"/>
      <x:c r="Q1600" s="1"/>
      <x:c r="R1600" s="1"/>
      <x:c r="S1600" s="1"/>
      <x:c r="T1600" s="1"/>
      <x:c r="U1600" s="1"/>
      <x:c r="V1600" s="1"/>
    </x:row>
    <x:row r="1601">
      <x:c r="A1601" s="1"/>
      <x:c r="B1601" s="1"/>
      <x:c r="C1601" s="1"/>
      <x:c r="D1601" s="1"/>
      <x:c r="E1601" s="1"/>
      <x:c r="F1601" s="1"/>
      <x:c r="G1601" s="1"/>
      <x:c r="H1601" s="1"/>
      <x:c r="I1601" s="1"/>
      <x:c r="J1601" s="1"/>
      <x:c r="K1601" s="1"/>
      <x:c r="L1601" s="1"/>
      <x:c r="M1601" s="1"/>
      <x:c r="N1601" s="1"/>
      <x:c r="O1601" s="1"/>
      <x:c r="P1601" s="1"/>
      <x:c r="Q1601" s="1"/>
      <x:c r="R1601" s="1"/>
      <x:c r="S1601" s="1"/>
      <x:c r="T1601" s="1"/>
      <x:c r="U1601" s="1"/>
      <x:c r="V1601" s="1"/>
    </x:row>
    <x:row r="1602">
      <x:c r="A1602" s="1"/>
      <x:c r="B1602" s="1"/>
      <x:c r="C1602" s="1"/>
      <x:c r="D1602" s="1"/>
      <x:c r="E1602" s="1"/>
      <x:c r="F1602" s="1"/>
      <x:c r="G1602" s="1"/>
      <x:c r="H1602" s="1"/>
      <x:c r="I1602" s="1"/>
      <x:c r="J1602" s="1"/>
      <x:c r="K1602" s="1"/>
      <x:c r="L1602" s="1"/>
      <x:c r="M1602" s="1"/>
      <x:c r="N1602" s="1"/>
      <x:c r="O1602" s="1"/>
      <x:c r="P1602" s="1"/>
      <x:c r="Q1602" s="1"/>
      <x:c r="R1602" s="1"/>
      <x:c r="S1602" s="1"/>
      <x:c r="T1602" s="1"/>
      <x:c r="U1602" s="1"/>
      <x:c r="V1602" s="1"/>
    </x:row>
    <x:row r="1603">
      <x:c r="A1603" s="1"/>
      <x:c r="B1603" s="1"/>
      <x:c r="C1603" s="1"/>
      <x:c r="D1603" s="1"/>
      <x:c r="E1603" s="1"/>
      <x:c r="F1603" s="1"/>
      <x:c r="G1603" s="1"/>
      <x:c r="H1603" s="1"/>
      <x:c r="I1603" s="1"/>
      <x:c r="J1603" s="1"/>
      <x:c r="K1603" s="1"/>
      <x:c r="L1603" s="1"/>
      <x:c r="M1603" s="1"/>
      <x:c r="N1603" s="1"/>
      <x:c r="O1603" s="1"/>
      <x:c r="P1603" s="1"/>
      <x:c r="Q1603" s="1"/>
      <x:c r="R1603" s="1"/>
      <x:c r="S1603" s="1"/>
      <x:c r="T1603" s="1"/>
      <x:c r="U1603" s="1"/>
      <x:c r="V1603" s="1"/>
    </x:row>
    <x:row r="1604">
      <x:c r="A1604" s="1"/>
      <x:c r="B1604" s="1"/>
      <x:c r="C1604" s="1"/>
      <x:c r="D1604" s="1"/>
      <x:c r="E1604" s="1"/>
      <x:c r="F1604" s="1"/>
      <x:c r="G1604" s="1"/>
      <x:c r="H1604" s="1"/>
      <x:c r="I1604" s="1"/>
      <x:c r="J1604" s="1"/>
      <x:c r="K1604" s="1"/>
      <x:c r="L1604" s="1"/>
      <x:c r="M1604" s="1"/>
      <x:c r="N1604" s="1"/>
      <x:c r="O1604" s="1"/>
      <x:c r="P1604" s="1"/>
      <x:c r="Q1604" s="1"/>
      <x:c r="R1604" s="1"/>
      <x:c r="S1604" s="1"/>
      <x:c r="T1604" s="1"/>
      <x:c r="U1604" s="1"/>
      <x:c r="V1604" s="1"/>
    </x:row>
    <x:row r="1605">
      <x:c r="A1605" s="1"/>
      <x:c r="B1605" s="1"/>
      <x:c r="C1605" s="1"/>
      <x:c r="D1605" s="1"/>
      <x:c r="E1605" s="1"/>
      <x:c r="F1605" s="1"/>
      <x:c r="G1605" s="1"/>
      <x:c r="H1605" s="1"/>
      <x:c r="I1605" s="1"/>
      <x:c r="J1605" s="1"/>
      <x:c r="K1605" s="1"/>
      <x:c r="L1605" s="1"/>
      <x:c r="M1605" s="1"/>
      <x:c r="N1605" s="1"/>
      <x:c r="O1605" s="1"/>
      <x:c r="P1605" s="1"/>
      <x:c r="Q1605" s="1"/>
      <x:c r="R1605" s="1"/>
      <x:c r="S1605" s="1"/>
      <x:c r="T1605" s="1"/>
      <x:c r="U1605" s="1"/>
      <x:c r="V1605" s="1"/>
    </x:row>
    <x:row r="1606">
      <x:c r="A1606" s="1"/>
      <x:c r="B1606" s="1"/>
      <x:c r="C1606" s="1"/>
      <x:c r="D1606" s="1"/>
      <x:c r="E1606" s="1"/>
      <x:c r="F1606" s="1"/>
      <x:c r="G1606" s="1"/>
      <x:c r="H1606" s="1"/>
      <x:c r="I1606" s="1"/>
      <x:c r="J1606" s="1"/>
      <x:c r="K1606" s="1"/>
      <x:c r="L1606" s="1"/>
      <x:c r="M1606" s="1"/>
      <x:c r="N1606" s="1"/>
      <x:c r="O1606" s="1"/>
      <x:c r="P1606" s="1"/>
      <x:c r="Q1606" s="1"/>
      <x:c r="R1606" s="1"/>
      <x:c r="S1606" s="1"/>
      <x:c r="T1606" s="1"/>
      <x:c r="U1606" s="1"/>
      <x:c r="V1606" s="1"/>
    </x:row>
    <x:row r="1607">
      <x:c r="A1607" s="1"/>
      <x:c r="B1607" s="1"/>
      <x:c r="C1607" s="1"/>
      <x:c r="D1607" s="1"/>
      <x:c r="E1607" s="1"/>
      <x:c r="F1607" s="1"/>
      <x:c r="G1607" s="1"/>
      <x:c r="H1607" s="1"/>
      <x:c r="I1607" s="1"/>
      <x:c r="J1607" s="1"/>
      <x:c r="K1607" s="1"/>
      <x:c r="L1607" s="1"/>
      <x:c r="M1607" s="1"/>
      <x:c r="N1607" s="1"/>
      <x:c r="O1607" s="1"/>
      <x:c r="P1607" s="1"/>
      <x:c r="Q1607" s="1"/>
      <x:c r="R1607" s="1"/>
      <x:c r="S1607" s="1"/>
      <x:c r="T1607" s="1"/>
      <x:c r="U1607" s="1"/>
      <x:c r="V1607" s="1"/>
    </x:row>
    <x:row r="1608">
      <x:c r="A1608" s="1"/>
      <x:c r="B1608" s="1"/>
      <x:c r="C1608" s="1"/>
      <x:c r="D1608" s="1"/>
      <x:c r="E1608" s="1"/>
      <x:c r="F1608" s="1"/>
      <x:c r="G1608" s="1"/>
      <x:c r="H1608" s="1"/>
      <x:c r="I1608" s="1"/>
      <x:c r="J1608" s="1"/>
      <x:c r="K1608" s="1"/>
      <x:c r="L1608" s="1"/>
      <x:c r="M1608" s="1"/>
      <x:c r="N1608" s="1"/>
      <x:c r="O1608" s="1"/>
      <x:c r="P1608" s="1"/>
      <x:c r="Q1608" s="1"/>
      <x:c r="R1608" s="1"/>
      <x:c r="S1608" s="1"/>
      <x:c r="T1608" s="1"/>
      <x:c r="U1608" s="1"/>
      <x:c r="V1608" s="1"/>
    </x:row>
    <x:row r="1609">
      <x:c r="A1609" s="1"/>
      <x:c r="B1609" s="1"/>
      <x:c r="C1609" s="1"/>
      <x:c r="D1609" s="1"/>
      <x:c r="E1609" s="1"/>
      <x:c r="F1609" s="1"/>
      <x:c r="G1609" s="1"/>
      <x:c r="H1609" s="1"/>
      <x:c r="I1609" s="1"/>
      <x:c r="J1609" s="1"/>
      <x:c r="K1609" s="1"/>
      <x:c r="L1609" s="1"/>
      <x:c r="M1609" s="1"/>
      <x:c r="N1609" s="1"/>
      <x:c r="O1609" s="1"/>
      <x:c r="P1609" s="1"/>
      <x:c r="Q1609" s="1"/>
      <x:c r="R1609" s="1"/>
      <x:c r="S1609" s="1"/>
      <x:c r="T1609" s="1"/>
      <x:c r="U1609" s="1"/>
      <x:c r="V1609" s="1"/>
    </x:row>
    <x:row r="1610">
      <x:c r="A1610" s="1"/>
      <x:c r="B1610" s="1"/>
      <x:c r="C1610" s="1"/>
      <x:c r="D1610" s="1"/>
      <x:c r="E1610" s="1"/>
      <x:c r="F1610" s="1"/>
      <x:c r="G1610" s="1"/>
      <x:c r="H1610" s="1"/>
      <x:c r="I1610" s="1"/>
      <x:c r="J1610" s="1"/>
      <x:c r="K1610" s="1"/>
      <x:c r="L1610" s="1"/>
      <x:c r="M1610" s="1"/>
      <x:c r="N1610" s="1"/>
      <x:c r="O1610" s="1"/>
      <x:c r="P1610" s="1"/>
      <x:c r="Q1610" s="1"/>
      <x:c r="R1610" s="1"/>
      <x:c r="S1610" s="1"/>
      <x:c r="T1610" s="1"/>
      <x:c r="U1610" s="1"/>
      <x:c r="V1610" s="1"/>
    </x:row>
    <x:row r="1611">
      <x:c r="A1611" s="1"/>
      <x:c r="B1611" s="1"/>
      <x:c r="C1611" s="1"/>
      <x:c r="D1611" s="1"/>
      <x:c r="E1611" s="1"/>
      <x:c r="F1611" s="1"/>
      <x:c r="G1611" s="1"/>
      <x:c r="H1611" s="1"/>
      <x:c r="I1611" s="1"/>
      <x:c r="J1611" s="1"/>
      <x:c r="K1611" s="1"/>
      <x:c r="L1611" s="1"/>
      <x:c r="M1611" s="1"/>
      <x:c r="N1611" s="1"/>
      <x:c r="O1611" s="1"/>
      <x:c r="P1611" s="1"/>
      <x:c r="Q1611" s="1"/>
      <x:c r="R1611" s="1"/>
      <x:c r="S1611" s="1"/>
      <x:c r="T1611" s="1"/>
      <x:c r="U1611" s="1"/>
      <x:c r="V1611" s="1"/>
    </x:row>
    <x:row r="1612">
      <x:c r="A1612" s="1"/>
      <x:c r="B1612" s="1"/>
      <x:c r="C1612" s="1"/>
      <x:c r="D1612" s="1"/>
      <x:c r="E1612" s="1"/>
      <x:c r="F1612" s="1"/>
      <x:c r="G1612" s="1"/>
      <x:c r="H1612" s="1"/>
      <x:c r="I1612" s="1"/>
      <x:c r="J1612" s="1"/>
      <x:c r="K1612" s="1"/>
      <x:c r="L1612" s="1"/>
      <x:c r="M1612" s="1"/>
      <x:c r="N1612" s="1"/>
      <x:c r="O1612" s="1"/>
      <x:c r="P1612" s="1"/>
      <x:c r="Q1612" s="1"/>
      <x:c r="R1612" s="1"/>
      <x:c r="S1612" s="1"/>
      <x:c r="T1612" s="1"/>
      <x:c r="U1612" s="1"/>
      <x:c r="V1612" s="1"/>
    </x:row>
    <x:row r="1613">
      <x:c r="A1613" s="1"/>
      <x:c r="B1613" s="1"/>
      <x:c r="C1613" s="1"/>
      <x:c r="D1613" s="1"/>
      <x:c r="E1613" s="1"/>
      <x:c r="F1613" s="1"/>
      <x:c r="G1613" s="1"/>
      <x:c r="H1613" s="1"/>
      <x:c r="I1613" s="1"/>
      <x:c r="J1613" s="1"/>
      <x:c r="K1613" s="1"/>
      <x:c r="L1613" s="1"/>
      <x:c r="M1613" s="1"/>
      <x:c r="N1613" s="1"/>
      <x:c r="O1613" s="1"/>
      <x:c r="P1613" s="1"/>
      <x:c r="Q1613" s="1"/>
      <x:c r="R1613" s="1"/>
      <x:c r="S1613" s="1"/>
      <x:c r="T1613" s="1"/>
      <x:c r="U1613" s="1"/>
      <x:c r="V1613" s="1"/>
    </x:row>
    <x:row r="1614">
      <x:c r="A1614" s="1"/>
      <x:c r="B1614" s="1"/>
      <x:c r="C1614" s="1"/>
      <x:c r="D1614" s="1"/>
      <x:c r="E1614" s="1"/>
      <x:c r="F1614" s="1"/>
      <x:c r="G1614" s="1"/>
      <x:c r="H1614" s="1"/>
      <x:c r="I1614" s="1"/>
      <x:c r="J1614" s="1"/>
      <x:c r="K1614" s="1"/>
      <x:c r="L1614" s="1"/>
      <x:c r="M1614" s="1"/>
      <x:c r="N1614" s="1"/>
      <x:c r="O1614" s="1"/>
      <x:c r="P1614" s="1"/>
      <x:c r="Q1614" s="1"/>
      <x:c r="R1614" s="1"/>
      <x:c r="S1614" s="1"/>
      <x:c r="T1614" s="1"/>
      <x:c r="U1614" s="1"/>
      <x:c r="V1614" s="1"/>
    </x:row>
    <x:row r="1615">
      <x:c r="A1615" s="1"/>
      <x:c r="B1615" s="1"/>
      <x:c r="C1615" s="1"/>
      <x:c r="D1615" s="1"/>
      <x:c r="E1615" s="1"/>
      <x:c r="F1615" s="1"/>
      <x:c r="G1615" s="1"/>
      <x:c r="H1615" s="1"/>
      <x:c r="I1615" s="1"/>
      <x:c r="J1615" s="1"/>
      <x:c r="K1615" s="1"/>
      <x:c r="L1615" s="1"/>
      <x:c r="M1615" s="1"/>
      <x:c r="N1615" s="1"/>
      <x:c r="O1615" s="1"/>
      <x:c r="P1615" s="1"/>
      <x:c r="Q1615" s="1"/>
      <x:c r="R1615" s="1"/>
      <x:c r="S1615" s="1"/>
      <x:c r="T1615" s="1"/>
      <x:c r="U1615" s="1"/>
      <x:c r="V1615" s="1"/>
    </x:row>
    <x:row r="1616">
      <x:c r="A1616" s="1"/>
      <x:c r="B1616" s="1"/>
      <x:c r="C1616" s="1"/>
      <x:c r="D1616" s="1"/>
      <x:c r="E1616" s="1"/>
      <x:c r="F1616" s="1"/>
      <x:c r="G1616" s="1"/>
      <x:c r="H1616" s="1"/>
      <x:c r="I1616" s="1"/>
      <x:c r="J1616" s="1"/>
      <x:c r="K1616" s="1"/>
      <x:c r="L1616" s="1"/>
      <x:c r="M1616" s="1"/>
      <x:c r="N1616" s="1"/>
      <x:c r="O1616" s="1"/>
      <x:c r="P1616" s="1"/>
      <x:c r="Q1616" s="1"/>
      <x:c r="R1616" s="1"/>
      <x:c r="S1616" s="1"/>
      <x:c r="T1616" s="1"/>
      <x:c r="U1616" s="1"/>
      <x:c r="V1616" s="1"/>
    </x:row>
    <x:row r="1617">
      <x:c r="A1617" s="1"/>
      <x:c r="B1617" s="1"/>
      <x:c r="C1617" s="1"/>
      <x:c r="D1617" s="1"/>
      <x:c r="E1617" s="1"/>
      <x:c r="F1617" s="1"/>
      <x:c r="G1617" s="1"/>
      <x:c r="H1617" s="1"/>
      <x:c r="I1617" s="1"/>
      <x:c r="J1617" s="1"/>
      <x:c r="K1617" s="1"/>
      <x:c r="L1617" s="1"/>
      <x:c r="M1617" s="1"/>
      <x:c r="N1617" s="1"/>
      <x:c r="O1617" s="1"/>
      <x:c r="P1617" s="1"/>
      <x:c r="Q1617" s="1"/>
      <x:c r="R1617" s="1"/>
      <x:c r="S1617" s="1"/>
      <x:c r="T1617" s="1"/>
      <x:c r="U1617" s="1"/>
      <x:c r="V1617" s="1"/>
    </x:row>
    <x:row r="1618">
      <x:c r="A1618" s="1"/>
      <x:c r="B1618" s="1"/>
      <x:c r="C1618" s="1"/>
      <x:c r="D1618" s="1"/>
      <x:c r="E1618" s="1"/>
      <x:c r="F1618" s="1"/>
      <x:c r="G1618" s="1"/>
      <x:c r="H1618" s="1"/>
      <x:c r="I1618" s="1"/>
      <x:c r="J1618" s="1"/>
      <x:c r="K1618" s="1"/>
      <x:c r="L1618" s="1"/>
      <x:c r="M1618" s="1"/>
      <x:c r="N1618" s="1"/>
      <x:c r="O1618" s="1"/>
      <x:c r="P1618" s="1"/>
      <x:c r="Q1618" s="1"/>
      <x:c r="R1618" s="1"/>
      <x:c r="S1618" s="1"/>
      <x:c r="T1618" s="1"/>
      <x:c r="U1618" s="1"/>
      <x:c r="V1618" s="1"/>
    </x:row>
    <x:row r="1619">
      <x:c r="A1619" s="1"/>
      <x:c r="B1619" s="1"/>
      <x:c r="C1619" s="1"/>
      <x:c r="D1619" s="1"/>
      <x:c r="E1619" s="1"/>
      <x:c r="F1619" s="1"/>
      <x:c r="G1619" s="1"/>
      <x:c r="H1619" s="1"/>
      <x:c r="I1619" s="1"/>
      <x:c r="J1619" s="1"/>
      <x:c r="K1619" s="1"/>
      <x:c r="L1619" s="1"/>
      <x:c r="M1619" s="1"/>
      <x:c r="N1619" s="1"/>
      <x:c r="O1619" s="1"/>
      <x:c r="P1619" s="1"/>
      <x:c r="Q1619" s="1"/>
      <x:c r="R1619" s="1"/>
      <x:c r="S1619" s="1"/>
      <x:c r="T1619" s="1"/>
      <x:c r="U1619" s="1"/>
      <x:c r="V1619" s="1"/>
    </x:row>
    <x:row r="1620">
      <x:c r="A1620" s="1"/>
      <x:c r="B1620" s="1"/>
      <x:c r="C1620" s="1"/>
      <x:c r="D1620" s="1"/>
      <x:c r="E1620" s="1"/>
      <x:c r="F1620" s="1"/>
      <x:c r="G1620" s="1"/>
      <x:c r="H1620" s="1"/>
      <x:c r="I1620" s="1"/>
      <x:c r="J1620" s="1"/>
      <x:c r="K1620" s="1"/>
      <x:c r="L1620" s="1"/>
      <x:c r="M1620" s="1"/>
      <x:c r="N1620" s="1"/>
      <x:c r="O1620" s="1"/>
      <x:c r="P1620" s="1"/>
      <x:c r="Q1620" s="1"/>
      <x:c r="R1620" s="1"/>
      <x:c r="S1620" s="1"/>
      <x:c r="T1620" s="1"/>
      <x:c r="U1620" s="1"/>
      <x:c r="V1620" s="1"/>
    </x:row>
    <x:row r="1621">
      <x:c r="A1621" s="1"/>
      <x:c r="B1621" s="1"/>
      <x:c r="C1621" s="1"/>
      <x:c r="D1621" s="1"/>
      <x:c r="E1621" s="1"/>
      <x:c r="F1621" s="1"/>
      <x:c r="G1621" s="1"/>
      <x:c r="H1621" s="1"/>
      <x:c r="I1621" s="1"/>
      <x:c r="J1621" s="1"/>
      <x:c r="K1621" s="1"/>
      <x:c r="L1621" s="1"/>
      <x:c r="M1621" s="1"/>
      <x:c r="N1621" s="1"/>
      <x:c r="O1621" s="1"/>
      <x:c r="P1621" s="1"/>
      <x:c r="Q1621" s="1"/>
      <x:c r="R1621" s="1"/>
      <x:c r="S1621" s="1"/>
      <x:c r="T1621" s="1"/>
      <x:c r="U1621" s="1"/>
      <x:c r="V1621" s="1"/>
    </x:row>
    <x:row r="1622">
      <x:c r="A1622" s="1"/>
      <x:c r="B1622" s="1"/>
      <x:c r="C1622" s="1"/>
      <x:c r="D1622" s="1"/>
      <x:c r="E1622" s="1"/>
      <x:c r="F1622" s="1"/>
      <x:c r="G1622" s="1"/>
      <x:c r="H1622" s="1"/>
      <x:c r="I1622" s="1"/>
      <x:c r="J1622" s="1"/>
      <x:c r="K1622" s="1"/>
      <x:c r="L1622" s="1"/>
      <x:c r="M1622" s="1"/>
      <x:c r="N1622" s="1"/>
      <x:c r="O1622" s="1"/>
      <x:c r="P1622" s="1"/>
      <x:c r="Q1622" s="1"/>
      <x:c r="R1622" s="1"/>
      <x:c r="S1622" s="1"/>
      <x:c r="T1622" s="1"/>
      <x:c r="U1622" s="1"/>
      <x:c r="V1622" s="1"/>
    </x:row>
    <x:row r="1623">
      <x:c r="A1623" s="1"/>
      <x:c r="B1623" s="1"/>
      <x:c r="C1623" s="1"/>
      <x:c r="D1623" s="1"/>
      <x:c r="E1623" s="1"/>
      <x:c r="F1623" s="1"/>
      <x:c r="G1623" s="1"/>
      <x:c r="H1623" s="1"/>
      <x:c r="I1623" s="1"/>
      <x:c r="J1623" s="1"/>
      <x:c r="K1623" s="1"/>
      <x:c r="L1623" s="1"/>
      <x:c r="M1623" s="1"/>
      <x:c r="N1623" s="1"/>
      <x:c r="O1623" s="1"/>
      <x:c r="P1623" s="1"/>
      <x:c r="Q1623" s="1"/>
      <x:c r="R1623" s="1"/>
      <x:c r="S1623" s="1"/>
      <x:c r="T1623" s="1"/>
      <x:c r="U1623" s="1"/>
      <x:c r="V1623" s="1"/>
    </x:row>
    <x:row r="1624">
      <x:c r="A1624" s="1"/>
      <x:c r="B1624" s="1"/>
      <x:c r="C1624" s="1"/>
      <x:c r="D1624" s="1"/>
      <x:c r="E1624" s="1"/>
      <x:c r="F1624" s="1"/>
      <x:c r="G1624" s="1"/>
      <x:c r="H1624" s="1"/>
      <x:c r="I1624" s="1"/>
      <x:c r="J1624" s="1"/>
      <x:c r="K1624" s="1"/>
      <x:c r="L1624" s="1"/>
      <x:c r="M1624" s="1"/>
      <x:c r="N1624" s="1"/>
      <x:c r="O1624" s="1"/>
      <x:c r="P1624" s="1"/>
      <x:c r="Q1624" s="1"/>
      <x:c r="R1624" s="1"/>
      <x:c r="S1624" s="1"/>
      <x:c r="T1624" s="1"/>
      <x:c r="U1624" s="1"/>
      <x:c r="V1624" s="1"/>
    </x:row>
    <x:row r="1625">
      <x:c r="A1625" s="1"/>
      <x:c r="B1625" s="1"/>
      <x:c r="C1625" s="1"/>
      <x:c r="D1625" s="1"/>
      <x:c r="E1625" s="1"/>
      <x:c r="F1625" s="1"/>
      <x:c r="G1625" s="1"/>
      <x:c r="H1625" s="1"/>
      <x:c r="I1625" s="1"/>
      <x:c r="J1625" s="1"/>
      <x:c r="K1625" s="1"/>
      <x:c r="L1625" s="1"/>
      <x:c r="M1625" s="1"/>
      <x:c r="N1625" s="1"/>
      <x:c r="O1625" s="1"/>
      <x:c r="P1625" s="1"/>
      <x:c r="Q1625" s="1"/>
      <x:c r="R1625" s="1"/>
      <x:c r="S1625" s="1"/>
      <x:c r="T1625" s="1"/>
      <x:c r="U1625" s="1"/>
      <x:c r="V1625" s="1"/>
    </x:row>
    <x:row r="1626">
      <x:c r="A1626" s="1"/>
      <x:c r="B1626" s="1"/>
      <x:c r="C1626" s="1"/>
      <x:c r="D1626" s="1"/>
      <x:c r="E1626" s="1"/>
      <x:c r="F1626" s="1"/>
      <x:c r="G1626" s="1"/>
      <x:c r="H1626" s="1"/>
      <x:c r="I1626" s="1"/>
      <x:c r="J1626" s="1"/>
      <x:c r="K1626" s="1"/>
      <x:c r="L1626" s="1"/>
      <x:c r="M1626" s="1"/>
      <x:c r="N1626" s="1"/>
      <x:c r="O1626" s="1"/>
      <x:c r="P1626" s="1"/>
      <x:c r="Q1626" s="1"/>
      <x:c r="R1626" s="1"/>
      <x:c r="S1626" s="1"/>
      <x:c r="T1626" s="1"/>
      <x:c r="U1626" s="1"/>
      <x:c r="V1626" s="1"/>
    </x:row>
    <x:row r="1627">
      <x:c r="A1627" s="1"/>
      <x:c r="B1627" s="1"/>
      <x:c r="C1627" s="1"/>
      <x:c r="D1627" s="1"/>
      <x:c r="E1627" s="1"/>
      <x:c r="F1627" s="1"/>
      <x:c r="G1627" s="1"/>
      <x:c r="H1627" s="1"/>
      <x:c r="I1627" s="1"/>
      <x:c r="J1627" s="1"/>
      <x:c r="K1627" s="1"/>
      <x:c r="L1627" s="1"/>
      <x:c r="M1627" s="1"/>
      <x:c r="N1627" s="1"/>
      <x:c r="O1627" s="1"/>
      <x:c r="P1627" s="1"/>
      <x:c r="Q1627" s="1"/>
      <x:c r="R1627" s="1"/>
      <x:c r="S1627" s="1"/>
      <x:c r="T1627" s="1"/>
      <x:c r="U1627" s="1"/>
      <x:c r="V1627" s="1"/>
    </x:row>
    <x:row r="1628">
      <x:c r="A1628" s="1"/>
      <x:c r="B1628" s="1"/>
      <x:c r="C1628" s="1"/>
      <x:c r="D1628" s="1"/>
      <x:c r="E1628" s="1"/>
      <x:c r="F1628" s="1"/>
      <x:c r="G1628" s="1"/>
      <x:c r="H1628" s="1"/>
      <x:c r="I1628" s="1"/>
      <x:c r="J1628" s="1"/>
      <x:c r="K1628" s="1"/>
      <x:c r="L1628" s="1"/>
      <x:c r="M1628" s="1"/>
      <x:c r="N1628" s="1"/>
      <x:c r="O1628" s="1"/>
      <x:c r="P1628" s="1"/>
      <x:c r="Q1628" s="1"/>
      <x:c r="R1628" s="1"/>
      <x:c r="S1628" s="1"/>
      <x:c r="T1628" s="1"/>
      <x:c r="U1628" s="1"/>
      <x:c r="V1628" s="1"/>
    </x:row>
    <x:row r="1629">
      <x:c r="A1629" s="1"/>
      <x:c r="B1629" s="1"/>
      <x:c r="C1629" s="1"/>
      <x:c r="D1629" s="1"/>
      <x:c r="E1629" s="1"/>
      <x:c r="F1629" s="1"/>
      <x:c r="G1629" s="1"/>
      <x:c r="H1629" s="1"/>
      <x:c r="I1629" s="1"/>
      <x:c r="J1629" s="1"/>
      <x:c r="K1629" s="1"/>
      <x:c r="L1629" s="1"/>
      <x:c r="M1629" s="1"/>
      <x:c r="N1629" s="1"/>
      <x:c r="O1629" s="1"/>
      <x:c r="P1629" s="1"/>
      <x:c r="Q1629" s="1"/>
      <x:c r="R1629" s="1"/>
      <x:c r="S1629" s="1"/>
      <x:c r="T1629" s="1"/>
      <x:c r="U1629" s="1"/>
      <x:c r="V1629" s="1"/>
    </x:row>
    <x:row r="1630">
      <x:c r="A1630" s="1"/>
      <x:c r="B1630" s="1"/>
      <x:c r="C1630" s="1"/>
      <x:c r="D1630" s="1"/>
      <x:c r="E1630" s="1"/>
      <x:c r="F1630" s="1"/>
      <x:c r="G1630" s="1"/>
      <x:c r="H1630" s="1"/>
      <x:c r="I1630" s="1"/>
      <x:c r="J1630" s="1"/>
      <x:c r="K1630" s="1"/>
      <x:c r="L1630" s="1"/>
      <x:c r="M1630" s="1"/>
      <x:c r="N1630" s="1"/>
      <x:c r="O1630" s="1"/>
      <x:c r="P1630" s="1"/>
      <x:c r="Q1630" s="1"/>
      <x:c r="R1630" s="1"/>
      <x:c r="S1630" s="1"/>
      <x:c r="T1630" s="1"/>
      <x:c r="U1630" s="1"/>
      <x:c r="V1630" s="1"/>
    </x:row>
    <x:row r="1631">
      <x:c r="A1631" s="1"/>
      <x:c r="B1631" s="1"/>
      <x:c r="C1631" s="1"/>
      <x:c r="D1631" s="1"/>
      <x:c r="E1631" s="1"/>
      <x:c r="F1631" s="1"/>
      <x:c r="G1631" s="1"/>
      <x:c r="H1631" s="1"/>
      <x:c r="I1631" s="1"/>
      <x:c r="J1631" s="1"/>
      <x:c r="K1631" s="1"/>
      <x:c r="L1631" s="1"/>
      <x:c r="M1631" s="1"/>
      <x:c r="N1631" s="1"/>
      <x:c r="O1631" s="1"/>
      <x:c r="P1631" s="1"/>
      <x:c r="Q1631" s="1"/>
      <x:c r="R1631" s="1"/>
      <x:c r="S1631" s="1"/>
      <x:c r="T1631" s="1"/>
      <x:c r="U1631" s="1"/>
      <x:c r="V1631" s="1"/>
    </x:row>
    <x:row r="1632">
      <x:c r="A1632" s="1"/>
      <x:c r="B1632" s="1"/>
      <x:c r="C1632" s="1"/>
      <x:c r="D1632" s="1"/>
      <x:c r="E1632" s="1"/>
      <x:c r="F1632" s="1"/>
      <x:c r="G1632" s="1"/>
      <x:c r="H1632" s="1"/>
      <x:c r="I1632" s="1"/>
      <x:c r="J1632" s="1"/>
      <x:c r="K1632" s="1"/>
      <x:c r="L1632" s="1"/>
      <x:c r="M1632" s="1"/>
      <x:c r="N1632" s="1"/>
      <x:c r="O1632" s="1"/>
      <x:c r="P1632" s="1"/>
      <x:c r="Q1632" s="1"/>
      <x:c r="R1632" s="1"/>
      <x:c r="S1632" s="1"/>
      <x:c r="T1632" s="1"/>
      <x:c r="U1632" s="1"/>
      <x:c r="V1632" s="1"/>
    </x:row>
    <x:row r="1633">
      <x:c r="A1633" s="1"/>
      <x:c r="B1633" s="1"/>
      <x:c r="C1633" s="1"/>
      <x:c r="D1633" s="1"/>
      <x:c r="E1633" s="1"/>
      <x:c r="F1633" s="1"/>
      <x:c r="G1633" s="1"/>
      <x:c r="H1633" s="1"/>
      <x:c r="I1633" s="1"/>
      <x:c r="J1633" s="1"/>
      <x:c r="K1633" s="1"/>
      <x:c r="L1633" s="1"/>
      <x:c r="M1633" s="1"/>
      <x:c r="N1633" s="1"/>
      <x:c r="O1633" s="1"/>
      <x:c r="P1633" s="1"/>
      <x:c r="Q1633" s="1"/>
      <x:c r="R1633" s="1"/>
      <x:c r="S1633" s="1"/>
      <x:c r="T1633" s="1"/>
      <x:c r="U1633" s="1"/>
      <x:c r="V1633" s="1"/>
    </x:row>
    <x:row r="1634">
      <x:c r="A1634" s="1"/>
      <x:c r="B1634" s="1"/>
      <x:c r="C1634" s="1"/>
      <x:c r="D1634" s="1"/>
      <x:c r="E1634" s="1"/>
      <x:c r="F1634" s="1"/>
      <x:c r="G1634" s="1"/>
      <x:c r="H1634" s="1"/>
      <x:c r="I1634" s="1"/>
      <x:c r="J1634" s="1"/>
      <x:c r="K1634" s="1"/>
      <x:c r="L1634" s="1"/>
      <x:c r="M1634" s="1"/>
      <x:c r="N1634" s="1"/>
      <x:c r="O1634" s="1"/>
      <x:c r="P1634" s="1"/>
      <x:c r="Q1634" s="1"/>
      <x:c r="R1634" s="1"/>
      <x:c r="S1634" s="1"/>
      <x:c r="T1634" s="1"/>
      <x:c r="U1634" s="1"/>
      <x:c r="V1634" s="1"/>
    </x:row>
    <x:row r="1635">
      <x:c r="A1635" s="1"/>
      <x:c r="B1635" s="1"/>
      <x:c r="C1635" s="1"/>
      <x:c r="D1635" s="1"/>
      <x:c r="E1635" s="1"/>
      <x:c r="F1635" s="1"/>
      <x:c r="G1635" s="1"/>
      <x:c r="H1635" s="1"/>
      <x:c r="I1635" s="1"/>
      <x:c r="J1635" s="1"/>
      <x:c r="K1635" s="1"/>
      <x:c r="L1635" s="1"/>
      <x:c r="M1635" s="1"/>
      <x:c r="N1635" s="1"/>
      <x:c r="O1635" s="1"/>
      <x:c r="P1635" s="1"/>
      <x:c r="Q1635" s="1"/>
      <x:c r="R1635" s="1"/>
      <x:c r="S1635" s="1"/>
      <x:c r="T1635" s="1"/>
      <x:c r="U1635" s="1"/>
      <x:c r="V1635" s="1"/>
    </x:row>
    <x:row r="1636">
      <x:c r="A1636" s="1"/>
      <x:c r="B1636" s="1"/>
      <x:c r="C1636" s="1"/>
      <x:c r="D1636" s="1"/>
      <x:c r="E1636" s="1"/>
      <x:c r="F1636" s="1"/>
      <x:c r="G1636" s="1"/>
      <x:c r="H1636" s="1"/>
      <x:c r="I1636" s="1"/>
      <x:c r="J1636" s="1"/>
      <x:c r="K1636" s="1"/>
      <x:c r="L1636" s="1"/>
      <x:c r="M1636" s="1"/>
      <x:c r="N1636" s="1"/>
      <x:c r="O1636" s="1"/>
      <x:c r="P1636" s="1"/>
      <x:c r="Q1636" s="1"/>
      <x:c r="R1636" s="1"/>
      <x:c r="S1636" s="1"/>
      <x:c r="T1636" s="1"/>
      <x:c r="U1636" s="1"/>
      <x:c r="V1636" s="1"/>
    </x:row>
    <x:row r="1637">
      <x:c r="A1637" s="1"/>
      <x:c r="B1637" s="1"/>
      <x:c r="C1637" s="1"/>
      <x:c r="D1637" s="1"/>
      <x:c r="E1637" s="1"/>
      <x:c r="F1637" s="1"/>
      <x:c r="G1637" s="1"/>
      <x:c r="H1637" s="1"/>
      <x:c r="I1637" s="1"/>
      <x:c r="J1637" s="1"/>
      <x:c r="K1637" s="1"/>
      <x:c r="L1637" s="1"/>
      <x:c r="M1637" s="1"/>
      <x:c r="N1637" s="1"/>
      <x:c r="O1637" s="1"/>
      <x:c r="P1637" s="1"/>
      <x:c r="Q1637" s="1"/>
      <x:c r="R1637" s="1"/>
      <x:c r="S1637" s="1"/>
      <x:c r="T1637" s="1"/>
      <x:c r="U1637" s="1"/>
      <x:c r="V1637" s="1"/>
    </x:row>
    <x:row r="1638">
      <x:c r="A1638" s="1"/>
      <x:c r="B1638" s="1"/>
      <x:c r="C1638" s="1"/>
      <x:c r="D1638" s="1"/>
      <x:c r="E1638" s="1"/>
      <x:c r="F1638" s="1"/>
      <x:c r="G1638" s="1"/>
      <x:c r="H1638" s="1"/>
      <x:c r="I1638" s="1"/>
      <x:c r="J1638" s="1"/>
      <x:c r="K1638" s="1"/>
      <x:c r="L1638" s="1"/>
      <x:c r="M1638" s="1"/>
      <x:c r="N1638" s="1"/>
      <x:c r="O1638" s="1"/>
      <x:c r="P1638" s="1"/>
      <x:c r="Q1638" s="1"/>
      <x:c r="R1638" s="1"/>
      <x:c r="S1638" s="1"/>
      <x:c r="T1638" s="1"/>
      <x:c r="U1638" s="1"/>
      <x:c r="V1638" s="1"/>
    </x:row>
    <x:row r="1639">
      <x:c r="A1639" s="1"/>
      <x:c r="B1639" s="1"/>
      <x:c r="C1639" s="1"/>
      <x:c r="D1639" s="1"/>
      <x:c r="E1639" s="1"/>
      <x:c r="F1639" s="1"/>
      <x:c r="G1639" s="1"/>
      <x:c r="H1639" s="1"/>
      <x:c r="I1639" s="1"/>
      <x:c r="J1639" s="1"/>
      <x:c r="K1639" s="1"/>
      <x:c r="L1639" s="1"/>
      <x:c r="M1639" s="1"/>
      <x:c r="N1639" s="1"/>
      <x:c r="O1639" s="1"/>
      <x:c r="P1639" s="1"/>
      <x:c r="Q1639" s="1"/>
      <x:c r="R1639" s="1"/>
      <x:c r="S1639" s="1"/>
      <x:c r="T1639" s="1"/>
      <x:c r="U1639" s="1"/>
      <x:c r="V1639" s="1"/>
    </x:row>
    <x:row r="1640">
      <x:c r="A1640" s="1"/>
      <x:c r="B1640" s="1"/>
      <x:c r="C1640" s="1"/>
      <x:c r="D1640" s="1"/>
      <x:c r="E1640" s="1"/>
      <x:c r="F1640" s="1"/>
      <x:c r="G1640" s="1"/>
      <x:c r="H1640" s="1"/>
      <x:c r="I1640" s="1"/>
      <x:c r="J1640" s="1"/>
      <x:c r="K1640" s="1"/>
      <x:c r="L1640" s="1"/>
      <x:c r="M1640" s="1"/>
      <x:c r="N1640" s="1"/>
      <x:c r="O1640" s="1"/>
      <x:c r="P1640" s="1"/>
      <x:c r="Q1640" s="1"/>
      <x:c r="R1640" s="1"/>
      <x:c r="S1640" s="1"/>
      <x:c r="T1640" s="1"/>
      <x:c r="U1640" s="1"/>
      <x:c r="V1640" s="1"/>
    </x:row>
    <x:row r="1641">
      <x:c r="A1641" s="1"/>
      <x:c r="B1641" s="1"/>
      <x:c r="C1641" s="1"/>
      <x:c r="D1641" s="1"/>
      <x:c r="E1641" s="1"/>
      <x:c r="F1641" s="1"/>
      <x:c r="G1641" s="1"/>
      <x:c r="H1641" s="1"/>
      <x:c r="I1641" s="1"/>
      <x:c r="J1641" s="1"/>
      <x:c r="K1641" s="1"/>
      <x:c r="L1641" s="1"/>
      <x:c r="M1641" s="1"/>
      <x:c r="N1641" s="1"/>
      <x:c r="O1641" s="1"/>
      <x:c r="P1641" s="1"/>
      <x:c r="Q1641" s="1"/>
      <x:c r="R1641" s="1"/>
      <x:c r="S1641" s="1"/>
      <x:c r="T1641" s="1"/>
      <x:c r="U1641" s="1"/>
      <x:c r="V1641" s="1"/>
    </x:row>
    <x:row r="1642">
      <x:c r="A1642" s="1"/>
      <x:c r="B1642" s="1"/>
      <x:c r="C1642" s="1"/>
      <x:c r="D1642" s="1"/>
      <x:c r="E1642" s="1"/>
      <x:c r="F1642" s="1"/>
      <x:c r="G1642" s="1"/>
      <x:c r="H1642" s="1"/>
      <x:c r="I1642" s="1"/>
      <x:c r="J1642" s="1"/>
      <x:c r="K1642" s="1"/>
      <x:c r="L1642" s="1"/>
      <x:c r="M1642" s="1"/>
      <x:c r="N1642" s="1"/>
      <x:c r="O1642" s="1"/>
      <x:c r="P1642" s="1"/>
      <x:c r="Q1642" s="1"/>
      <x:c r="R1642" s="1"/>
      <x:c r="S1642" s="1"/>
      <x:c r="T1642" s="1"/>
      <x:c r="U1642" s="1"/>
      <x:c r="V1642" s="1"/>
    </x:row>
    <x:row r="1643">
      <x:c r="A1643" s="1"/>
      <x:c r="B1643" s="1"/>
      <x:c r="C1643" s="1"/>
      <x:c r="D1643" s="1"/>
      <x:c r="E1643" s="1"/>
      <x:c r="F1643" s="1"/>
      <x:c r="G1643" s="1"/>
      <x:c r="H1643" s="1"/>
      <x:c r="I1643" s="1"/>
      <x:c r="J1643" s="1"/>
      <x:c r="K1643" s="1"/>
      <x:c r="L1643" s="1"/>
      <x:c r="M1643" s="1"/>
      <x:c r="N1643" s="1"/>
      <x:c r="O1643" s="1"/>
      <x:c r="P1643" s="1"/>
      <x:c r="Q1643" s="1"/>
      <x:c r="R1643" s="1"/>
      <x:c r="S1643" s="1"/>
      <x:c r="T1643" s="1"/>
      <x:c r="U1643" s="1"/>
      <x:c r="V1643" s="1"/>
    </x:row>
    <x:row r="1644">
      <x:c r="A1644" s="1"/>
      <x:c r="B1644" s="1"/>
      <x:c r="C1644" s="1"/>
      <x:c r="D1644" s="1"/>
      <x:c r="E1644" s="1"/>
      <x:c r="F1644" s="1"/>
      <x:c r="G1644" s="1"/>
      <x:c r="H1644" s="1"/>
      <x:c r="I1644" s="1"/>
      <x:c r="J1644" s="1"/>
      <x:c r="K1644" s="1"/>
      <x:c r="L1644" s="1"/>
      <x:c r="M1644" s="1"/>
      <x:c r="N1644" s="1"/>
      <x:c r="O1644" s="1"/>
      <x:c r="P1644" s="1"/>
      <x:c r="Q1644" s="1"/>
      <x:c r="R1644" s="1"/>
      <x:c r="S1644" s="1"/>
      <x:c r="T1644" s="1"/>
      <x:c r="U1644" s="1"/>
      <x:c r="V1644" s="1"/>
    </x:row>
    <x:row r="1645">
      <x:c r="A1645" s="1"/>
      <x:c r="B1645" s="1"/>
      <x:c r="C1645" s="1"/>
      <x:c r="D1645" s="1"/>
      <x:c r="E1645" s="1"/>
      <x:c r="F1645" s="1"/>
      <x:c r="G1645" s="1"/>
      <x:c r="H1645" s="1"/>
      <x:c r="I1645" s="1"/>
      <x:c r="J1645" s="1"/>
      <x:c r="K1645" s="1"/>
      <x:c r="L1645" s="1"/>
      <x:c r="M1645" s="1"/>
      <x:c r="N1645" s="1"/>
      <x:c r="O1645" s="1"/>
      <x:c r="P1645" s="1"/>
      <x:c r="Q1645" s="1"/>
      <x:c r="R1645" s="1"/>
      <x:c r="S1645" s="1"/>
      <x:c r="T1645" s="1"/>
      <x:c r="U1645" s="1"/>
      <x:c r="V1645" s="1"/>
    </x:row>
    <x:row r="1646">
      <x:c r="A1646" s="1"/>
      <x:c r="B1646" s="1"/>
      <x:c r="C1646" s="1"/>
      <x:c r="D1646" s="1"/>
      <x:c r="E1646" s="1"/>
      <x:c r="F1646" s="1"/>
      <x:c r="G1646" s="1"/>
      <x:c r="H1646" s="1"/>
      <x:c r="I1646" s="1"/>
      <x:c r="J1646" s="1"/>
      <x:c r="K1646" s="1"/>
      <x:c r="L1646" s="1"/>
      <x:c r="M1646" s="1"/>
      <x:c r="N1646" s="1"/>
      <x:c r="O1646" s="1"/>
      <x:c r="P1646" s="1"/>
      <x:c r="Q1646" s="1"/>
      <x:c r="R1646" s="1"/>
      <x:c r="S1646" s="1"/>
      <x:c r="T1646" s="1"/>
      <x:c r="U1646" s="1"/>
      <x:c r="V1646" s="1"/>
    </x:row>
    <x:row r="1647">
      <x:c r="A1647" s="1"/>
      <x:c r="B1647" s="1"/>
      <x:c r="C1647" s="1"/>
      <x:c r="D1647" s="1"/>
      <x:c r="E1647" s="1"/>
      <x:c r="F1647" s="1"/>
      <x:c r="G1647" s="1"/>
      <x:c r="H1647" s="1"/>
      <x:c r="I1647" s="1"/>
      <x:c r="J1647" s="1"/>
      <x:c r="K1647" s="1"/>
      <x:c r="L1647" s="1"/>
      <x:c r="M1647" s="1"/>
      <x:c r="N1647" s="1"/>
      <x:c r="O1647" s="1"/>
      <x:c r="P1647" s="1"/>
      <x:c r="Q1647" s="1"/>
      <x:c r="R1647" s="1"/>
      <x:c r="S1647" s="1"/>
      <x:c r="T1647" s="1"/>
      <x:c r="U1647" s="1"/>
      <x:c r="V1647" s="1"/>
    </x:row>
    <x:row r="1648">
      <x:c r="A1648" s="1"/>
      <x:c r="B1648" s="1"/>
      <x:c r="C1648" s="1"/>
      <x:c r="D1648" s="1"/>
      <x:c r="E1648" s="1"/>
      <x:c r="F1648" s="1"/>
      <x:c r="G1648" s="1"/>
      <x:c r="H1648" s="1"/>
      <x:c r="I1648" s="1"/>
      <x:c r="J1648" s="1"/>
      <x:c r="K1648" s="1"/>
      <x:c r="L1648" s="1"/>
      <x:c r="M1648" s="1"/>
      <x:c r="N1648" s="1"/>
      <x:c r="O1648" s="1"/>
      <x:c r="P1648" s="1"/>
      <x:c r="Q1648" s="1"/>
      <x:c r="R1648" s="1"/>
      <x:c r="S1648" s="1"/>
      <x:c r="T1648" s="1"/>
      <x:c r="U1648" s="1"/>
      <x:c r="V1648" s="1"/>
    </x:row>
    <x:row r="1649">
      <x:c r="A1649" s="1"/>
      <x:c r="B1649" s="1"/>
      <x:c r="C1649" s="1"/>
      <x:c r="D1649" s="1"/>
      <x:c r="E1649" s="1"/>
      <x:c r="F1649" s="1"/>
      <x:c r="G1649" s="1"/>
      <x:c r="H1649" s="1"/>
      <x:c r="I1649" s="1"/>
      <x:c r="J1649" s="1"/>
      <x:c r="K1649" s="1"/>
      <x:c r="L1649" s="1"/>
      <x:c r="M1649" s="1"/>
      <x:c r="N1649" s="1"/>
      <x:c r="O1649" s="1"/>
      <x:c r="P1649" s="1"/>
      <x:c r="Q1649" s="1"/>
      <x:c r="R1649" s="1"/>
      <x:c r="S1649" s="1"/>
      <x:c r="T1649" s="1"/>
      <x:c r="U1649" s="1"/>
      <x:c r="V1649" s="1"/>
    </x:row>
    <x:row r="1650">
      <x:c r="A1650" s="1"/>
      <x:c r="B1650" s="1"/>
      <x:c r="C1650" s="1"/>
      <x:c r="D1650" s="1"/>
      <x:c r="E1650" s="1"/>
      <x:c r="F1650" s="1"/>
      <x:c r="G1650" s="1"/>
      <x:c r="H1650" s="1"/>
      <x:c r="I1650" s="1"/>
      <x:c r="J1650" s="1"/>
      <x:c r="K1650" s="1"/>
      <x:c r="L1650" s="1"/>
      <x:c r="M1650" s="1"/>
      <x:c r="N1650" s="1"/>
      <x:c r="O1650" s="1"/>
      <x:c r="P1650" s="1"/>
      <x:c r="Q1650" s="1"/>
      <x:c r="R1650" s="1"/>
      <x:c r="S1650" s="1"/>
      <x:c r="T1650" s="1"/>
      <x:c r="U1650" s="1"/>
      <x:c r="V1650" s="1"/>
    </x:row>
    <x:row r="1651">
      <x:c r="A1651" s="1"/>
      <x:c r="B1651" s="1"/>
      <x:c r="C1651" s="1"/>
      <x:c r="D1651" s="1"/>
      <x:c r="E1651" s="1"/>
      <x:c r="F1651" s="1"/>
      <x:c r="G1651" s="1"/>
      <x:c r="H1651" s="1"/>
      <x:c r="I1651" s="1"/>
      <x:c r="J1651" s="1"/>
      <x:c r="K1651" s="1"/>
      <x:c r="L1651" s="1"/>
      <x:c r="M1651" s="1"/>
      <x:c r="N1651" s="1"/>
      <x:c r="O1651" s="1"/>
      <x:c r="P1651" s="1"/>
      <x:c r="Q1651" s="1"/>
      <x:c r="R1651" s="1"/>
      <x:c r="S1651" s="1"/>
      <x:c r="T1651" s="1"/>
      <x:c r="U1651" s="1"/>
      <x:c r="V1651" s="1"/>
    </x:row>
    <x:row r="1652">
      <x:c r="A1652" s="1"/>
      <x:c r="B1652" s="1"/>
      <x:c r="C1652" s="1"/>
      <x:c r="D1652" s="1"/>
      <x:c r="E1652" s="1"/>
      <x:c r="F1652" s="1"/>
      <x:c r="G1652" s="1"/>
      <x:c r="H1652" s="1"/>
      <x:c r="I1652" s="1"/>
      <x:c r="J1652" s="1"/>
      <x:c r="K1652" s="1"/>
      <x:c r="L1652" s="1"/>
      <x:c r="M1652" s="1"/>
      <x:c r="N1652" s="1"/>
      <x:c r="O1652" s="1"/>
      <x:c r="P1652" s="1"/>
      <x:c r="Q1652" s="1"/>
      <x:c r="R1652" s="1"/>
      <x:c r="S1652" s="1"/>
      <x:c r="T1652" s="1"/>
      <x:c r="U1652" s="1"/>
      <x:c r="V1652" s="1"/>
    </x:row>
    <x:row r="1653">
      <x:c r="A1653" s="1"/>
      <x:c r="B1653" s="1"/>
      <x:c r="C1653" s="1"/>
      <x:c r="D1653" s="1"/>
      <x:c r="E1653" s="1"/>
      <x:c r="F1653" s="1"/>
      <x:c r="G1653" s="1"/>
      <x:c r="H1653" s="1"/>
      <x:c r="I1653" s="1"/>
      <x:c r="J1653" s="1"/>
      <x:c r="K1653" s="1"/>
      <x:c r="L1653" s="1"/>
      <x:c r="M1653" s="1"/>
      <x:c r="N1653" s="1"/>
      <x:c r="O1653" s="1"/>
      <x:c r="P1653" s="1"/>
      <x:c r="Q1653" s="1"/>
      <x:c r="R1653" s="1"/>
      <x:c r="S1653" s="1"/>
      <x:c r="T1653" s="1"/>
      <x:c r="U1653" s="1"/>
      <x:c r="V1653" s="1"/>
    </x:row>
    <x:row r="1654">
      <x:c r="A1654" s="1"/>
      <x:c r="B1654" s="1"/>
      <x:c r="C1654" s="1"/>
      <x:c r="D1654" s="1"/>
      <x:c r="E1654" s="1"/>
      <x:c r="F1654" s="1"/>
      <x:c r="G1654" s="1"/>
      <x:c r="H1654" s="1"/>
      <x:c r="I1654" s="1"/>
      <x:c r="J1654" s="1"/>
      <x:c r="K1654" s="1"/>
      <x:c r="L1654" s="1"/>
      <x:c r="M1654" s="1"/>
      <x:c r="N1654" s="1"/>
      <x:c r="O1654" s="1"/>
      <x:c r="P1654" s="1"/>
      <x:c r="Q1654" s="1"/>
      <x:c r="R1654" s="1"/>
      <x:c r="S1654" s="1"/>
      <x:c r="T1654" s="1"/>
      <x:c r="U1654" s="1"/>
      <x:c r="V1654" s="1"/>
    </x:row>
    <x:row r="1655">
      <x:c r="A1655" s="1"/>
      <x:c r="B1655" s="1"/>
      <x:c r="C1655" s="1"/>
      <x:c r="D1655" s="1"/>
      <x:c r="E1655" s="1"/>
      <x:c r="F1655" s="1"/>
      <x:c r="G1655" s="1"/>
      <x:c r="H1655" s="1"/>
      <x:c r="I1655" s="1"/>
      <x:c r="J1655" s="1"/>
      <x:c r="K1655" s="1"/>
      <x:c r="L1655" s="1"/>
      <x:c r="M1655" s="1"/>
      <x:c r="N1655" s="1"/>
      <x:c r="O1655" s="1"/>
      <x:c r="P1655" s="1"/>
      <x:c r="Q1655" s="1"/>
      <x:c r="R1655" s="1"/>
      <x:c r="S1655" s="1"/>
      <x:c r="T1655" s="1"/>
      <x:c r="U1655" s="1"/>
      <x:c r="V1655" s="1"/>
    </x:row>
    <x:row r="1656">
      <x:c r="A1656" s="1"/>
      <x:c r="B1656" s="1"/>
      <x:c r="C1656" s="1"/>
      <x:c r="D1656" s="1"/>
      <x:c r="E1656" s="1"/>
      <x:c r="F1656" s="1"/>
      <x:c r="G1656" s="1"/>
      <x:c r="H1656" s="1"/>
      <x:c r="I1656" s="1"/>
      <x:c r="J1656" s="1"/>
      <x:c r="K1656" s="1"/>
      <x:c r="L1656" s="1"/>
      <x:c r="M1656" s="1"/>
      <x:c r="N1656" s="1"/>
      <x:c r="O1656" s="1"/>
      <x:c r="P1656" s="1"/>
      <x:c r="Q1656" s="1"/>
      <x:c r="R1656" s="1"/>
      <x:c r="S1656" s="1"/>
      <x:c r="T1656" s="1"/>
      <x:c r="U1656" s="1"/>
      <x:c r="V1656" s="1"/>
    </x:row>
    <x:row r="1657">
      <x:c r="A1657" s="1"/>
      <x:c r="B1657" s="1"/>
      <x:c r="C1657" s="1"/>
      <x:c r="D1657" s="1"/>
      <x:c r="E1657" s="1"/>
      <x:c r="F1657" s="1"/>
      <x:c r="G1657" s="1"/>
      <x:c r="H1657" s="1"/>
      <x:c r="I1657" s="1"/>
      <x:c r="J1657" s="1"/>
      <x:c r="K1657" s="1"/>
      <x:c r="L1657" s="1"/>
      <x:c r="M1657" s="1"/>
      <x:c r="N1657" s="1"/>
      <x:c r="O1657" s="1"/>
      <x:c r="P1657" s="1"/>
      <x:c r="Q1657" s="1"/>
      <x:c r="R1657" s="1"/>
      <x:c r="S1657" s="1"/>
      <x:c r="T1657" s="1"/>
      <x:c r="U1657" s="1"/>
      <x:c r="V1657" s="1"/>
    </x:row>
    <x:row r="1658">
      <x:c r="A1658" s="1"/>
      <x:c r="B1658" s="1"/>
      <x:c r="C1658" s="1"/>
      <x:c r="D1658" s="1"/>
      <x:c r="E1658" s="1"/>
      <x:c r="F1658" s="1"/>
      <x:c r="G1658" s="1"/>
      <x:c r="H1658" s="1"/>
      <x:c r="I1658" s="1"/>
      <x:c r="J1658" s="1"/>
      <x:c r="K1658" s="1"/>
      <x:c r="L1658" s="1"/>
      <x:c r="M1658" s="1"/>
      <x:c r="N1658" s="1"/>
      <x:c r="O1658" s="1"/>
      <x:c r="P1658" s="1"/>
      <x:c r="Q1658" s="1"/>
      <x:c r="R1658" s="1"/>
      <x:c r="S1658" s="1"/>
      <x:c r="T1658" s="1"/>
      <x:c r="U1658" s="1"/>
      <x:c r="V1658" s="1"/>
    </x:row>
    <x:row r="1659">
      <x:c r="A1659" s="1"/>
      <x:c r="B1659" s="1"/>
      <x:c r="C1659" s="1"/>
      <x:c r="D1659" s="1"/>
      <x:c r="E1659" s="1"/>
      <x:c r="F1659" s="1"/>
      <x:c r="G1659" s="1"/>
      <x:c r="H1659" s="1"/>
      <x:c r="I1659" s="1"/>
      <x:c r="J1659" s="1"/>
      <x:c r="K1659" s="1"/>
      <x:c r="L1659" s="1"/>
      <x:c r="M1659" s="1"/>
      <x:c r="N1659" s="1"/>
      <x:c r="O1659" s="1"/>
      <x:c r="P1659" s="1"/>
      <x:c r="Q1659" s="1"/>
      <x:c r="R1659" s="1"/>
      <x:c r="S1659" s="1"/>
      <x:c r="T1659" s="1"/>
      <x:c r="U1659" s="1"/>
      <x:c r="V1659" s="1"/>
    </x:row>
    <x:row r="1660">
      <x:c r="A1660" s="1"/>
      <x:c r="B1660" s="1"/>
      <x:c r="C1660" s="1"/>
      <x:c r="D1660" s="1"/>
      <x:c r="E1660" s="1"/>
      <x:c r="F1660" s="1"/>
      <x:c r="G1660" s="1"/>
      <x:c r="H1660" s="1"/>
      <x:c r="I1660" s="1"/>
      <x:c r="J1660" s="1"/>
      <x:c r="K1660" s="1"/>
      <x:c r="L1660" s="1"/>
      <x:c r="M1660" s="1"/>
      <x:c r="N1660" s="1"/>
      <x:c r="O1660" s="1"/>
      <x:c r="P1660" s="1"/>
      <x:c r="Q1660" s="1"/>
      <x:c r="R1660" s="1"/>
      <x:c r="S1660" s="1"/>
      <x:c r="T1660" s="1"/>
      <x:c r="U1660" s="1"/>
      <x:c r="V1660" s="1"/>
    </x:row>
    <x:row r="1661">
      <x:c r="A1661" s="1"/>
      <x:c r="B1661" s="1"/>
      <x:c r="C1661" s="1"/>
      <x:c r="D1661" s="1"/>
      <x:c r="E1661" s="1"/>
      <x:c r="F1661" s="1"/>
      <x:c r="G1661" s="1"/>
      <x:c r="H1661" s="1"/>
      <x:c r="I1661" s="1"/>
      <x:c r="J1661" s="1"/>
      <x:c r="K1661" s="1"/>
      <x:c r="L1661" s="1"/>
      <x:c r="M1661" s="1"/>
      <x:c r="N1661" s="1"/>
      <x:c r="O1661" s="1"/>
      <x:c r="P1661" s="1"/>
      <x:c r="Q1661" s="1"/>
      <x:c r="R1661" s="1"/>
      <x:c r="S1661" s="1"/>
      <x:c r="T1661" s="1"/>
      <x:c r="U1661" s="1"/>
      <x:c r="V1661" s="1"/>
    </x:row>
    <x:row r="1662">
      <x:c r="A1662" s="1"/>
      <x:c r="B1662" s="1"/>
      <x:c r="C1662" s="1"/>
      <x:c r="D1662" s="1"/>
      <x:c r="E1662" s="1"/>
      <x:c r="F1662" s="1"/>
      <x:c r="G1662" s="1"/>
      <x:c r="H1662" s="1"/>
      <x:c r="I1662" s="1"/>
      <x:c r="J1662" s="1"/>
      <x:c r="K1662" s="1"/>
      <x:c r="L1662" s="1"/>
      <x:c r="M1662" s="1"/>
      <x:c r="N1662" s="1"/>
      <x:c r="O1662" s="1"/>
      <x:c r="P1662" s="1"/>
      <x:c r="Q1662" s="1"/>
      <x:c r="R1662" s="1"/>
      <x:c r="S1662" s="1"/>
      <x:c r="T1662" s="1"/>
      <x:c r="U1662" s="1"/>
      <x:c r="V1662" s="1"/>
    </x:row>
    <x:row r="1663">
      <x:c r="A1663" s="1"/>
      <x:c r="B1663" s="1"/>
      <x:c r="C1663" s="1"/>
      <x:c r="D1663" s="1"/>
      <x:c r="E1663" s="1"/>
      <x:c r="F1663" s="1"/>
      <x:c r="G1663" s="1"/>
      <x:c r="H1663" s="1"/>
      <x:c r="I1663" s="1"/>
      <x:c r="J1663" s="1"/>
      <x:c r="K1663" s="1"/>
      <x:c r="L1663" s="1"/>
      <x:c r="M1663" s="1"/>
      <x:c r="N1663" s="1"/>
      <x:c r="O1663" s="1"/>
      <x:c r="P1663" s="1"/>
      <x:c r="Q1663" s="1"/>
      <x:c r="R1663" s="1"/>
      <x:c r="S1663" s="1"/>
      <x:c r="T1663" s="1"/>
      <x:c r="U1663" s="1"/>
      <x:c r="V1663" s="1"/>
    </x:row>
    <x:row r="1664">
      <x:c r="A1664" s="1"/>
      <x:c r="B1664" s="1"/>
      <x:c r="C1664" s="1"/>
      <x:c r="D1664" s="1"/>
      <x:c r="E1664" s="1"/>
      <x:c r="F1664" s="1"/>
      <x:c r="G1664" s="1"/>
      <x:c r="H1664" s="1"/>
      <x:c r="I1664" s="1"/>
      <x:c r="J1664" s="1"/>
      <x:c r="K1664" s="1"/>
      <x:c r="L1664" s="1"/>
      <x:c r="M1664" s="1"/>
      <x:c r="N1664" s="1"/>
      <x:c r="O1664" s="1"/>
      <x:c r="P1664" s="1"/>
      <x:c r="Q1664" s="1"/>
      <x:c r="R1664" s="1"/>
      <x:c r="S1664" s="1"/>
      <x:c r="T1664" s="1"/>
      <x:c r="U1664" s="1"/>
      <x:c r="V1664" s="1"/>
    </x:row>
    <x:row r="1665">
      <x:c r="A1665" s="1"/>
      <x:c r="B1665" s="1"/>
      <x:c r="C1665" s="1"/>
      <x:c r="D1665" s="1"/>
      <x:c r="E1665" s="1"/>
      <x:c r="F1665" s="1"/>
      <x:c r="G1665" s="1"/>
      <x:c r="H1665" s="1"/>
      <x:c r="I1665" s="1"/>
      <x:c r="J1665" s="1"/>
      <x:c r="K1665" s="1"/>
      <x:c r="L1665" s="1"/>
      <x:c r="M1665" s="1"/>
      <x:c r="N1665" s="1"/>
      <x:c r="O1665" s="1"/>
      <x:c r="P1665" s="1"/>
      <x:c r="Q1665" s="1"/>
      <x:c r="R1665" s="1"/>
      <x:c r="S1665" s="1"/>
      <x:c r="T1665" s="1"/>
      <x:c r="U1665" s="1"/>
      <x:c r="V1665" s="1"/>
    </x:row>
    <x:row r="1666">
      <x:c r="A1666" s="1"/>
      <x:c r="B1666" s="1"/>
      <x:c r="C1666" s="1"/>
      <x:c r="D1666" s="1"/>
      <x:c r="E1666" s="1"/>
      <x:c r="F1666" s="1"/>
      <x:c r="G1666" s="1"/>
      <x:c r="H1666" s="1"/>
      <x:c r="I1666" s="1"/>
      <x:c r="J1666" s="1"/>
      <x:c r="K1666" s="1"/>
      <x:c r="L1666" s="1"/>
      <x:c r="M1666" s="1"/>
      <x:c r="N1666" s="1"/>
      <x:c r="O1666" s="1"/>
      <x:c r="P1666" s="1"/>
      <x:c r="Q1666" s="1"/>
      <x:c r="R1666" s="1"/>
      <x:c r="S1666" s="1"/>
      <x:c r="T1666" s="1"/>
      <x:c r="U1666" s="1"/>
      <x:c r="V1666" s="1"/>
    </x:row>
    <x:row r="1667">
      <x:c r="A1667" s="1"/>
      <x:c r="B1667" s="1"/>
      <x:c r="C1667" s="1"/>
      <x:c r="D1667" s="1"/>
      <x:c r="E1667" s="1"/>
      <x:c r="F1667" s="1"/>
      <x:c r="G1667" s="1"/>
      <x:c r="H1667" s="1"/>
      <x:c r="I1667" s="1"/>
      <x:c r="J1667" s="1"/>
      <x:c r="K1667" s="1"/>
      <x:c r="L1667" s="1"/>
      <x:c r="M1667" s="1"/>
      <x:c r="N1667" s="1"/>
      <x:c r="O1667" s="1"/>
      <x:c r="P1667" s="1"/>
      <x:c r="Q1667" s="1"/>
      <x:c r="R1667" s="1"/>
      <x:c r="S1667" s="1"/>
      <x:c r="T1667" s="1"/>
      <x:c r="U1667" s="1"/>
      <x:c r="V1667" s="1"/>
    </x:row>
    <x:row r="1668">
      <x:c r="A1668" s="1"/>
      <x:c r="B1668" s="1"/>
      <x:c r="C1668" s="1"/>
      <x:c r="D1668" s="1"/>
      <x:c r="E1668" s="1"/>
      <x:c r="F1668" s="1"/>
      <x:c r="G1668" s="1"/>
      <x:c r="H1668" s="1"/>
      <x:c r="I1668" s="1"/>
      <x:c r="J1668" s="1"/>
      <x:c r="K1668" s="1"/>
      <x:c r="L1668" s="1"/>
      <x:c r="M1668" s="1"/>
      <x:c r="N1668" s="1"/>
      <x:c r="O1668" s="1"/>
      <x:c r="P1668" s="1"/>
      <x:c r="Q1668" s="1"/>
      <x:c r="R1668" s="1"/>
      <x:c r="S1668" s="1"/>
      <x:c r="T1668" s="1"/>
      <x:c r="U1668" s="1"/>
      <x:c r="V1668" s="1"/>
    </x:row>
    <x:row r="1669">
      <x:c r="A1669" s="1"/>
      <x:c r="B1669" s="1"/>
      <x:c r="C1669" s="1"/>
      <x:c r="D1669" s="1"/>
      <x:c r="E1669" s="1"/>
      <x:c r="F1669" s="1"/>
      <x:c r="G1669" s="1"/>
      <x:c r="H1669" s="1"/>
      <x:c r="I1669" s="1"/>
      <x:c r="J1669" s="1"/>
      <x:c r="K1669" s="1"/>
      <x:c r="L1669" s="1"/>
      <x:c r="M1669" s="1"/>
      <x:c r="N1669" s="1"/>
      <x:c r="O1669" s="1"/>
      <x:c r="P1669" s="1"/>
      <x:c r="Q1669" s="1"/>
      <x:c r="R1669" s="1"/>
      <x:c r="S1669" s="1"/>
      <x:c r="T1669" s="1"/>
      <x:c r="U1669" s="1"/>
      <x:c r="V1669" s="1"/>
    </x:row>
    <x:row r="1670">
      <x:c r="A1670" s="1"/>
      <x:c r="B1670" s="1"/>
      <x:c r="C1670" s="1"/>
      <x:c r="D1670" s="1"/>
      <x:c r="E1670" s="1"/>
      <x:c r="F1670" s="1"/>
      <x:c r="G1670" s="1"/>
      <x:c r="H1670" s="1"/>
      <x:c r="I1670" s="1"/>
      <x:c r="J1670" s="1"/>
      <x:c r="K1670" s="1"/>
      <x:c r="L1670" s="1"/>
      <x:c r="M1670" s="1"/>
      <x:c r="N1670" s="1"/>
      <x:c r="O1670" s="1"/>
      <x:c r="P1670" s="1"/>
      <x:c r="Q1670" s="1"/>
      <x:c r="R1670" s="1"/>
      <x:c r="S1670" s="1"/>
      <x:c r="T1670" s="1"/>
      <x:c r="U1670" s="1"/>
      <x:c r="V1670" s="1"/>
    </x:row>
    <x:row r="1671">
      <x:c r="A1671" s="1"/>
      <x:c r="B1671" s="1"/>
      <x:c r="C1671" s="1"/>
      <x:c r="D1671" s="1"/>
      <x:c r="E1671" s="1"/>
      <x:c r="F1671" s="1"/>
      <x:c r="G1671" s="1"/>
      <x:c r="H1671" s="1"/>
      <x:c r="I1671" s="1"/>
      <x:c r="J1671" s="1"/>
      <x:c r="K1671" s="1"/>
      <x:c r="L1671" s="1"/>
      <x:c r="M1671" s="1"/>
      <x:c r="N1671" s="1"/>
      <x:c r="O1671" s="1"/>
      <x:c r="P1671" s="1"/>
      <x:c r="Q1671" s="1"/>
      <x:c r="R1671" s="1"/>
      <x:c r="S1671" s="1"/>
      <x:c r="T1671" s="1"/>
      <x:c r="U1671" s="1"/>
      <x:c r="V1671" s="1"/>
    </x:row>
    <x:row r="1672">
      <x:c r="A1672" s="1"/>
      <x:c r="B1672" s="1"/>
      <x:c r="C1672" s="1"/>
      <x:c r="D1672" s="1"/>
      <x:c r="E1672" s="1"/>
      <x:c r="F1672" s="1"/>
      <x:c r="G1672" s="1"/>
      <x:c r="H1672" s="1"/>
      <x:c r="I1672" s="1"/>
      <x:c r="J1672" s="1"/>
      <x:c r="K1672" s="1"/>
      <x:c r="L1672" s="1"/>
      <x:c r="M1672" s="1"/>
      <x:c r="N1672" s="1"/>
      <x:c r="O1672" s="1"/>
      <x:c r="P1672" s="1"/>
      <x:c r="Q1672" s="1"/>
      <x:c r="R1672" s="1"/>
      <x:c r="S1672" s="1"/>
      <x:c r="T1672" s="1"/>
      <x:c r="U1672" s="1"/>
      <x:c r="V1672" s="1"/>
    </x:row>
    <x:row r="1673">
      <x:c r="A1673" s="1"/>
      <x:c r="B1673" s="1"/>
      <x:c r="C1673" s="1"/>
      <x:c r="D1673" s="1"/>
      <x:c r="E1673" s="1"/>
      <x:c r="F1673" s="1"/>
      <x:c r="G1673" s="1"/>
      <x:c r="H1673" s="1"/>
      <x:c r="I1673" s="1"/>
      <x:c r="J1673" s="1"/>
      <x:c r="K1673" s="1"/>
      <x:c r="L1673" s="1"/>
      <x:c r="M1673" s="1"/>
      <x:c r="N1673" s="1"/>
      <x:c r="O1673" s="1"/>
      <x:c r="P1673" s="1"/>
      <x:c r="Q1673" s="1"/>
      <x:c r="R1673" s="1"/>
      <x:c r="S1673" s="1"/>
      <x:c r="T1673" s="1"/>
      <x:c r="U1673" s="1"/>
      <x:c r="V1673" s="1"/>
    </x:row>
    <x:row r="1674">
      <x:c r="A1674" s="1"/>
      <x:c r="B1674" s="1"/>
      <x:c r="C1674" s="1"/>
      <x:c r="D1674" s="1"/>
      <x:c r="E1674" s="1"/>
      <x:c r="F1674" s="1"/>
      <x:c r="G1674" s="1"/>
      <x:c r="H1674" s="1"/>
      <x:c r="I1674" s="1"/>
      <x:c r="J1674" s="1"/>
      <x:c r="K1674" s="1"/>
      <x:c r="L1674" s="1"/>
      <x:c r="M1674" s="1"/>
      <x:c r="N1674" s="1"/>
      <x:c r="O1674" s="1"/>
      <x:c r="P1674" s="1"/>
      <x:c r="Q1674" s="1"/>
      <x:c r="R1674" s="1"/>
      <x:c r="S1674" s="1"/>
      <x:c r="T1674" s="1"/>
      <x:c r="U1674" s="1"/>
      <x:c r="V1674" s="1"/>
    </x:row>
    <x:row r="1675">
      <x:c r="A1675" s="1"/>
      <x:c r="B1675" s="1"/>
      <x:c r="C1675" s="1"/>
      <x:c r="D1675" s="1"/>
      <x:c r="E1675" s="1"/>
      <x:c r="F1675" s="1"/>
      <x:c r="G1675" s="1"/>
      <x:c r="H1675" s="1"/>
      <x:c r="I1675" s="1"/>
      <x:c r="J1675" s="1"/>
      <x:c r="K1675" s="1"/>
      <x:c r="L1675" s="1"/>
      <x:c r="M1675" s="1"/>
      <x:c r="N1675" s="1"/>
      <x:c r="O1675" s="1"/>
      <x:c r="P1675" s="1"/>
      <x:c r="Q1675" s="1"/>
      <x:c r="R1675" s="1"/>
      <x:c r="S1675" s="1"/>
      <x:c r="T1675" s="1"/>
      <x:c r="U1675" s="1"/>
      <x:c r="V1675" s="1"/>
    </x:row>
    <x:row r="1676">
      <x:c r="A1676" s="1"/>
      <x:c r="B1676" s="1"/>
      <x:c r="C1676" s="1"/>
      <x:c r="D1676" s="1"/>
      <x:c r="E1676" s="1"/>
      <x:c r="F1676" s="1"/>
      <x:c r="G1676" s="1"/>
      <x:c r="H1676" s="1"/>
      <x:c r="I1676" s="1"/>
      <x:c r="J1676" s="1"/>
      <x:c r="K1676" s="1"/>
      <x:c r="L1676" s="1"/>
      <x:c r="M1676" s="1"/>
      <x:c r="N1676" s="1"/>
      <x:c r="O1676" s="1"/>
      <x:c r="P1676" s="1"/>
      <x:c r="Q1676" s="1"/>
      <x:c r="R1676" s="1"/>
      <x:c r="S1676" s="1"/>
      <x:c r="T1676" s="1"/>
      <x:c r="U1676" s="1"/>
      <x:c r="V1676" s="1"/>
    </x:row>
    <x:row r="1677">
      <x:c r="A1677" s="1"/>
      <x:c r="B1677" s="1"/>
      <x:c r="C1677" s="1"/>
      <x:c r="D1677" s="1"/>
      <x:c r="E1677" s="1"/>
      <x:c r="F1677" s="1"/>
      <x:c r="G1677" s="1"/>
      <x:c r="H1677" s="1"/>
      <x:c r="I1677" s="1"/>
      <x:c r="J1677" s="1"/>
      <x:c r="K1677" s="1"/>
      <x:c r="L1677" s="1"/>
      <x:c r="M1677" s="1"/>
      <x:c r="N1677" s="1"/>
      <x:c r="O1677" s="1"/>
      <x:c r="P1677" s="1"/>
      <x:c r="Q1677" s="1"/>
      <x:c r="R1677" s="1"/>
      <x:c r="S1677" s="1"/>
      <x:c r="T1677" s="1"/>
      <x:c r="U1677" s="1"/>
      <x:c r="V1677" s="1"/>
    </x:row>
    <x:row r="1678">
      <x:c r="A1678" s="1"/>
      <x:c r="B1678" s="1"/>
      <x:c r="C1678" s="1"/>
      <x:c r="D1678" s="1"/>
      <x:c r="E1678" s="1"/>
      <x:c r="F1678" s="1"/>
      <x:c r="G1678" s="1"/>
      <x:c r="H1678" s="1"/>
      <x:c r="I1678" s="1"/>
      <x:c r="J1678" s="1"/>
      <x:c r="K1678" s="1"/>
      <x:c r="L1678" s="1"/>
      <x:c r="M1678" s="1"/>
      <x:c r="N1678" s="1"/>
      <x:c r="O1678" s="1"/>
      <x:c r="P1678" s="1"/>
      <x:c r="Q1678" s="1"/>
      <x:c r="R1678" s="1"/>
      <x:c r="S1678" s="1"/>
      <x:c r="T1678" s="1"/>
      <x:c r="U1678" s="1"/>
      <x:c r="V1678" s="1"/>
    </x:row>
    <x:row r="1679">
      <x:c r="A1679" s="1"/>
      <x:c r="B1679" s="1"/>
      <x:c r="C1679" s="1"/>
      <x:c r="D1679" s="1"/>
      <x:c r="E1679" s="1"/>
      <x:c r="F1679" s="1"/>
      <x:c r="G1679" s="1"/>
      <x:c r="H1679" s="1"/>
      <x:c r="I1679" s="1"/>
      <x:c r="J1679" s="1"/>
      <x:c r="K1679" s="1"/>
      <x:c r="L1679" s="1"/>
      <x:c r="M1679" s="1"/>
      <x:c r="N1679" s="1"/>
      <x:c r="O1679" s="1"/>
      <x:c r="P1679" s="1"/>
      <x:c r="Q1679" s="1"/>
      <x:c r="R1679" s="1"/>
      <x:c r="S1679" s="1"/>
      <x:c r="T1679" s="1"/>
      <x:c r="U1679" s="1"/>
      <x:c r="V1679" s="1"/>
    </x:row>
    <x:row r="1680">
      <x:c r="A1680" s="1"/>
      <x:c r="B1680" s="1"/>
      <x:c r="C1680" s="1"/>
      <x:c r="D1680" s="1"/>
      <x:c r="E1680" s="1"/>
      <x:c r="F1680" s="1"/>
      <x:c r="G1680" s="1"/>
      <x:c r="H1680" s="1"/>
      <x:c r="I1680" s="1"/>
      <x:c r="J1680" s="1"/>
      <x:c r="K1680" s="1"/>
      <x:c r="L1680" s="1"/>
      <x:c r="M1680" s="1"/>
      <x:c r="N1680" s="1"/>
      <x:c r="O1680" s="1"/>
      <x:c r="P1680" s="1"/>
      <x:c r="Q1680" s="1"/>
      <x:c r="R1680" s="1"/>
      <x:c r="S1680" s="1"/>
      <x:c r="T1680" s="1"/>
      <x:c r="U1680" s="1"/>
      <x:c r="V1680" s="1"/>
    </x:row>
    <x:row r="1681">
      <x:c r="A1681" s="1"/>
      <x:c r="B1681" s="1"/>
      <x:c r="C1681" s="1"/>
      <x:c r="D1681" s="1"/>
      <x:c r="E1681" s="1"/>
      <x:c r="F1681" s="1"/>
      <x:c r="G1681" s="1"/>
      <x:c r="H1681" s="1"/>
      <x:c r="I1681" s="1"/>
      <x:c r="J1681" s="1"/>
      <x:c r="K1681" s="1"/>
      <x:c r="L1681" s="1"/>
      <x:c r="M1681" s="1"/>
      <x:c r="N1681" s="1"/>
      <x:c r="O1681" s="1"/>
      <x:c r="P1681" s="1"/>
      <x:c r="Q1681" s="1"/>
      <x:c r="R1681" s="1"/>
      <x:c r="S1681" s="1"/>
      <x:c r="T1681" s="1"/>
      <x:c r="U1681" s="1"/>
      <x:c r="V1681" s="1"/>
    </x:row>
    <x:row r="1682">
      <x:c r="A1682" s="1"/>
      <x:c r="B1682" s="1"/>
      <x:c r="C1682" s="1"/>
      <x:c r="D1682" s="1"/>
      <x:c r="E1682" s="1"/>
      <x:c r="F1682" s="1"/>
      <x:c r="G1682" s="1"/>
      <x:c r="H1682" s="1"/>
      <x:c r="I1682" s="1"/>
      <x:c r="J1682" s="1"/>
      <x:c r="K1682" s="1"/>
      <x:c r="L1682" s="1"/>
      <x:c r="M1682" s="1"/>
      <x:c r="N1682" s="1"/>
      <x:c r="O1682" s="1"/>
      <x:c r="P1682" s="1"/>
      <x:c r="Q1682" s="1"/>
      <x:c r="R1682" s="1"/>
      <x:c r="S1682" s="1"/>
      <x:c r="T1682" s="1"/>
      <x:c r="U1682" s="1"/>
      <x:c r="V1682" s="1"/>
    </x:row>
    <x:row r="1683">
      <x:c r="A1683" s="1"/>
      <x:c r="B1683" s="1"/>
      <x:c r="C1683" s="1"/>
      <x:c r="D1683" s="1"/>
      <x:c r="E1683" s="1"/>
      <x:c r="F1683" s="1"/>
      <x:c r="G1683" s="1"/>
      <x:c r="H1683" s="1"/>
      <x:c r="I1683" s="1"/>
      <x:c r="J1683" s="1"/>
      <x:c r="K1683" s="1"/>
      <x:c r="L1683" s="1"/>
      <x:c r="M1683" s="1"/>
      <x:c r="N1683" s="1"/>
      <x:c r="O1683" s="1"/>
      <x:c r="P1683" s="1"/>
      <x:c r="Q1683" s="1"/>
      <x:c r="R1683" s="1"/>
      <x:c r="S1683" s="1"/>
      <x:c r="T1683" s="1"/>
      <x:c r="U1683" s="1"/>
      <x:c r="V1683" s="1"/>
    </x:row>
    <x:row r="1684">
      <x:c r="A1684" s="1"/>
      <x:c r="B1684" s="1"/>
      <x:c r="C1684" s="1"/>
      <x:c r="D1684" s="1"/>
      <x:c r="E1684" s="1"/>
      <x:c r="F1684" s="1"/>
      <x:c r="G1684" s="1"/>
      <x:c r="H1684" s="1"/>
      <x:c r="I1684" s="1"/>
      <x:c r="J1684" s="1"/>
      <x:c r="K1684" s="1"/>
      <x:c r="L1684" s="1"/>
      <x:c r="M1684" s="1"/>
      <x:c r="N1684" s="1"/>
      <x:c r="O1684" s="1"/>
      <x:c r="P1684" s="1"/>
      <x:c r="Q1684" s="1"/>
      <x:c r="R1684" s="1"/>
      <x:c r="S1684" s="1"/>
      <x:c r="T1684" s="1"/>
      <x:c r="U1684" s="1"/>
      <x:c r="V1684" s="1"/>
    </x:row>
    <x:row r="1685">
      <x:c r="A1685" s="1"/>
      <x:c r="B1685" s="1"/>
      <x:c r="C1685" s="1"/>
      <x:c r="D1685" s="1"/>
      <x:c r="E1685" s="1"/>
      <x:c r="F1685" s="1"/>
      <x:c r="G1685" s="1"/>
      <x:c r="H1685" s="1"/>
      <x:c r="I1685" s="1"/>
      <x:c r="J1685" s="1"/>
      <x:c r="K1685" s="1"/>
      <x:c r="L1685" s="1"/>
      <x:c r="M1685" s="1"/>
      <x:c r="N1685" s="1"/>
      <x:c r="O1685" s="1"/>
      <x:c r="P1685" s="1"/>
      <x:c r="Q1685" s="1"/>
      <x:c r="R1685" s="1"/>
      <x:c r="S1685" s="1"/>
      <x:c r="T1685" s="1"/>
      <x:c r="U1685" s="1"/>
      <x:c r="V1685" s="1"/>
    </x:row>
    <x:row r="1686">
      <x:c r="A1686" s="1"/>
      <x:c r="B1686" s="1"/>
      <x:c r="C1686" s="1"/>
      <x:c r="D1686" s="1"/>
      <x:c r="E1686" s="1"/>
      <x:c r="F1686" s="1"/>
      <x:c r="G1686" s="1"/>
      <x:c r="H1686" s="1"/>
      <x:c r="I1686" s="1"/>
      <x:c r="J1686" s="1"/>
      <x:c r="K1686" s="1"/>
      <x:c r="L1686" s="1"/>
      <x:c r="M1686" s="1"/>
      <x:c r="N1686" s="1"/>
      <x:c r="O1686" s="1"/>
      <x:c r="P1686" s="1"/>
      <x:c r="Q1686" s="1"/>
      <x:c r="R1686" s="1"/>
      <x:c r="S1686" s="1"/>
      <x:c r="T1686" s="1"/>
      <x:c r="U1686" s="1"/>
      <x:c r="V1686" s="1"/>
    </x:row>
    <x:row r="1687">
      <x:c r="A1687" s="1"/>
      <x:c r="B1687" s="1"/>
      <x:c r="C1687" s="1"/>
      <x:c r="D1687" s="1"/>
      <x:c r="E1687" s="1"/>
      <x:c r="F1687" s="1"/>
      <x:c r="G1687" s="1"/>
      <x:c r="H1687" s="1"/>
      <x:c r="I1687" s="1"/>
      <x:c r="J1687" s="1"/>
      <x:c r="K1687" s="1"/>
      <x:c r="L1687" s="1"/>
      <x:c r="M1687" s="1"/>
      <x:c r="N1687" s="1"/>
      <x:c r="O1687" s="1"/>
      <x:c r="P1687" s="1"/>
      <x:c r="Q1687" s="1"/>
      <x:c r="R1687" s="1"/>
      <x:c r="S1687" s="1"/>
      <x:c r="T1687" s="1"/>
      <x:c r="U1687" s="1"/>
      <x:c r="V1687" s="1"/>
    </x:row>
    <x:row r="1688">
      <x:c r="A1688" s="1"/>
      <x:c r="B1688" s="1"/>
      <x:c r="C1688" s="1"/>
      <x:c r="D1688" s="1"/>
      <x:c r="E1688" s="1"/>
      <x:c r="F1688" s="1"/>
      <x:c r="G1688" s="1"/>
      <x:c r="H1688" s="1"/>
      <x:c r="I1688" s="1"/>
      <x:c r="J1688" s="1"/>
      <x:c r="K1688" s="1"/>
      <x:c r="L1688" s="1"/>
      <x:c r="M1688" s="1"/>
      <x:c r="N1688" s="1"/>
      <x:c r="O1688" s="1"/>
      <x:c r="P1688" s="1"/>
      <x:c r="Q1688" s="1"/>
      <x:c r="R1688" s="1"/>
      <x:c r="S1688" s="1"/>
      <x:c r="T1688" s="1"/>
      <x:c r="U1688" s="1"/>
      <x:c r="V1688" s="1"/>
    </x:row>
    <x:row r="1689">
      <x:c r="A1689" s="1"/>
      <x:c r="B1689" s="1"/>
      <x:c r="C1689" s="1"/>
      <x:c r="D1689" s="1"/>
      <x:c r="E1689" s="1"/>
      <x:c r="F1689" s="1"/>
      <x:c r="G1689" s="1"/>
      <x:c r="H1689" s="1"/>
      <x:c r="I1689" s="1"/>
      <x:c r="J1689" s="1"/>
      <x:c r="K1689" s="1"/>
      <x:c r="L1689" s="1"/>
      <x:c r="M1689" s="1"/>
      <x:c r="N1689" s="1"/>
      <x:c r="O1689" s="1"/>
      <x:c r="P1689" s="1"/>
      <x:c r="Q1689" s="1"/>
      <x:c r="R1689" s="1"/>
      <x:c r="S1689" s="1"/>
      <x:c r="T1689" s="1"/>
      <x:c r="U1689" s="1"/>
      <x:c r="V1689" s="1"/>
    </x:row>
    <x:row r="1690">
      <x:c r="A1690" s="1"/>
      <x:c r="B1690" s="1"/>
      <x:c r="C1690" s="1"/>
      <x:c r="D1690" s="1"/>
      <x:c r="E1690" s="1"/>
      <x:c r="F1690" s="1"/>
      <x:c r="G1690" s="1"/>
      <x:c r="H1690" s="1"/>
      <x:c r="I1690" s="1"/>
      <x:c r="J1690" s="1"/>
      <x:c r="K1690" s="1"/>
      <x:c r="L1690" s="1"/>
      <x:c r="M1690" s="1"/>
      <x:c r="N1690" s="1"/>
      <x:c r="O1690" s="1"/>
      <x:c r="P1690" s="1"/>
      <x:c r="Q1690" s="1"/>
      <x:c r="R1690" s="1"/>
      <x:c r="S1690" s="1"/>
      <x:c r="T1690" s="1"/>
      <x:c r="U1690" s="1"/>
      <x:c r="V1690" s="1"/>
    </x:row>
    <x:row r="1691">
      <x:c r="A1691" s="1"/>
      <x:c r="B1691" s="1"/>
      <x:c r="C1691" s="1"/>
      <x:c r="D1691" s="1"/>
      <x:c r="E1691" s="1"/>
      <x:c r="F1691" s="1"/>
      <x:c r="G1691" s="1"/>
      <x:c r="H1691" s="1"/>
      <x:c r="I1691" s="1"/>
      <x:c r="J1691" s="1"/>
      <x:c r="K1691" s="1"/>
      <x:c r="L1691" s="1"/>
      <x:c r="M1691" s="1"/>
      <x:c r="N1691" s="1"/>
      <x:c r="O1691" s="1"/>
      <x:c r="P1691" s="1"/>
      <x:c r="Q1691" s="1"/>
      <x:c r="R1691" s="1"/>
      <x:c r="S1691" s="1"/>
      <x:c r="T1691" s="1"/>
      <x:c r="U1691" s="1"/>
      <x:c r="V1691" s="1"/>
    </x:row>
    <x:row r="1692">
      <x:c r="A1692" s="1"/>
      <x:c r="B1692" s="1"/>
      <x:c r="C1692" s="1"/>
      <x:c r="D1692" s="1"/>
      <x:c r="E1692" s="1"/>
      <x:c r="F1692" s="1"/>
      <x:c r="G1692" s="1"/>
      <x:c r="H1692" s="1"/>
      <x:c r="I1692" s="1"/>
      <x:c r="J1692" s="1"/>
      <x:c r="K1692" s="1"/>
      <x:c r="L1692" s="1"/>
      <x:c r="M1692" s="1"/>
      <x:c r="N1692" s="1"/>
      <x:c r="O1692" s="1"/>
      <x:c r="P1692" s="1"/>
      <x:c r="Q1692" s="1"/>
      <x:c r="R1692" s="1"/>
      <x:c r="S1692" s="1"/>
      <x:c r="T1692" s="1"/>
      <x:c r="U1692" s="1"/>
      <x:c r="V1692" s="1"/>
    </x:row>
    <x:row r="1693">
      <x:c r="A1693" s="1"/>
      <x:c r="B1693" s="1"/>
      <x:c r="C1693" s="1"/>
      <x:c r="D1693" s="1"/>
      <x:c r="E1693" s="1"/>
      <x:c r="F1693" s="1"/>
      <x:c r="G1693" s="1"/>
      <x:c r="H1693" s="1"/>
      <x:c r="I1693" s="1"/>
      <x:c r="J1693" s="1"/>
      <x:c r="K1693" s="1"/>
      <x:c r="L1693" s="1"/>
      <x:c r="M1693" s="1"/>
      <x:c r="N1693" s="1"/>
      <x:c r="O1693" s="1"/>
      <x:c r="P1693" s="1"/>
      <x:c r="Q1693" s="1"/>
      <x:c r="R1693" s="1"/>
      <x:c r="S1693" s="1"/>
      <x:c r="T1693" s="1"/>
      <x:c r="U1693" s="1"/>
      <x:c r="V1693" s="1"/>
    </x:row>
    <x:row r="1694">
      <x:c r="A1694" s="1"/>
      <x:c r="B1694" s="1"/>
      <x:c r="C1694" s="1"/>
      <x:c r="D1694" s="1"/>
      <x:c r="E1694" s="1"/>
      <x:c r="F1694" s="1"/>
      <x:c r="G1694" s="1"/>
      <x:c r="H1694" s="1"/>
      <x:c r="I1694" s="1"/>
      <x:c r="J1694" s="1"/>
      <x:c r="K1694" s="1"/>
      <x:c r="L1694" s="1"/>
      <x:c r="M1694" s="1"/>
      <x:c r="N1694" s="1"/>
      <x:c r="O1694" s="1"/>
      <x:c r="P1694" s="1"/>
      <x:c r="Q1694" s="1"/>
      <x:c r="R1694" s="1"/>
      <x:c r="S1694" s="1"/>
      <x:c r="T1694" s="1"/>
      <x:c r="U1694" s="1"/>
      <x:c r="V1694" s="1"/>
    </x:row>
    <x:row r="1695">
      <x:c r="A1695" s="1"/>
      <x:c r="B1695" s="1"/>
      <x:c r="C1695" s="1"/>
      <x:c r="D1695" s="1"/>
      <x:c r="E1695" s="1"/>
      <x:c r="F1695" s="1"/>
      <x:c r="G1695" s="1"/>
      <x:c r="H1695" s="1"/>
      <x:c r="I1695" s="1"/>
      <x:c r="J1695" s="1"/>
      <x:c r="K1695" s="1"/>
      <x:c r="L1695" s="1"/>
      <x:c r="M1695" s="1"/>
      <x:c r="N1695" s="1"/>
      <x:c r="O1695" s="1"/>
      <x:c r="P1695" s="1"/>
      <x:c r="Q1695" s="1"/>
      <x:c r="R1695" s="1"/>
      <x:c r="S1695" s="1"/>
      <x:c r="T1695" s="1"/>
      <x:c r="U1695" s="1"/>
      <x:c r="V1695" s="1"/>
    </x:row>
    <x:row r="1696">
      <x:c r="A1696" s="1"/>
      <x:c r="B1696" s="1"/>
      <x:c r="C1696" s="1"/>
      <x:c r="D1696" s="1"/>
      <x:c r="E1696" s="1"/>
      <x:c r="F1696" s="1"/>
      <x:c r="G1696" s="1"/>
      <x:c r="H1696" s="1"/>
      <x:c r="I1696" s="1"/>
      <x:c r="J1696" s="1"/>
      <x:c r="K1696" s="1"/>
      <x:c r="L1696" s="1"/>
      <x:c r="M1696" s="1"/>
      <x:c r="N1696" s="1"/>
      <x:c r="O1696" s="1"/>
      <x:c r="P1696" s="1"/>
      <x:c r="Q1696" s="1"/>
      <x:c r="R1696" s="1"/>
      <x:c r="S1696" s="1"/>
      <x:c r="T1696" s="1"/>
      <x:c r="U1696" s="1"/>
      <x:c r="V1696" s="1"/>
    </x:row>
    <x:row r="1697">
      <x:c r="A1697" s="1"/>
      <x:c r="B1697" s="1"/>
      <x:c r="C1697" s="1"/>
      <x:c r="D1697" s="1"/>
      <x:c r="E1697" s="1"/>
      <x:c r="F1697" s="1"/>
      <x:c r="G1697" s="1"/>
      <x:c r="H1697" s="1"/>
      <x:c r="I1697" s="1"/>
      <x:c r="J1697" s="1"/>
      <x:c r="K1697" s="1"/>
      <x:c r="L1697" s="1"/>
      <x:c r="M1697" s="1"/>
      <x:c r="N1697" s="1"/>
      <x:c r="O1697" s="1"/>
      <x:c r="P1697" s="1"/>
      <x:c r="Q1697" s="1"/>
      <x:c r="R1697" s="1"/>
      <x:c r="S1697" s="1"/>
      <x:c r="T1697" s="1"/>
      <x:c r="U1697" s="1"/>
      <x:c r="V1697" s="1"/>
    </x:row>
    <x:row r="1698">
      <x:c r="A1698" s="1"/>
      <x:c r="B1698" s="1"/>
      <x:c r="C1698" s="1"/>
      <x:c r="D1698" s="1"/>
      <x:c r="E1698" s="1"/>
      <x:c r="F1698" s="1"/>
      <x:c r="G1698" s="1"/>
      <x:c r="H1698" s="1"/>
      <x:c r="I1698" s="1"/>
      <x:c r="J1698" s="1"/>
      <x:c r="K1698" s="1"/>
      <x:c r="L1698" s="1"/>
      <x:c r="M1698" s="1"/>
      <x:c r="N1698" s="1"/>
      <x:c r="O1698" s="1"/>
      <x:c r="P1698" s="1"/>
      <x:c r="Q1698" s="1"/>
      <x:c r="R1698" s="1"/>
      <x:c r="S1698" s="1"/>
      <x:c r="T1698" s="1"/>
      <x:c r="U1698" s="1"/>
      <x:c r="V1698" s="1"/>
    </x:row>
    <x:row r="1699">
      <x:c r="A1699" s="1"/>
      <x:c r="B1699" s="1"/>
      <x:c r="C1699" s="1"/>
      <x:c r="D1699" s="1"/>
      <x:c r="E1699" s="1"/>
      <x:c r="F1699" s="1"/>
      <x:c r="G1699" s="1"/>
      <x:c r="H1699" s="1"/>
      <x:c r="I1699" s="1"/>
      <x:c r="J1699" s="1"/>
      <x:c r="K1699" s="1"/>
      <x:c r="L1699" s="1"/>
      <x:c r="M1699" s="1"/>
      <x:c r="N1699" s="1"/>
      <x:c r="O1699" s="1"/>
      <x:c r="P1699" s="1"/>
      <x:c r="Q1699" s="1"/>
      <x:c r="R1699" s="1"/>
      <x:c r="S1699" s="1"/>
      <x:c r="T1699" s="1"/>
      <x:c r="U1699" s="1"/>
      <x:c r="V1699" s="1"/>
    </x:row>
    <x:row r="1700">
      <x:c r="A1700" s="1"/>
      <x:c r="B1700" s="1"/>
      <x:c r="C1700" s="1"/>
      <x:c r="D1700" s="1"/>
      <x:c r="E1700" s="1"/>
      <x:c r="F1700" s="1"/>
      <x:c r="G1700" s="1"/>
      <x:c r="H1700" s="1"/>
      <x:c r="I1700" s="1"/>
      <x:c r="J1700" s="1"/>
      <x:c r="K1700" s="1"/>
      <x:c r="L1700" s="1"/>
      <x:c r="M1700" s="1"/>
      <x:c r="N1700" s="1"/>
      <x:c r="O1700" s="1"/>
      <x:c r="P1700" s="1"/>
      <x:c r="Q1700" s="1"/>
      <x:c r="R1700" s="1"/>
      <x:c r="S1700" s="1"/>
      <x:c r="T1700" s="1"/>
      <x:c r="U1700" s="1"/>
      <x:c r="V1700" s="1"/>
    </x:row>
    <x:row r="1701">
      <x:c r="A1701" s="1"/>
      <x:c r="B1701" s="1"/>
      <x:c r="C1701" s="1"/>
      <x:c r="D1701" s="1"/>
      <x:c r="E1701" s="1"/>
      <x:c r="F1701" s="1"/>
      <x:c r="G1701" s="1"/>
      <x:c r="H1701" s="1"/>
      <x:c r="I1701" s="1"/>
      <x:c r="J1701" s="1"/>
      <x:c r="K1701" s="1"/>
      <x:c r="L1701" s="1"/>
      <x:c r="M1701" s="1"/>
      <x:c r="N1701" s="1"/>
      <x:c r="O1701" s="1"/>
      <x:c r="P1701" s="1"/>
      <x:c r="Q1701" s="1"/>
      <x:c r="R1701" s="1"/>
      <x:c r="S1701" s="1"/>
      <x:c r="T1701" s="1"/>
      <x:c r="U1701" s="1"/>
      <x:c r="V1701" s="1"/>
    </x:row>
    <x:row r="1702">
      <x:c r="A1702" s="1"/>
      <x:c r="B1702" s="1"/>
      <x:c r="C1702" s="1"/>
      <x:c r="D1702" s="1"/>
      <x:c r="E1702" s="1"/>
      <x:c r="F1702" s="1"/>
      <x:c r="G1702" s="1"/>
      <x:c r="H1702" s="1"/>
      <x:c r="I1702" s="1"/>
      <x:c r="J1702" s="1"/>
      <x:c r="K1702" s="1"/>
      <x:c r="L1702" s="1"/>
      <x:c r="M1702" s="1"/>
      <x:c r="N1702" s="1"/>
      <x:c r="O1702" s="1"/>
      <x:c r="P1702" s="1"/>
      <x:c r="Q1702" s="1"/>
      <x:c r="R1702" s="1"/>
      <x:c r="S1702" s="1"/>
      <x:c r="T1702" s="1"/>
      <x:c r="U1702" s="1"/>
      <x:c r="V1702" s="1"/>
    </x:row>
    <x:row r="1703">
      <x:c r="A1703" s="1"/>
      <x:c r="B1703" s="1"/>
      <x:c r="C1703" s="1"/>
      <x:c r="D1703" s="1"/>
      <x:c r="E1703" s="1"/>
      <x:c r="F1703" s="1"/>
      <x:c r="G1703" s="1"/>
      <x:c r="H1703" s="1"/>
      <x:c r="I1703" s="1"/>
      <x:c r="J1703" s="1"/>
      <x:c r="K1703" s="1"/>
      <x:c r="L1703" s="1"/>
      <x:c r="M1703" s="1"/>
      <x:c r="N1703" s="1"/>
      <x:c r="O1703" s="1"/>
      <x:c r="P1703" s="1"/>
      <x:c r="Q1703" s="1"/>
      <x:c r="R1703" s="1"/>
      <x:c r="S1703" s="1"/>
      <x:c r="T1703" s="1"/>
      <x:c r="U1703" s="1"/>
      <x:c r="V1703" s="1"/>
    </x:row>
    <x:row r="1704">
      <x:c r="A1704" s="1"/>
      <x:c r="B1704" s="1"/>
      <x:c r="C1704" s="1"/>
      <x:c r="D1704" s="1"/>
      <x:c r="E1704" s="1"/>
      <x:c r="F1704" s="1"/>
      <x:c r="G1704" s="1"/>
      <x:c r="H1704" s="1"/>
      <x:c r="I1704" s="1"/>
      <x:c r="J1704" s="1"/>
      <x:c r="K1704" s="1"/>
      <x:c r="L1704" s="1"/>
      <x:c r="M1704" s="1"/>
      <x:c r="N1704" s="1"/>
      <x:c r="O1704" s="1"/>
      <x:c r="P1704" s="1"/>
      <x:c r="Q1704" s="1"/>
      <x:c r="R1704" s="1"/>
      <x:c r="S1704" s="1"/>
      <x:c r="T1704" s="1"/>
      <x:c r="U1704" s="1"/>
      <x:c r="V1704" s="1"/>
    </x:row>
    <x:row r="1705">
      <x:c r="A1705" s="1"/>
      <x:c r="B1705" s="1"/>
      <x:c r="C1705" s="1"/>
      <x:c r="D1705" s="1"/>
      <x:c r="E1705" s="1"/>
      <x:c r="F1705" s="1"/>
      <x:c r="G1705" s="1"/>
      <x:c r="H1705" s="1"/>
      <x:c r="I1705" s="1"/>
      <x:c r="J1705" s="1"/>
      <x:c r="K1705" s="1"/>
      <x:c r="L1705" s="1"/>
      <x:c r="M1705" s="1"/>
      <x:c r="N1705" s="1"/>
      <x:c r="O1705" s="1"/>
      <x:c r="P1705" s="1"/>
      <x:c r="Q1705" s="1"/>
      <x:c r="R1705" s="1"/>
      <x:c r="S1705" s="1"/>
      <x:c r="T1705" s="1"/>
      <x:c r="U1705" s="1"/>
      <x:c r="V1705" s="1"/>
    </x:row>
    <x:row r="1706">
      <x:c r="A1706" s="1"/>
      <x:c r="B1706" s="1"/>
      <x:c r="C1706" s="1"/>
      <x:c r="D1706" s="1"/>
      <x:c r="E1706" s="1"/>
      <x:c r="F1706" s="1"/>
      <x:c r="G1706" s="1"/>
      <x:c r="H1706" s="1"/>
      <x:c r="I1706" s="1"/>
      <x:c r="J1706" s="1"/>
      <x:c r="K1706" s="1"/>
      <x:c r="L1706" s="1"/>
      <x:c r="M1706" s="1"/>
      <x:c r="N1706" s="1"/>
      <x:c r="O1706" s="1"/>
      <x:c r="P1706" s="1"/>
      <x:c r="Q1706" s="1"/>
      <x:c r="R1706" s="1"/>
      <x:c r="S1706" s="1"/>
      <x:c r="T1706" s="1"/>
      <x:c r="U1706" s="1"/>
      <x:c r="V1706" s="1"/>
    </x:row>
    <x:row r="1707">
      <x:c r="A1707" s="1"/>
      <x:c r="B1707" s="1"/>
      <x:c r="C1707" s="1"/>
      <x:c r="D1707" s="1"/>
      <x:c r="E1707" s="1"/>
      <x:c r="F1707" s="1"/>
      <x:c r="G1707" s="1"/>
      <x:c r="H1707" s="1"/>
      <x:c r="I1707" s="1"/>
      <x:c r="J1707" s="1"/>
      <x:c r="K1707" s="1"/>
      <x:c r="L1707" s="1"/>
      <x:c r="M1707" s="1"/>
      <x:c r="N1707" s="1"/>
      <x:c r="O1707" s="1"/>
      <x:c r="P1707" s="1"/>
      <x:c r="Q1707" s="1"/>
      <x:c r="R1707" s="1"/>
      <x:c r="S1707" s="1"/>
      <x:c r="T1707" s="1"/>
      <x:c r="U1707" s="1"/>
      <x:c r="V1707" s="1"/>
    </x:row>
    <x:row r="1708">
      <x:c r="A1708" s="1"/>
      <x:c r="B1708" s="1"/>
      <x:c r="C1708" s="1"/>
      <x:c r="D1708" s="1"/>
      <x:c r="E1708" s="1"/>
      <x:c r="F1708" s="1"/>
      <x:c r="G1708" s="1"/>
      <x:c r="H1708" s="1"/>
      <x:c r="I1708" s="1"/>
      <x:c r="J1708" s="1"/>
      <x:c r="K1708" s="1"/>
      <x:c r="L1708" s="1"/>
      <x:c r="M1708" s="1"/>
      <x:c r="N1708" s="1"/>
      <x:c r="O1708" s="1"/>
      <x:c r="P1708" s="1"/>
      <x:c r="Q1708" s="1"/>
      <x:c r="R1708" s="1"/>
      <x:c r="S1708" s="1"/>
      <x:c r="T1708" s="1"/>
      <x:c r="U1708" s="1"/>
      <x:c r="V1708" s="1"/>
    </x:row>
    <x:row r="1709">
      <x:c r="A1709" s="1"/>
      <x:c r="B1709" s="1"/>
      <x:c r="C1709" s="1"/>
      <x:c r="D1709" s="1"/>
      <x:c r="E1709" s="1"/>
      <x:c r="F1709" s="1"/>
      <x:c r="G1709" s="1"/>
      <x:c r="H1709" s="1"/>
      <x:c r="I1709" s="1"/>
      <x:c r="J1709" s="1"/>
      <x:c r="K1709" s="1"/>
      <x:c r="L1709" s="1"/>
      <x:c r="M1709" s="1"/>
      <x:c r="N1709" s="1"/>
      <x:c r="O1709" s="1"/>
      <x:c r="P1709" s="1"/>
      <x:c r="Q1709" s="1"/>
      <x:c r="R1709" s="1"/>
      <x:c r="S1709" s="1"/>
      <x:c r="T1709" s="1"/>
      <x:c r="U1709" s="1"/>
      <x:c r="V1709" s="1"/>
    </x:row>
    <x:row r="1710">
      <x:c r="A1710" s="1"/>
      <x:c r="B1710" s="1"/>
      <x:c r="C1710" s="1"/>
      <x:c r="D1710" s="1"/>
      <x:c r="E1710" s="1"/>
      <x:c r="F1710" s="1"/>
      <x:c r="G1710" s="1"/>
      <x:c r="H1710" s="1"/>
      <x:c r="I1710" s="1"/>
      <x:c r="J1710" s="1"/>
      <x:c r="K1710" s="1"/>
      <x:c r="L1710" s="1"/>
      <x:c r="M1710" s="1"/>
      <x:c r="N1710" s="1"/>
      <x:c r="O1710" s="1"/>
      <x:c r="P1710" s="1"/>
      <x:c r="Q1710" s="1"/>
      <x:c r="R1710" s="1"/>
      <x:c r="S1710" s="1"/>
      <x:c r="T1710" s="1"/>
      <x:c r="U1710" s="1"/>
      <x:c r="V1710" s="1"/>
    </x:row>
    <x:row r="1711">
      <x:c r="A1711" s="1"/>
      <x:c r="B1711" s="1"/>
      <x:c r="C1711" s="1"/>
      <x:c r="D1711" s="1"/>
      <x:c r="E1711" s="1"/>
      <x:c r="F1711" s="1"/>
      <x:c r="G1711" s="1"/>
      <x:c r="H1711" s="1"/>
      <x:c r="I1711" s="1"/>
      <x:c r="J1711" s="1"/>
      <x:c r="K1711" s="1"/>
      <x:c r="L1711" s="1"/>
      <x:c r="M1711" s="1"/>
      <x:c r="N1711" s="1"/>
      <x:c r="O1711" s="1"/>
      <x:c r="P1711" s="1"/>
      <x:c r="Q1711" s="1"/>
      <x:c r="R1711" s="1"/>
      <x:c r="S1711" s="1"/>
      <x:c r="T1711" s="1"/>
      <x:c r="U1711" s="1"/>
      <x:c r="V1711" s="1"/>
    </x:row>
    <x:row r="1712">
      <x:c r="A1712" s="1"/>
      <x:c r="B1712" s="1"/>
      <x:c r="C1712" s="1"/>
      <x:c r="D1712" s="1"/>
      <x:c r="E1712" s="1"/>
      <x:c r="F1712" s="1"/>
      <x:c r="G1712" s="1"/>
      <x:c r="H1712" s="1"/>
      <x:c r="I1712" s="1"/>
      <x:c r="J1712" s="1"/>
      <x:c r="K1712" s="1"/>
      <x:c r="L1712" s="1"/>
      <x:c r="M1712" s="1"/>
      <x:c r="N1712" s="1"/>
      <x:c r="O1712" s="1"/>
      <x:c r="P1712" s="1"/>
      <x:c r="Q1712" s="1"/>
      <x:c r="R1712" s="1"/>
      <x:c r="S1712" s="1"/>
      <x:c r="T1712" s="1"/>
      <x:c r="U1712" s="1"/>
      <x:c r="V1712" s="1"/>
    </x:row>
    <x:row r="1713">
      <x:c r="A1713" s="1"/>
      <x:c r="B1713" s="1"/>
      <x:c r="C1713" s="1"/>
      <x:c r="D1713" s="1"/>
      <x:c r="E1713" s="1"/>
      <x:c r="F1713" s="1"/>
      <x:c r="G1713" s="1"/>
      <x:c r="H1713" s="1"/>
      <x:c r="I1713" s="1"/>
      <x:c r="J1713" s="1"/>
      <x:c r="K1713" s="1"/>
      <x:c r="L1713" s="1"/>
      <x:c r="M1713" s="1"/>
      <x:c r="N1713" s="1"/>
      <x:c r="O1713" s="1"/>
      <x:c r="P1713" s="1"/>
      <x:c r="Q1713" s="1"/>
      <x:c r="R1713" s="1"/>
      <x:c r="S1713" s="1"/>
      <x:c r="T1713" s="1"/>
      <x:c r="U1713" s="1"/>
      <x:c r="V1713" s="1"/>
    </x:row>
    <x:row r="1714">
      <x:c r="A1714" s="1"/>
      <x:c r="B1714" s="1"/>
      <x:c r="C1714" s="1"/>
      <x:c r="D1714" s="1"/>
      <x:c r="E1714" s="1"/>
      <x:c r="F1714" s="1"/>
      <x:c r="G1714" s="1"/>
      <x:c r="H1714" s="1"/>
      <x:c r="I1714" s="1"/>
      <x:c r="J1714" s="1"/>
      <x:c r="K1714" s="1"/>
      <x:c r="L1714" s="1"/>
      <x:c r="M1714" s="1"/>
      <x:c r="N1714" s="1"/>
      <x:c r="O1714" s="1"/>
      <x:c r="P1714" s="1"/>
      <x:c r="Q1714" s="1"/>
      <x:c r="R1714" s="1"/>
      <x:c r="S1714" s="1"/>
      <x:c r="T1714" s="1"/>
      <x:c r="U1714" s="1"/>
      <x:c r="V1714" s="1"/>
    </x:row>
    <x:row r="1715">
      <x:c r="A1715" s="1"/>
      <x:c r="B1715" s="1"/>
      <x:c r="C1715" s="1"/>
      <x:c r="D1715" s="1"/>
      <x:c r="E1715" s="1"/>
      <x:c r="F1715" s="1"/>
      <x:c r="G1715" s="1"/>
      <x:c r="H1715" s="1"/>
      <x:c r="I1715" s="1"/>
      <x:c r="J1715" s="1"/>
      <x:c r="K1715" s="1"/>
      <x:c r="L1715" s="1"/>
      <x:c r="M1715" s="1"/>
      <x:c r="N1715" s="1"/>
      <x:c r="O1715" s="1"/>
      <x:c r="P1715" s="1"/>
      <x:c r="Q1715" s="1"/>
      <x:c r="R1715" s="1"/>
      <x:c r="S1715" s="1"/>
      <x:c r="T1715" s="1"/>
      <x:c r="U1715" s="1"/>
      <x:c r="V1715" s="1"/>
    </x:row>
    <x:row r="1716">
      <x:c r="A1716" s="1"/>
      <x:c r="B1716" s="1"/>
      <x:c r="C1716" s="1"/>
      <x:c r="D1716" s="1"/>
      <x:c r="E1716" s="1"/>
      <x:c r="F1716" s="1"/>
      <x:c r="G1716" s="1"/>
      <x:c r="H1716" s="1"/>
      <x:c r="I1716" s="1"/>
      <x:c r="J1716" s="1"/>
      <x:c r="K1716" s="1"/>
      <x:c r="L1716" s="1"/>
      <x:c r="M1716" s="1"/>
      <x:c r="N1716" s="1"/>
      <x:c r="O1716" s="1"/>
      <x:c r="P1716" s="1"/>
      <x:c r="Q1716" s="1"/>
      <x:c r="R1716" s="1"/>
      <x:c r="S1716" s="1"/>
      <x:c r="T1716" s="1"/>
      <x:c r="U1716" s="1"/>
      <x:c r="V1716" s="1"/>
    </x:row>
    <x:row r="1717">
      <x:c r="A1717" s="1"/>
      <x:c r="B1717" s="1"/>
      <x:c r="C1717" s="1"/>
      <x:c r="D1717" s="1"/>
      <x:c r="E1717" s="1"/>
      <x:c r="F1717" s="1"/>
      <x:c r="G1717" s="1"/>
      <x:c r="H1717" s="1"/>
      <x:c r="I1717" s="1"/>
      <x:c r="J1717" s="1"/>
      <x:c r="K1717" s="1"/>
      <x:c r="L1717" s="1"/>
      <x:c r="M1717" s="1"/>
      <x:c r="N1717" s="1"/>
      <x:c r="O1717" s="1"/>
      <x:c r="P1717" s="1"/>
      <x:c r="Q1717" s="1"/>
      <x:c r="R1717" s="1"/>
      <x:c r="S1717" s="1"/>
      <x:c r="T1717" s="1"/>
      <x:c r="U1717" s="1"/>
      <x:c r="V1717" s="1"/>
    </x:row>
    <x:row r="1718">
      <x:c r="A1718" s="1"/>
      <x:c r="B1718" s="1"/>
      <x:c r="C1718" s="1"/>
      <x:c r="D1718" s="1"/>
      <x:c r="E1718" s="1"/>
      <x:c r="F1718" s="1"/>
      <x:c r="G1718" s="1"/>
      <x:c r="H1718" s="1"/>
      <x:c r="I1718" s="1"/>
      <x:c r="J1718" s="1"/>
      <x:c r="K1718" s="1"/>
      <x:c r="L1718" s="1"/>
      <x:c r="M1718" s="1"/>
      <x:c r="N1718" s="1"/>
      <x:c r="O1718" s="1"/>
      <x:c r="P1718" s="1"/>
      <x:c r="Q1718" s="1"/>
      <x:c r="R1718" s="1"/>
      <x:c r="S1718" s="1"/>
      <x:c r="T1718" s="1"/>
      <x:c r="U1718" s="1"/>
      <x:c r="V1718" s="1"/>
    </x:row>
    <x:row r="1719">
      <x:c r="A1719" s="1"/>
      <x:c r="B1719" s="1"/>
      <x:c r="C1719" s="1"/>
      <x:c r="D1719" s="1"/>
      <x:c r="E1719" s="1"/>
      <x:c r="F1719" s="1"/>
      <x:c r="G1719" s="1"/>
      <x:c r="H1719" s="1"/>
      <x:c r="I1719" s="1"/>
      <x:c r="J1719" s="1"/>
      <x:c r="K1719" s="1"/>
      <x:c r="L1719" s="1"/>
      <x:c r="M1719" s="1"/>
      <x:c r="N1719" s="1"/>
      <x:c r="O1719" s="1"/>
      <x:c r="P1719" s="1"/>
      <x:c r="Q1719" s="1"/>
      <x:c r="R1719" s="1"/>
      <x:c r="S1719" s="1"/>
      <x:c r="T1719" s="1"/>
      <x:c r="U1719" s="1"/>
      <x:c r="V1719" s="1"/>
    </x:row>
    <x:row r="1720">
      <x:c r="A1720" s="1"/>
      <x:c r="B1720" s="1"/>
      <x:c r="C1720" s="1"/>
      <x:c r="D1720" s="1"/>
      <x:c r="E1720" s="1"/>
      <x:c r="F1720" s="1"/>
      <x:c r="G1720" s="1"/>
      <x:c r="H1720" s="1"/>
      <x:c r="I1720" s="1"/>
      <x:c r="J1720" s="1"/>
      <x:c r="K1720" s="1"/>
      <x:c r="L1720" s="1"/>
      <x:c r="M1720" s="1"/>
      <x:c r="N1720" s="1"/>
      <x:c r="O1720" s="1"/>
      <x:c r="P1720" s="1"/>
      <x:c r="Q1720" s="1"/>
      <x:c r="R1720" s="1"/>
      <x:c r="S1720" s="1"/>
      <x:c r="T1720" s="1"/>
      <x:c r="U1720" s="1"/>
      <x:c r="V1720" s="1"/>
    </x:row>
    <x:row r="1721">
      <x:c r="A1721" s="1"/>
      <x:c r="B1721" s="1"/>
      <x:c r="C1721" s="1"/>
      <x:c r="D1721" s="1"/>
      <x:c r="E1721" s="1"/>
      <x:c r="F1721" s="1"/>
      <x:c r="G1721" s="1"/>
      <x:c r="H1721" s="1"/>
      <x:c r="I1721" s="1"/>
      <x:c r="J1721" s="1"/>
      <x:c r="K1721" s="1"/>
      <x:c r="L1721" s="1"/>
      <x:c r="M1721" s="1"/>
      <x:c r="N1721" s="1"/>
      <x:c r="O1721" s="1"/>
      <x:c r="P1721" s="1"/>
      <x:c r="Q1721" s="1"/>
      <x:c r="R1721" s="1"/>
      <x:c r="S1721" s="1"/>
      <x:c r="T1721" s="1"/>
      <x:c r="U1721" s="1"/>
      <x:c r="V1721" s="1"/>
    </x:row>
    <x:row r="1722">
      <x:c r="A1722" s="1"/>
      <x:c r="B1722" s="1"/>
      <x:c r="C1722" s="1"/>
      <x:c r="D1722" s="1"/>
      <x:c r="E1722" s="1"/>
      <x:c r="F1722" s="1"/>
      <x:c r="G1722" s="1"/>
      <x:c r="H1722" s="1"/>
      <x:c r="I1722" s="1"/>
      <x:c r="J1722" s="1"/>
      <x:c r="K1722" s="1"/>
      <x:c r="L1722" s="1"/>
      <x:c r="M1722" s="1"/>
      <x:c r="N1722" s="1"/>
      <x:c r="O1722" s="1"/>
      <x:c r="P1722" s="1"/>
      <x:c r="Q1722" s="1"/>
      <x:c r="R1722" s="1"/>
      <x:c r="S1722" s="1"/>
      <x:c r="T1722" s="1"/>
      <x:c r="U1722" s="1"/>
      <x:c r="V1722" s="1"/>
    </x:row>
    <x:row r="1723">
      <x:c r="A1723" s="1"/>
      <x:c r="B1723" s="1"/>
      <x:c r="C1723" s="1"/>
      <x:c r="D1723" s="1"/>
      <x:c r="E1723" s="1"/>
      <x:c r="F1723" s="1"/>
      <x:c r="G1723" s="1"/>
      <x:c r="H1723" s="1"/>
      <x:c r="I1723" s="1"/>
      <x:c r="J1723" s="1"/>
      <x:c r="K1723" s="1"/>
      <x:c r="L1723" s="1"/>
      <x:c r="M1723" s="1"/>
      <x:c r="N1723" s="1"/>
      <x:c r="O1723" s="1"/>
      <x:c r="P1723" s="1"/>
      <x:c r="Q1723" s="1"/>
      <x:c r="R1723" s="1"/>
      <x:c r="S1723" s="1"/>
      <x:c r="T1723" s="1"/>
      <x:c r="U1723" s="1"/>
      <x:c r="V1723" s="1"/>
    </x:row>
    <x:row r="1724">
      <x:c r="A1724" s="1"/>
      <x:c r="B1724" s="1"/>
      <x:c r="C1724" s="1"/>
      <x:c r="D1724" s="1"/>
      <x:c r="E1724" s="1"/>
      <x:c r="F1724" s="1"/>
      <x:c r="G1724" s="1"/>
      <x:c r="H1724" s="1"/>
      <x:c r="I1724" s="1"/>
      <x:c r="J1724" s="1"/>
      <x:c r="K1724" s="1"/>
      <x:c r="L1724" s="1"/>
      <x:c r="M1724" s="1"/>
      <x:c r="N1724" s="1"/>
      <x:c r="O1724" s="1"/>
      <x:c r="P1724" s="1"/>
      <x:c r="Q1724" s="1"/>
      <x:c r="R1724" s="1"/>
      <x:c r="S1724" s="1"/>
      <x:c r="T1724" s="1"/>
      <x:c r="U1724" s="1"/>
      <x:c r="V1724" s="1"/>
    </x:row>
    <x:row r="1725">
      <x:c r="A1725" s="1"/>
      <x:c r="B1725" s="1"/>
      <x:c r="C1725" s="1"/>
      <x:c r="D1725" s="1"/>
      <x:c r="E1725" s="1"/>
      <x:c r="F1725" s="1"/>
      <x:c r="G1725" s="1"/>
      <x:c r="H1725" s="1"/>
      <x:c r="I1725" s="1"/>
      <x:c r="J1725" s="1"/>
      <x:c r="K1725" s="1"/>
      <x:c r="L1725" s="1"/>
      <x:c r="M1725" s="1"/>
      <x:c r="N1725" s="1"/>
      <x:c r="O1725" s="1"/>
      <x:c r="P1725" s="1"/>
      <x:c r="Q1725" s="1"/>
      <x:c r="R1725" s="1"/>
      <x:c r="S1725" s="1"/>
      <x:c r="T1725" s="1"/>
      <x:c r="U1725" s="1"/>
      <x:c r="V1725" s="1"/>
    </x:row>
    <x:row r="1726">
      <x:c r="A1726" s="1"/>
      <x:c r="B1726" s="1"/>
      <x:c r="C1726" s="1"/>
      <x:c r="D1726" s="1"/>
      <x:c r="E1726" s="1"/>
      <x:c r="F1726" s="1"/>
      <x:c r="G1726" s="1"/>
      <x:c r="H1726" s="1"/>
      <x:c r="I1726" s="1"/>
      <x:c r="J1726" s="1"/>
      <x:c r="K1726" s="1"/>
      <x:c r="L1726" s="1"/>
      <x:c r="M1726" s="1"/>
      <x:c r="N1726" s="1"/>
      <x:c r="O1726" s="1"/>
      <x:c r="P1726" s="1"/>
      <x:c r="Q1726" s="1"/>
      <x:c r="R1726" s="1"/>
      <x:c r="S1726" s="1"/>
      <x:c r="T1726" s="1"/>
      <x:c r="U1726" s="1"/>
      <x:c r="V1726" s="1"/>
    </x:row>
    <x:row r="1727">
      <x:c r="A1727" s="1"/>
      <x:c r="B1727" s="1"/>
      <x:c r="C1727" s="1"/>
      <x:c r="D1727" s="1"/>
      <x:c r="E1727" s="1"/>
      <x:c r="F1727" s="1"/>
      <x:c r="G1727" s="1"/>
      <x:c r="H1727" s="1"/>
      <x:c r="I1727" s="1"/>
      <x:c r="J1727" s="1"/>
      <x:c r="K1727" s="1"/>
      <x:c r="L1727" s="1"/>
      <x:c r="M1727" s="1"/>
      <x:c r="N1727" s="1"/>
      <x:c r="O1727" s="1"/>
      <x:c r="P1727" s="1"/>
      <x:c r="Q1727" s="1"/>
      <x:c r="R1727" s="1"/>
      <x:c r="S1727" s="1"/>
      <x:c r="T1727" s="1"/>
      <x:c r="U1727" s="1"/>
      <x:c r="V1727" s="1"/>
    </x:row>
    <x:row r="1728">
      <x:c r="A1728" s="1"/>
      <x:c r="B1728" s="1"/>
      <x:c r="C1728" s="1"/>
      <x:c r="D1728" s="1"/>
      <x:c r="E1728" s="1"/>
      <x:c r="F1728" s="1"/>
      <x:c r="G1728" s="1"/>
      <x:c r="H1728" s="1"/>
      <x:c r="I1728" s="1"/>
      <x:c r="J1728" s="1"/>
      <x:c r="K1728" s="1"/>
      <x:c r="L1728" s="1"/>
      <x:c r="M1728" s="1"/>
      <x:c r="N1728" s="1"/>
      <x:c r="O1728" s="1"/>
      <x:c r="P1728" s="1"/>
      <x:c r="Q1728" s="1"/>
      <x:c r="R1728" s="1"/>
      <x:c r="S1728" s="1"/>
      <x:c r="T1728" s="1"/>
      <x:c r="U1728" s="1"/>
      <x:c r="V1728" s="1"/>
    </x:row>
    <x:row r="1729">
      <x:c r="A1729" s="1"/>
      <x:c r="B1729" s="1"/>
      <x:c r="C1729" s="1"/>
      <x:c r="D1729" s="1"/>
      <x:c r="E1729" s="1"/>
      <x:c r="F1729" s="1"/>
      <x:c r="G1729" s="1"/>
      <x:c r="H1729" s="1"/>
      <x:c r="I1729" s="1"/>
      <x:c r="J1729" s="1"/>
      <x:c r="K1729" s="1"/>
      <x:c r="L1729" s="1"/>
      <x:c r="M1729" s="1"/>
      <x:c r="N1729" s="1"/>
      <x:c r="O1729" s="1"/>
      <x:c r="P1729" s="1"/>
      <x:c r="Q1729" s="1"/>
      <x:c r="R1729" s="1"/>
      <x:c r="S1729" s="1"/>
      <x:c r="T1729" s="1"/>
      <x:c r="U1729" s="1"/>
      <x:c r="V1729" s="1"/>
    </x:row>
    <x:row r="1730">
      <x:c r="A1730" s="1"/>
      <x:c r="B1730" s="1"/>
      <x:c r="C1730" s="1"/>
      <x:c r="D1730" s="1"/>
      <x:c r="E1730" s="1"/>
      <x:c r="F1730" s="1"/>
      <x:c r="G1730" s="1"/>
      <x:c r="H1730" s="1"/>
      <x:c r="I1730" s="1"/>
      <x:c r="J1730" s="1"/>
      <x:c r="K1730" s="1"/>
      <x:c r="L1730" s="1"/>
      <x:c r="M1730" s="1"/>
      <x:c r="N1730" s="1"/>
      <x:c r="O1730" s="1"/>
      <x:c r="P1730" s="1"/>
      <x:c r="Q1730" s="1"/>
      <x:c r="R1730" s="1"/>
      <x:c r="S1730" s="1"/>
      <x:c r="T1730" s="1"/>
      <x:c r="U1730" s="1"/>
      <x:c r="V1730" s="1"/>
    </x:row>
    <x:row r="1731">
      <x:c r="A1731" s="1"/>
      <x:c r="B1731" s="1"/>
      <x:c r="C1731" s="1"/>
      <x:c r="D1731" s="1"/>
      <x:c r="E1731" s="1"/>
      <x:c r="F1731" s="1"/>
      <x:c r="G1731" s="1"/>
      <x:c r="H1731" s="1"/>
      <x:c r="I1731" s="1"/>
      <x:c r="J1731" s="1"/>
      <x:c r="K1731" s="1"/>
      <x:c r="L1731" s="1"/>
      <x:c r="M1731" s="1"/>
      <x:c r="N1731" s="1"/>
      <x:c r="O1731" s="1"/>
      <x:c r="P1731" s="1"/>
      <x:c r="Q1731" s="1"/>
      <x:c r="R1731" s="1"/>
      <x:c r="S1731" s="1"/>
      <x:c r="T1731" s="1"/>
      <x:c r="U1731" s="1"/>
      <x:c r="V1731" s="1"/>
    </x:row>
    <x:row r="1732">
      <x:c r="A1732" s="1"/>
      <x:c r="B1732" s="1"/>
      <x:c r="C1732" s="1"/>
      <x:c r="D1732" s="1"/>
      <x:c r="E1732" s="1"/>
      <x:c r="F1732" s="1"/>
      <x:c r="G1732" s="1"/>
      <x:c r="H1732" s="1"/>
      <x:c r="I1732" s="1"/>
      <x:c r="J1732" s="1"/>
      <x:c r="K1732" s="1"/>
      <x:c r="L1732" s="1"/>
      <x:c r="M1732" s="1"/>
      <x:c r="N1732" s="1"/>
      <x:c r="O1732" s="1"/>
      <x:c r="P1732" s="1"/>
      <x:c r="Q1732" s="1"/>
      <x:c r="R1732" s="1"/>
      <x:c r="S1732" s="1"/>
      <x:c r="T1732" s="1"/>
      <x:c r="U1732" s="1"/>
      <x:c r="V1732" s="1"/>
    </x:row>
    <x:row r="1733">
      <x:c r="A1733" s="1"/>
      <x:c r="B1733" s="1"/>
      <x:c r="C1733" s="1"/>
      <x:c r="D1733" s="1"/>
      <x:c r="E1733" s="1"/>
      <x:c r="F1733" s="1"/>
      <x:c r="G1733" s="1"/>
      <x:c r="H1733" s="1"/>
      <x:c r="I1733" s="1"/>
      <x:c r="J1733" s="1"/>
      <x:c r="K1733" s="1"/>
      <x:c r="L1733" s="1"/>
      <x:c r="M1733" s="1"/>
      <x:c r="N1733" s="1"/>
      <x:c r="O1733" s="1"/>
      <x:c r="P1733" s="1"/>
      <x:c r="Q1733" s="1"/>
      <x:c r="R1733" s="1"/>
      <x:c r="S1733" s="1"/>
      <x:c r="T1733" s="1"/>
      <x:c r="U1733" s="1"/>
      <x:c r="V1733" s="1"/>
    </x:row>
    <x:row r="1734">
      <x:c r="A1734" s="1"/>
      <x:c r="B1734" s="1"/>
      <x:c r="C1734" s="1"/>
      <x:c r="D1734" s="1"/>
      <x:c r="E1734" s="1"/>
      <x:c r="F1734" s="1"/>
      <x:c r="G1734" s="1"/>
      <x:c r="H1734" s="1"/>
      <x:c r="I1734" s="1"/>
      <x:c r="J1734" s="1"/>
      <x:c r="K1734" s="1"/>
      <x:c r="L1734" s="1"/>
      <x:c r="M1734" s="1"/>
      <x:c r="N1734" s="1"/>
      <x:c r="O1734" s="1"/>
      <x:c r="P1734" s="1"/>
      <x:c r="Q1734" s="1"/>
      <x:c r="R1734" s="1"/>
      <x:c r="S1734" s="1"/>
      <x:c r="T1734" s="1"/>
      <x:c r="U1734" s="1"/>
      <x:c r="V1734" s="1"/>
    </x:row>
    <x:row r="1735">
      <x:c r="A1735" s="1"/>
      <x:c r="B1735" s="1"/>
      <x:c r="C1735" s="1"/>
      <x:c r="D1735" s="1"/>
      <x:c r="E1735" s="1"/>
      <x:c r="F1735" s="1"/>
      <x:c r="G1735" s="1"/>
      <x:c r="H1735" s="1"/>
      <x:c r="I1735" s="1"/>
      <x:c r="J1735" s="1"/>
      <x:c r="K1735" s="1"/>
      <x:c r="L1735" s="1"/>
      <x:c r="M1735" s="1"/>
      <x:c r="N1735" s="1"/>
      <x:c r="O1735" s="1"/>
      <x:c r="P1735" s="1"/>
      <x:c r="Q1735" s="1"/>
      <x:c r="R1735" s="1"/>
      <x:c r="S1735" s="1"/>
      <x:c r="T1735" s="1"/>
      <x:c r="U1735" s="1"/>
      <x:c r="V1735" s="1"/>
    </x:row>
    <x:row r="1736">
      <x:c r="A1736" s="1"/>
      <x:c r="B1736" s="1"/>
      <x:c r="C1736" s="1"/>
      <x:c r="D1736" s="1"/>
      <x:c r="E1736" s="1"/>
      <x:c r="F1736" s="1"/>
      <x:c r="G1736" s="1"/>
      <x:c r="H1736" s="1"/>
      <x:c r="I1736" s="1"/>
      <x:c r="J1736" s="1"/>
      <x:c r="K1736" s="1"/>
      <x:c r="L1736" s="1"/>
      <x:c r="M1736" s="1"/>
      <x:c r="N1736" s="1"/>
      <x:c r="O1736" s="1"/>
      <x:c r="P1736" s="1"/>
      <x:c r="Q1736" s="1"/>
      <x:c r="R1736" s="1"/>
      <x:c r="S1736" s="1"/>
      <x:c r="T1736" s="1"/>
      <x:c r="U1736" s="1"/>
      <x:c r="V1736" s="1"/>
    </x:row>
    <x:row r="1737">
      <x:c r="A1737" s="1"/>
      <x:c r="B1737" s="1"/>
      <x:c r="C1737" s="1"/>
      <x:c r="D1737" s="1"/>
      <x:c r="E1737" s="1"/>
      <x:c r="F1737" s="1"/>
      <x:c r="G1737" s="1"/>
      <x:c r="H1737" s="1"/>
      <x:c r="I1737" s="1"/>
      <x:c r="J1737" s="1"/>
      <x:c r="K1737" s="1"/>
      <x:c r="L1737" s="1"/>
      <x:c r="M1737" s="1"/>
      <x:c r="N1737" s="1"/>
      <x:c r="O1737" s="1"/>
      <x:c r="P1737" s="1"/>
      <x:c r="Q1737" s="1"/>
      <x:c r="R1737" s="1"/>
      <x:c r="S1737" s="1"/>
      <x:c r="T1737" s="1"/>
      <x:c r="U1737" s="1"/>
      <x:c r="V1737" s="1"/>
    </x:row>
    <x:row r="1738">
      <x:c r="A1738" s="1"/>
      <x:c r="B1738" s="1"/>
      <x:c r="C1738" s="1"/>
      <x:c r="D1738" s="1"/>
      <x:c r="E1738" s="1"/>
      <x:c r="F1738" s="1"/>
      <x:c r="G1738" s="1"/>
      <x:c r="H1738" s="1"/>
      <x:c r="I1738" s="1"/>
      <x:c r="J1738" s="1"/>
      <x:c r="K1738" s="1"/>
      <x:c r="L1738" s="1"/>
      <x:c r="M1738" s="1"/>
      <x:c r="N1738" s="1"/>
      <x:c r="O1738" s="1"/>
      <x:c r="P1738" s="1"/>
      <x:c r="Q1738" s="1"/>
      <x:c r="R1738" s="1"/>
      <x:c r="S1738" s="1"/>
      <x:c r="T1738" s="1"/>
      <x:c r="U1738" s="1"/>
      <x:c r="V1738" s="1"/>
    </x:row>
    <x:row r="1739">
      <x:c r="A1739" s="1"/>
      <x:c r="B1739" s="1"/>
      <x:c r="C1739" s="1"/>
      <x:c r="D1739" s="1"/>
      <x:c r="E1739" s="1"/>
      <x:c r="F1739" s="1"/>
      <x:c r="G1739" s="1"/>
      <x:c r="H1739" s="1"/>
      <x:c r="I1739" s="1"/>
      <x:c r="J1739" s="1"/>
      <x:c r="K1739" s="1"/>
      <x:c r="L1739" s="1"/>
      <x:c r="M1739" s="1"/>
      <x:c r="N1739" s="1"/>
      <x:c r="O1739" s="1"/>
      <x:c r="P1739" s="1"/>
      <x:c r="Q1739" s="1"/>
      <x:c r="R1739" s="1"/>
      <x:c r="S1739" s="1"/>
      <x:c r="T1739" s="1"/>
      <x:c r="U1739" s="1"/>
      <x:c r="V1739" s="1"/>
    </x:row>
    <x:row r="1740">
      <x:c r="A1740" s="1"/>
      <x:c r="B1740" s="1"/>
      <x:c r="C1740" s="1"/>
      <x:c r="D1740" s="1"/>
      <x:c r="E1740" s="1"/>
      <x:c r="F1740" s="1"/>
      <x:c r="G1740" s="1"/>
      <x:c r="H1740" s="1"/>
      <x:c r="I1740" s="1"/>
      <x:c r="J1740" s="1"/>
      <x:c r="K1740" s="1"/>
      <x:c r="L1740" s="1"/>
      <x:c r="M1740" s="1"/>
      <x:c r="N1740" s="1"/>
      <x:c r="O1740" s="1"/>
      <x:c r="P1740" s="1"/>
      <x:c r="Q1740" s="1"/>
      <x:c r="R1740" s="1"/>
      <x:c r="S1740" s="1"/>
      <x:c r="T1740" s="1"/>
      <x:c r="U1740" s="1"/>
      <x:c r="V1740" s="1"/>
    </x:row>
    <x:row r="1741">
      <x:c r="A1741" s="1"/>
      <x:c r="B1741" s="1"/>
      <x:c r="C1741" s="1"/>
      <x:c r="D1741" s="1"/>
      <x:c r="E1741" s="1"/>
      <x:c r="F1741" s="1"/>
      <x:c r="G1741" s="1"/>
      <x:c r="H1741" s="1"/>
      <x:c r="I1741" s="1"/>
      <x:c r="J1741" s="1"/>
      <x:c r="K1741" s="1"/>
      <x:c r="L1741" s="1"/>
      <x:c r="M1741" s="1"/>
      <x:c r="N1741" s="1"/>
      <x:c r="O1741" s="1"/>
      <x:c r="P1741" s="1"/>
      <x:c r="Q1741" s="1"/>
      <x:c r="R1741" s="1"/>
      <x:c r="S1741" s="1"/>
      <x:c r="T1741" s="1"/>
      <x:c r="U1741" s="1"/>
      <x:c r="V1741" s="1"/>
    </x:row>
    <x:row r="1742">
      <x:c r="A1742" s="1"/>
      <x:c r="B1742" s="1"/>
      <x:c r="C1742" s="1"/>
      <x:c r="D1742" s="1"/>
      <x:c r="E1742" s="1"/>
      <x:c r="F1742" s="1"/>
      <x:c r="G1742" s="1"/>
      <x:c r="H1742" s="1"/>
      <x:c r="I1742" s="1"/>
      <x:c r="J1742" s="1"/>
      <x:c r="K1742" s="1"/>
      <x:c r="L1742" s="1"/>
      <x:c r="M1742" s="1"/>
      <x:c r="N1742" s="1"/>
      <x:c r="O1742" s="1"/>
      <x:c r="P1742" s="1"/>
      <x:c r="Q1742" s="1"/>
      <x:c r="R1742" s="1"/>
      <x:c r="S1742" s="1"/>
      <x:c r="T1742" s="1"/>
      <x:c r="U1742" s="1"/>
      <x:c r="V1742" s="1"/>
    </x:row>
    <x:row r="1743">
      <x:c r="A1743" s="1"/>
      <x:c r="B1743" s="1"/>
      <x:c r="C1743" s="1"/>
      <x:c r="D1743" s="1"/>
      <x:c r="E1743" s="1"/>
      <x:c r="F1743" s="1"/>
      <x:c r="G1743" s="1"/>
      <x:c r="H1743" s="1"/>
      <x:c r="I1743" s="1"/>
      <x:c r="J1743" s="1"/>
      <x:c r="K1743" s="1"/>
      <x:c r="L1743" s="1"/>
      <x:c r="M1743" s="1"/>
      <x:c r="N1743" s="1"/>
      <x:c r="O1743" s="1"/>
      <x:c r="P1743" s="1"/>
      <x:c r="Q1743" s="1"/>
      <x:c r="R1743" s="1"/>
      <x:c r="S1743" s="1"/>
      <x:c r="T1743" s="1"/>
      <x:c r="U1743" s="1"/>
      <x:c r="V1743" s="1"/>
    </x:row>
    <x:row r="1744">
      <x:c r="A1744" s="1"/>
      <x:c r="B1744" s="1"/>
      <x:c r="C1744" s="1"/>
      <x:c r="D1744" s="1"/>
      <x:c r="E1744" s="1"/>
      <x:c r="F1744" s="1"/>
      <x:c r="G1744" s="1"/>
      <x:c r="H1744" s="1"/>
      <x:c r="I1744" s="1"/>
      <x:c r="J1744" s="1"/>
      <x:c r="K1744" s="1"/>
      <x:c r="L1744" s="1"/>
      <x:c r="M1744" s="1"/>
      <x:c r="N1744" s="1"/>
      <x:c r="O1744" s="1"/>
      <x:c r="P1744" s="1"/>
      <x:c r="Q1744" s="1"/>
      <x:c r="R1744" s="1"/>
      <x:c r="S1744" s="1"/>
      <x:c r="T1744" s="1"/>
      <x:c r="U1744" s="1"/>
      <x:c r="V1744" s="1"/>
    </x:row>
    <x:row r="1745">
      <x:c r="A1745" s="1"/>
      <x:c r="B1745" s="1"/>
      <x:c r="C1745" s="1"/>
      <x:c r="D1745" s="1"/>
      <x:c r="E1745" s="1"/>
      <x:c r="F1745" s="1"/>
      <x:c r="G1745" s="1"/>
      <x:c r="H1745" s="1"/>
      <x:c r="I1745" s="1"/>
      <x:c r="J1745" s="1"/>
      <x:c r="K1745" s="1"/>
      <x:c r="L1745" s="1"/>
      <x:c r="M1745" s="1"/>
      <x:c r="N1745" s="1"/>
      <x:c r="O1745" s="1"/>
      <x:c r="P1745" s="1"/>
      <x:c r="Q1745" s="1"/>
      <x:c r="R1745" s="1"/>
      <x:c r="S1745" s="1"/>
      <x:c r="T1745" s="1"/>
      <x:c r="U1745" s="1"/>
      <x:c r="V1745" s="1"/>
    </x:row>
    <x:row r="1746">
      <x:c r="A1746" s="1"/>
      <x:c r="B1746" s="1"/>
      <x:c r="C1746" s="1"/>
      <x:c r="D1746" s="1"/>
      <x:c r="E1746" s="1"/>
      <x:c r="F1746" s="1"/>
      <x:c r="G1746" s="1"/>
      <x:c r="H1746" s="1"/>
      <x:c r="I1746" s="1"/>
      <x:c r="J1746" s="1"/>
      <x:c r="K1746" s="1"/>
      <x:c r="L1746" s="1"/>
      <x:c r="M1746" s="1"/>
      <x:c r="N1746" s="1"/>
      <x:c r="O1746" s="1"/>
      <x:c r="P1746" s="1"/>
      <x:c r="Q1746" s="1"/>
      <x:c r="R1746" s="1"/>
      <x:c r="S1746" s="1"/>
      <x:c r="T1746" s="1"/>
      <x:c r="U1746" s="1"/>
      <x:c r="V1746" s="1"/>
    </x:row>
    <x:row r="1747">
      <x:c r="A1747" s="1"/>
      <x:c r="B1747" s="1"/>
      <x:c r="C1747" s="1"/>
      <x:c r="D1747" s="1"/>
      <x:c r="E1747" s="1"/>
      <x:c r="F1747" s="1"/>
      <x:c r="G1747" s="1"/>
      <x:c r="H1747" s="1"/>
      <x:c r="I1747" s="1"/>
      <x:c r="J1747" s="1"/>
      <x:c r="K1747" s="1"/>
      <x:c r="L1747" s="1"/>
      <x:c r="M1747" s="1"/>
      <x:c r="N1747" s="1"/>
      <x:c r="O1747" s="1"/>
      <x:c r="P1747" s="1"/>
      <x:c r="Q1747" s="1"/>
      <x:c r="R1747" s="1"/>
      <x:c r="S1747" s="1"/>
      <x:c r="T1747" s="1"/>
      <x:c r="U1747" s="1"/>
      <x:c r="V1747" s="1"/>
    </x:row>
    <x:row r="1748">
      <x:c r="A1748" s="1"/>
      <x:c r="B1748" s="1"/>
      <x:c r="C1748" s="1"/>
      <x:c r="D1748" s="1"/>
      <x:c r="E1748" s="1"/>
      <x:c r="F1748" s="1"/>
      <x:c r="G1748" s="1"/>
      <x:c r="H1748" s="1"/>
      <x:c r="I1748" s="1"/>
      <x:c r="J1748" s="1"/>
      <x:c r="K1748" s="1"/>
      <x:c r="L1748" s="1"/>
      <x:c r="M1748" s="1"/>
      <x:c r="N1748" s="1"/>
      <x:c r="O1748" s="1"/>
      <x:c r="P1748" s="1"/>
      <x:c r="Q1748" s="1"/>
      <x:c r="R1748" s="1"/>
      <x:c r="S1748" s="1"/>
      <x:c r="T1748" s="1"/>
      <x:c r="U1748" s="1"/>
      <x:c r="V1748" s="1"/>
    </x:row>
    <x:row r="1749">
      <x:c r="A1749" s="1"/>
      <x:c r="B1749" s="1"/>
      <x:c r="C1749" s="1"/>
      <x:c r="D1749" s="1"/>
      <x:c r="E1749" s="1"/>
      <x:c r="F1749" s="1"/>
      <x:c r="G1749" s="1"/>
      <x:c r="H1749" s="1"/>
      <x:c r="I1749" s="1"/>
      <x:c r="J1749" s="1"/>
      <x:c r="K1749" s="1"/>
      <x:c r="L1749" s="1"/>
      <x:c r="M1749" s="1"/>
      <x:c r="N1749" s="1"/>
      <x:c r="O1749" s="1"/>
      <x:c r="P1749" s="1"/>
      <x:c r="Q1749" s="1"/>
      <x:c r="R1749" s="1"/>
      <x:c r="S1749" s="1"/>
      <x:c r="T1749" s="1"/>
      <x:c r="U1749" s="1"/>
      <x:c r="V1749" s="1"/>
    </x:row>
    <x:row r="1750">
      <x:c r="A1750" s="1"/>
      <x:c r="B1750" s="1"/>
      <x:c r="C1750" s="1"/>
      <x:c r="D1750" s="1"/>
      <x:c r="E1750" s="1"/>
      <x:c r="F1750" s="1"/>
      <x:c r="G1750" s="1"/>
      <x:c r="H1750" s="1"/>
      <x:c r="I1750" s="1"/>
      <x:c r="J1750" s="1"/>
      <x:c r="K1750" s="1"/>
      <x:c r="L1750" s="1"/>
      <x:c r="M1750" s="1"/>
      <x:c r="N1750" s="1"/>
      <x:c r="O1750" s="1"/>
      <x:c r="P1750" s="1"/>
      <x:c r="Q1750" s="1"/>
      <x:c r="R1750" s="1"/>
      <x:c r="S1750" s="1"/>
      <x:c r="T1750" s="1"/>
      <x:c r="U1750" s="1"/>
      <x:c r="V1750" s="1"/>
    </x:row>
    <x:row r="1751">
      <x:c r="A1751" s="1"/>
      <x:c r="B1751" s="1"/>
      <x:c r="C1751" s="1"/>
      <x:c r="D1751" s="1"/>
      <x:c r="E1751" s="1"/>
      <x:c r="F1751" s="1"/>
      <x:c r="G1751" s="1"/>
      <x:c r="H1751" s="1"/>
      <x:c r="I1751" s="1"/>
      <x:c r="J1751" s="1"/>
      <x:c r="K1751" s="1"/>
      <x:c r="L1751" s="1"/>
      <x:c r="M1751" s="1"/>
      <x:c r="N1751" s="1"/>
      <x:c r="O1751" s="1"/>
      <x:c r="P1751" s="1"/>
      <x:c r="Q1751" s="1"/>
      <x:c r="R1751" s="1"/>
      <x:c r="S1751" s="1"/>
      <x:c r="T1751" s="1"/>
      <x:c r="U1751" s="1"/>
      <x:c r="V1751" s="1"/>
    </x:row>
    <x:row r="1752">
      <x:c r="A1752" s="1"/>
      <x:c r="B1752" s="1"/>
      <x:c r="C1752" s="1"/>
      <x:c r="D1752" s="1"/>
      <x:c r="E1752" s="1"/>
      <x:c r="F1752" s="1"/>
      <x:c r="G1752" s="1"/>
      <x:c r="H1752" s="1"/>
      <x:c r="I1752" s="1"/>
      <x:c r="J1752" s="1"/>
      <x:c r="K1752" s="1"/>
      <x:c r="L1752" s="1"/>
      <x:c r="M1752" s="1"/>
      <x:c r="N1752" s="1"/>
      <x:c r="O1752" s="1"/>
      <x:c r="P1752" s="1"/>
      <x:c r="Q1752" s="1"/>
      <x:c r="R1752" s="1"/>
      <x:c r="S1752" s="1"/>
      <x:c r="T1752" s="1"/>
      <x:c r="U1752" s="1"/>
      <x:c r="V1752" s="1"/>
    </x:row>
    <x:row r="1753">
      <x:c r="A1753" s="1"/>
      <x:c r="B1753" s="1"/>
      <x:c r="C1753" s="1"/>
      <x:c r="D1753" s="1"/>
      <x:c r="E1753" s="1"/>
      <x:c r="F1753" s="1"/>
      <x:c r="G1753" s="1"/>
      <x:c r="H1753" s="1"/>
      <x:c r="I1753" s="1"/>
      <x:c r="J1753" s="1"/>
      <x:c r="K1753" s="1"/>
      <x:c r="L1753" s="1"/>
      <x:c r="M1753" s="1"/>
      <x:c r="N1753" s="1"/>
      <x:c r="O1753" s="1"/>
      <x:c r="P1753" s="1"/>
      <x:c r="Q1753" s="1"/>
      <x:c r="R1753" s="1"/>
      <x:c r="S1753" s="1"/>
      <x:c r="T1753" s="1"/>
      <x:c r="U1753" s="1"/>
      <x:c r="V1753" s="1"/>
    </x:row>
    <x:row r="1754">
      <x:c r="A1754" s="1"/>
      <x:c r="B1754" s="1"/>
      <x:c r="C1754" s="1"/>
      <x:c r="D1754" s="1"/>
      <x:c r="E1754" s="1"/>
      <x:c r="F1754" s="1"/>
      <x:c r="G1754" s="1"/>
      <x:c r="H1754" s="1"/>
      <x:c r="I1754" s="1"/>
      <x:c r="J1754" s="1"/>
      <x:c r="K1754" s="1"/>
      <x:c r="L1754" s="1"/>
      <x:c r="M1754" s="1"/>
      <x:c r="N1754" s="1"/>
      <x:c r="O1754" s="1"/>
      <x:c r="P1754" s="1"/>
      <x:c r="Q1754" s="1"/>
      <x:c r="R1754" s="1"/>
      <x:c r="S1754" s="1"/>
      <x:c r="T1754" s="1"/>
      <x:c r="U1754" s="1"/>
      <x:c r="V1754" s="1"/>
    </x:row>
    <x:row r="1755">
      <x:c r="A1755" s="1"/>
      <x:c r="B1755" s="1"/>
      <x:c r="C1755" s="1"/>
      <x:c r="D1755" s="1"/>
      <x:c r="E1755" s="1"/>
      <x:c r="F1755" s="1"/>
      <x:c r="G1755" s="1"/>
      <x:c r="H1755" s="1"/>
      <x:c r="I1755" s="1"/>
      <x:c r="J1755" s="1"/>
      <x:c r="K1755" s="1"/>
      <x:c r="L1755" s="1"/>
      <x:c r="M1755" s="1"/>
      <x:c r="N1755" s="1"/>
      <x:c r="O1755" s="1"/>
      <x:c r="P1755" s="1"/>
      <x:c r="Q1755" s="1"/>
      <x:c r="R1755" s="1"/>
      <x:c r="S1755" s="1"/>
      <x:c r="T1755" s="1"/>
      <x:c r="U1755" s="1"/>
      <x:c r="V1755" s="1"/>
    </x:row>
    <x:row r="1756">
      <x:c r="A1756" s="1"/>
      <x:c r="B1756" s="1"/>
      <x:c r="C1756" s="1"/>
      <x:c r="D1756" s="1"/>
      <x:c r="E1756" s="1"/>
      <x:c r="F1756" s="1"/>
      <x:c r="G1756" s="1"/>
      <x:c r="H1756" s="1"/>
      <x:c r="I1756" s="1"/>
      <x:c r="J1756" s="1"/>
      <x:c r="K1756" s="1"/>
      <x:c r="L1756" s="1"/>
      <x:c r="M1756" s="1"/>
      <x:c r="N1756" s="1"/>
      <x:c r="O1756" s="1"/>
      <x:c r="P1756" s="1"/>
      <x:c r="Q1756" s="1"/>
      <x:c r="R1756" s="1"/>
      <x:c r="S1756" s="1"/>
      <x:c r="T1756" s="1"/>
      <x:c r="U1756" s="1"/>
      <x:c r="V1756" s="1"/>
    </x:row>
    <x:row r="1757">
      <x:c r="A1757" s="1"/>
      <x:c r="B1757" s="1"/>
      <x:c r="C1757" s="1"/>
      <x:c r="D1757" s="1"/>
      <x:c r="E1757" s="1"/>
      <x:c r="F1757" s="1"/>
      <x:c r="G1757" s="1"/>
      <x:c r="H1757" s="1"/>
      <x:c r="I1757" s="1"/>
      <x:c r="J1757" s="1"/>
      <x:c r="K1757" s="1"/>
      <x:c r="L1757" s="1"/>
      <x:c r="M1757" s="1"/>
      <x:c r="N1757" s="1"/>
      <x:c r="O1757" s="1"/>
      <x:c r="P1757" s="1"/>
      <x:c r="Q1757" s="1"/>
      <x:c r="R1757" s="1"/>
      <x:c r="S1757" s="1"/>
      <x:c r="T1757" s="1"/>
      <x:c r="U1757" s="1"/>
      <x:c r="V1757" s="1"/>
    </x:row>
    <x:row r="1758">
      <x:c r="A1758" s="1"/>
      <x:c r="B1758" s="1"/>
      <x:c r="C1758" s="1"/>
      <x:c r="D1758" s="1"/>
      <x:c r="E1758" s="1"/>
      <x:c r="F1758" s="1"/>
      <x:c r="G1758" s="1"/>
      <x:c r="H1758" s="1"/>
      <x:c r="I1758" s="1"/>
      <x:c r="J1758" s="1"/>
      <x:c r="K1758" s="1"/>
      <x:c r="L1758" s="1"/>
      <x:c r="M1758" s="1"/>
      <x:c r="N1758" s="1"/>
      <x:c r="O1758" s="1"/>
      <x:c r="P1758" s="1"/>
      <x:c r="Q1758" s="1"/>
      <x:c r="R1758" s="1"/>
      <x:c r="S1758" s="1"/>
      <x:c r="T1758" s="1"/>
      <x:c r="U1758" s="1"/>
      <x:c r="V1758" s="1"/>
    </x:row>
    <x:row r="1759">
      <x:c r="A1759" s="1"/>
      <x:c r="B1759" s="1"/>
      <x:c r="C1759" s="1"/>
      <x:c r="D1759" s="1"/>
      <x:c r="E1759" s="1"/>
      <x:c r="F1759" s="1"/>
      <x:c r="G1759" s="1"/>
      <x:c r="H1759" s="1"/>
      <x:c r="I1759" s="1"/>
      <x:c r="J1759" s="1"/>
      <x:c r="K1759" s="1"/>
      <x:c r="L1759" s="1"/>
      <x:c r="M1759" s="1"/>
      <x:c r="N1759" s="1"/>
      <x:c r="O1759" s="1"/>
      <x:c r="P1759" s="1"/>
      <x:c r="Q1759" s="1"/>
      <x:c r="R1759" s="1"/>
      <x:c r="S1759" s="1"/>
      <x:c r="T1759" s="1"/>
      <x:c r="U1759" s="1"/>
      <x:c r="V1759" s="1"/>
    </x:row>
    <x:row r="1760">
      <x:c r="A1760" s="1"/>
      <x:c r="B1760" s="1"/>
      <x:c r="C1760" s="1"/>
      <x:c r="D1760" s="1"/>
      <x:c r="E1760" s="1"/>
      <x:c r="F1760" s="1"/>
      <x:c r="G1760" s="1"/>
      <x:c r="H1760" s="1"/>
      <x:c r="I1760" s="1"/>
      <x:c r="J1760" s="1"/>
      <x:c r="K1760" s="1"/>
      <x:c r="L1760" s="1"/>
      <x:c r="M1760" s="1"/>
      <x:c r="N1760" s="1"/>
      <x:c r="O1760" s="1"/>
      <x:c r="P1760" s="1"/>
      <x:c r="Q1760" s="1"/>
      <x:c r="R1760" s="1"/>
      <x:c r="S1760" s="1"/>
      <x:c r="T1760" s="1"/>
      <x:c r="U1760" s="1"/>
      <x:c r="V1760" s="1"/>
    </x:row>
    <x:row r="1761">
      <x:c r="A1761" s="1"/>
      <x:c r="B1761" s="1"/>
      <x:c r="C1761" s="1"/>
      <x:c r="D1761" s="1"/>
      <x:c r="E1761" s="1"/>
      <x:c r="F1761" s="1"/>
      <x:c r="G1761" s="1"/>
      <x:c r="H1761" s="1"/>
      <x:c r="I1761" s="1"/>
      <x:c r="J1761" s="1"/>
      <x:c r="K1761" s="1"/>
      <x:c r="L1761" s="1"/>
      <x:c r="M1761" s="1"/>
      <x:c r="N1761" s="1"/>
      <x:c r="O1761" s="1"/>
      <x:c r="P1761" s="1"/>
      <x:c r="Q1761" s="1"/>
      <x:c r="R1761" s="1"/>
      <x:c r="S1761" s="1"/>
      <x:c r="T1761" s="1"/>
      <x:c r="U1761" s="1"/>
      <x:c r="V1761" s="1"/>
    </x:row>
    <x:row r="1762">
      <x:c r="A1762" s="1"/>
      <x:c r="B1762" s="1"/>
      <x:c r="C1762" s="1"/>
      <x:c r="D1762" s="1"/>
      <x:c r="E1762" s="1"/>
      <x:c r="F1762" s="1"/>
      <x:c r="G1762" s="1"/>
      <x:c r="H1762" s="1"/>
      <x:c r="I1762" s="1"/>
      <x:c r="J1762" s="1"/>
      <x:c r="K1762" s="1"/>
      <x:c r="L1762" s="1"/>
      <x:c r="M1762" s="1"/>
      <x:c r="N1762" s="1"/>
      <x:c r="O1762" s="1"/>
      <x:c r="P1762" s="1"/>
      <x:c r="Q1762" s="1"/>
      <x:c r="R1762" s="1"/>
      <x:c r="S1762" s="1"/>
      <x:c r="T1762" s="1"/>
      <x:c r="U1762" s="1"/>
      <x:c r="V1762" s="1"/>
    </x:row>
    <x:row r="1763">
      <x:c r="A1763" s="1"/>
      <x:c r="B1763" s="1"/>
      <x:c r="C1763" s="1"/>
      <x:c r="D1763" s="1"/>
      <x:c r="E1763" s="1"/>
      <x:c r="F1763" s="1"/>
      <x:c r="G1763" s="1"/>
      <x:c r="H1763" s="1"/>
      <x:c r="I1763" s="1"/>
      <x:c r="J1763" s="1"/>
      <x:c r="K1763" s="1"/>
      <x:c r="L1763" s="1"/>
      <x:c r="M1763" s="1"/>
      <x:c r="N1763" s="1"/>
      <x:c r="O1763" s="1"/>
      <x:c r="P1763" s="1"/>
      <x:c r="Q1763" s="1"/>
      <x:c r="R1763" s="1"/>
      <x:c r="S1763" s="1"/>
      <x:c r="T1763" s="1"/>
      <x:c r="U1763" s="1"/>
      <x:c r="V1763" s="1"/>
    </x:row>
    <x:row r="1764">
      <x:c r="A1764" s="1"/>
      <x:c r="B1764" s="1"/>
      <x:c r="C1764" s="1"/>
      <x:c r="D1764" s="1"/>
      <x:c r="E1764" s="1"/>
      <x:c r="F1764" s="1"/>
      <x:c r="G1764" s="1"/>
      <x:c r="H1764" s="1"/>
      <x:c r="I1764" s="1"/>
      <x:c r="J1764" s="1"/>
      <x:c r="K1764" s="1"/>
      <x:c r="L1764" s="1"/>
      <x:c r="M1764" s="1"/>
      <x:c r="N1764" s="1"/>
      <x:c r="O1764" s="1"/>
      <x:c r="P1764" s="1"/>
      <x:c r="Q1764" s="1"/>
      <x:c r="R1764" s="1"/>
      <x:c r="S1764" s="1"/>
      <x:c r="T1764" s="1"/>
      <x:c r="U1764" s="1"/>
      <x:c r="V1764" s="1"/>
    </x:row>
    <x:row r="1765">
      <x:c r="A1765" s="1"/>
      <x:c r="B1765" s="1"/>
      <x:c r="C1765" s="1"/>
      <x:c r="D1765" s="1"/>
      <x:c r="E1765" s="1"/>
      <x:c r="F1765" s="1"/>
      <x:c r="G1765" s="1"/>
      <x:c r="H1765" s="1"/>
      <x:c r="I1765" s="1"/>
      <x:c r="J1765" s="1"/>
      <x:c r="K1765" s="1"/>
      <x:c r="L1765" s="1"/>
      <x:c r="M1765" s="1"/>
      <x:c r="N1765" s="1"/>
      <x:c r="O1765" s="1"/>
      <x:c r="P1765" s="1"/>
      <x:c r="Q1765" s="1"/>
      <x:c r="R1765" s="1"/>
      <x:c r="S1765" s="1"/>
      <x:c r="T1765" s="1"/>
      <x:c r="U1765" s="1"/>
      <x:c r="V1765" s="1"/>
    </x:row>
    <x:row r="1766">
      <x:c r="A1766" s="1"/>
      <x:c r="B1766" s="1"/>
      <x:c r="C1766" s="1"/>
      <x:c r="D1766" s="1"/>
      <x:c r="E1766" s="1"/>
      <x:c r="F1766" s="1"/>
      <x:c r="G1766" s="1"/>
      <x:c r="H1766" s="1"/>
      <x:c r="I1766" s="1"/>
      <x:c r="J1766" s="1"/>
      <x:c r="K1766" s="1"/>
      <x:c r="L1766" s="1"/>
      <x:c r="M1766" s="1"/>
      <x:c r="N1766" s="1"/>
      <x:c r="O1766" s="1"/>
      <x:c r="P1766" s="1"/>
      <x:c r="Q1766" s="1"/>
      <x:c r="R1766" s="1"/>
      <x:c r="S1766" s="1"/>
      <x:c r="T1766" s="1"/>
      <x:c r="U1766" s="1"/>
      <x:c r="V1766" s="1"/>
    </x:row>
    <x:row r="1767">
      <x:c r="A1767" s="1"/>
      <x:c r="B1767" s="1"/>
      <x:c r="C1767" s="1"/>
      <x:c r="D1767" s="1"/>
      <x:c r="E1767" s="1"/>
      <x:c r="F1767" s="1"/>
      <x:c r="G1767" s="1"/>
      <x:c r="H1767" s="1"/>
      <x:c r="I1767" s="1"/>
      <x:c r="J1767" s="1"/>
      <x:c r="K1767" s="1"/>
      <x:c r="L1767" s="1"/>
      <x:c r="M1767" s="1"/>
      <x:c r="N1767" s="1"/>
      <x:c r="O1767" s="1"/>
      <x:c r="P1767" s="1"/>
      <x:c r="Q1767" s="1"/>
      <x:c r="R1767" s="1"/>
      <x:c r="S1767" s="1"/>
      <x:c r="T1767" s="1"/>
      <x:c r="U1767" s="1"/>
      <x:c r="V1767" s="1"/>
    </x:row>
    <x:row r="1768">
      <x:c r="A1768" s="1"/>
      <x:c r="B1768" s="1"/>
      <x:c r="C1768" s="1"/>
      <x:c r="D1768" s="1"/>
      <x:c r="E1768" s="1"/>
      <x:c r="F1768" s="1"/>
      <x:c r="G1768" s="1"/>
      <x:c r="H1768" s="1"/>
      <x:c r="I1768" s="1"/>
      <x:c r="J1768" s="1"/>
      <x:c r="K1768" s="1"/>
      <x:c r="L1768" s="1"/>
      <x:c r="M1768" s="1"/>
      <x:c r="N1768" s="1"/>
      <x:c r="O1768" s="1"/>
      <x:c r="P1768" s="1"/>
      <x:c r="Q1768" s="1"/>
      <x:c r="R1768" s="1"/>
      <x:c r="S1768" s="1"/>
      <x:c r="T1768" s="1"/>
      <x:c r="U1768" s="1"/>
      <x:c r="V1768" s="1"/>
    </x:row>
    <x:row r="1769">
      <x:c r="A1769" s="1"/>
      <x:c r="B1769" s="1"/>
      <x:c r="C1769" s="1"/>
      <x:c r="D1769" s="1"/>
      <x:c r="E1769" s="1"/>
      <x:c r="F1769" s="1"/>
      <x:c r="G1769" s="1"/>
      <x:c r="H1769" s="1"/>
      <x:c r="I1769" s="1"/>
      <x:c r="J1769" s="1"/>
      <x:c r="K1769" s="1"/>
      <x:c r="L1769" s="1"/>
      <x:c r="M1769" s="1"/>
      <x:c r="N1769" s="1"/>
      <x:c r="O1769" s="1"/>
      <x:c r="P1769" s="1"/>
      <x:c r="Q1769" s="1"/>
      <x:c r="R1769" s="1"/>
      <x:c r="S1769" s="1"/>
      <x:c r="T1769" s="1"/>
      <x:c r="U1769" s="1"/>
      <x:c r="V1769" s="1"/>
    </x:row>
    <x:row r="1770">
      <x:c r="A1770" s="1"/>
      <x:c r="B1770" s="1"/>
      <x:c r="C1770" s="1"/>
      <x:c r="D1770" s="1"/>
      <x:c r="E1770" s="1"/>
      <x:c r="F1770" s="1"/>
      <x:c r="G1770" s="1"/>
      <x:c r="H1770" s="1"/>
      <x:c r="I1770" s="1"/>
      <x:c r="J1770" s="1"/>
      <x:c r="K1770" s="1"/>
      <x:c r="L1770" s="1"/>
      <x:c r="M1770" s="1"/>
      <x:c r="N1770" s="1"/>
      <x:c r="O1770" s="1"/>
      <x:c r="P1770" s="1"/>
      <x:c r="Q1770" s="1"/>
      <x:c r="R1770" s="1"/>
      <x:c r="S1770" s="1"/>
      <x:c r="T1770" s="1"/>
      <x:c r="U1770" s="1"/>
      <x:c r="V1770" s="1"/>
    </x:row>
    <x:row r="1771">
      <x:c r="A1771" s="1"/>
      <x:c r="B1771" s="1"/>
      <x:c r="C1771" s="1"/>
      <x:c r="D1771" s="1"/>
      <x:c r="E1771" s="1"/>
      <x:c r="F1771" s="1"/>
      <x:c r="G1771" s="1"/>
      <x:c r="H1771" s="1"/>
      <x:c r="I1771" s="1"/>
      <x:c r="J1771" s="1"/>
      <x:c r="K1771" s="1"/>
      <x:c r="L1771" s="1"/>
      <x:c r="M1771" s="1"/>
      <x:c r="N1771" s="1"/>
      <x:c r="O1771" s="1"/>
      <x:c r="P1771" s="1"/>
      <x:c r="Q1771" s="1"/>
      <x:c r="R1771" s="1"/>
      <x:c r="S1771" s="1"/>
      <x:c r="T1771" s="1"/>
      <x:c r="U1771" s="1"/>
      <x:c r="V1771" s="1"/>
    </x:row>
    <x:row r="1772">
      <x:c r="A1772" s="1"/>
      <x:c r="B1772" s="1"/>
      <x:c r="C1772" s="1"/>
      <x:c r="D1772" s="1"/>
      <x:c r="E1772" s="1"/>
      <x:c r="F1772" s="1"/>
      <x:c r="G1772" s="1"/>
      <x:c r="H1772" s="1"/>
      <x:c r="I1772" s="1"/>
      <x:c r="J1772" s="1"/>
      <x:c r="K1772" s="1"/>
      <x:c r="L1772" s="1"/>
      <x:c r="M1772" s="1"/>
      <x:c r="N1772" s="1"/>
      <x:c r="O1772" s="1"/>
      <x:c r="P1772" s="1"/>
      <x:c r="Q1772" s="1"/>
      <x:c r="R1772" s="1"/>
      <x:c r="S1772" s="1"/>
      <x:c r="T1772" s="1"/>
      <x:c r="U1772" s="1"/>
      <x:c r="V1772" s="1"/>
    </x:row>
    <x:row r="1773">
      <x:c r="A1773" s="1"/>
      <x:c r="B1773" s="1"/>
      <x:c r="C1773" s="1"/>
      <x:c r="D1773" s="1"/>
      <x:c r="E1773" s="1"/>
      <x:c r="F1773" s="1"/>
      <x:c r="G1773" s="1"/>
      <x:c r="H1773" s="1"/>
      <x:c r="I1773" s="1"/>
      <x:c r="J1773" s="1"/>
      <x:c r="K1773" s="1"/>
      <x:c r="L1773" s="1"/>
      <x:c r="M1773" s="1"/>
      <x:c r="N1773" s="1"/>
      <x:c r="O1773" s="1"/>
      <x:c r="P1773" s="1"/>
      <x:c r="Q1773" s="1"/>
      <x:c r="R1773" s="1"/>
      <x:c r="S1773" s="1"/>
      <x:c r="T1773" s="1"/>
      <x:c r="U1773" s="1"/>
      <x:c r="V1773" s="1"/>
    </x:row>
    <x:row r="1774">
      <x:c r="A1774" s="1"/>
      <x:c r="B1774" s="1"/>
      <x:c r="C1774" s="1"/>
      <x:c r="D1774" s="1"/>
      <x:c r="E1774" s="1"/>
      <x:c r="F1774" s="1"/>
      <x:c r="G1774" s="1"/>
      <x:c r="H1774" s="1"/>
      <x:c r="I1774" s="1"/>
      <x:c r="J1774" s="1"/>
      <x:c r="K1774" s="1"/>
      <x:c r="L1774" s="1"/>
      <x:c r="M1774" s="1"/>
      <x:c r="N1774" s="1"/>
      <x:c r="O1774" s="1"/>
      <x:c r="P1774" s="1"/>
      <x:c r="Q1774" s="1"/>
      <x:c r="R1774" s="1"/>
      <x:c r="S1774" s="1"/>
      <x:c r="T1774" s="1"/>
      <x:c r="U1774" s="1"/>
      <x:c r="V1774" s="1"/>
    </x:row>
    <x:row r="1775">
      <x:c r="A1775" s="1"/>
      <x:c r="B1775" s="1"/>
      <x:c r="C1775" s="1"/>
      <x:c r="D1775" s="1"/>
      <x:c r="E1775" s="1"/>
      <x:c r="F1775" s="1"/>
      <x:c r="G1775" s="1"/>
      <x:c r="H1775" s="1"/>
      <x:c r="I1775" s="1"/>
      <x:c r="J1775" s="1"/>
      <x:c r="K1775" s="1"/>
      <x:c r="L1775" s="1"/>
      <x:c r="M1775" s="1"/>
      <x:c r="N1775" s="1"/>
      <x:c r="O1775" s="1"/>
      <x:c r="P1775" s="1"/>
      <x:c r="Q1775" s="1"/>
      <x:c r="R1775" s="1"/>
      <x:c r="S1775" s="1"/>
      <x:c r="T1775" s="1"/>
      <x:c r="U1775" s="1"/>
      <x:c r="V1775" s="1"/>
    </x:row>
    <x:row r="1776">
      <x:c r="A1776" s="1"/>
      <x:c r="B1776" s="1"/>
      <x:c r="C1776" s="1"/>
      <x:c r="D1776" s="1"/>
      <x:c r="E1776" s="1"/>
      <x:c r="F1776" s="1"/>
      <x:c r="G1776" s="1"/>
      <x:c r="H1776" s="1"/>
      <x:c r="I1776" s="1"/>
      <x:c r="J1776" s="1"/>
      <x:c r="K1776" s="1"/>
      <x:c r="L1776" s="1"/>
      <x:c r="M1776" s="1"/>
      <x:c r="N1776" s="1"/>
      <x:c r="O1776" s="1"/>
      <x:c r="P1776" s="1"/>
      <x:c r="Q1776" s="1"/>
      <x:c r="R1776" s="1"/>
      <x:c r="S1776" s="1"/>
      <x:c r="T1776" s="1"/>
      <x:c r="U1776" s="1"/>
      <x:c r="V1776" s="1"/>
    </x:row>
    <x:row r="1777">
      <x:c r="A1777" s="1"/>
      <x:c r="B1777" s="1"/>
      <x:c r="C1777" s="1"/>
      <x:c r="D1777" s="1"/>
      <x:c r="E1777" s="1"/>
      <x:c r="F1777" s="1"/>
      <x:c r="G1777" s="1"/>
      <x:c r="H1777" s="1"/>
      <x:c r="I1777" s="1"/>
      <x:c r="J1777" s="1"/>
      <x:c r="K1777" s="1"/>
      <x:c r="L1777" s="1"/>
      <x:c r="M1777" s="1"/>
      <x:c r="N1777" s="1"/>
      <x:c r="O1777" s="1"/>
      <x:c r="P1777" s="1"/>
      <x:c r="Q1777" s="1"/>
      <x:c r="R1777" s="1"/>
      <x:c r="S1777" s="1"/>
      <x:c r="T1777" s="1"/>
      <x:c r="U1777" s="1"/>
      <x:c r="V1777" s="1"/>
    </x:row>
    <x:row r="1778">
      <x:c r="A1778" s="1"/>
      <x:c r="B1778" s="1"/>
      <x:c r="C1778" s="1"/>
      <x:c r="D1778" s="1"/>
      <x:c r="E1778" s="1"/>
      <x:c r="F1778" s="1"/>
      <x:c r="G1778" s="1"/>
      <x:c r="H1778" s="1"/>
      <x:c r="I1778" s="1"/>
      <x:c r="J1778" s="1"/>
      <x:c r="K1778" s="1"/>
      <x:c r="L1778" s="1"/>
      <x:c r="M1778" s="1"/>
      <x:c r="N1778" s="1"/>
      <x:c r="O1778" s="1"/>
      <x:c r="P1778" s="1"/>
      <x:c r="Q1778" s="1"/>
      <x:c r="R1778" s="1"/>
      <x:c r="S1778" s="1"/>
      <x:c r="T1778" s="1"/>
      <x:c r="U1778" s="1"/>
      <x:c r="V1778" s="1"/>
    </x:row>
    <x:row r="1779">
      <x:c r="A1779" s="1"/>
      <x:c r="B1779" s="1"/>
      <x:c r="C1779" s="1"/>
      <x:c r="D1779" s="1"/>
      <x:c r="E1779" s="1"/>
      <x:c r="F1779" s="1"/>
      <x:c r="G1779" s="1"/>
      <x:c r="H1779" s="1"/>
      <x:c r="I1779" s="1"/>
      <x:c r="J1779" s="1"/>
      <x:c r="K1779" s="1"/>
      <x:c r="L1779" s="1"/>
      <x:c r="M1779" s="1"/>
      <x:c r="N1779" s="1"/>
      <x:c r="O1779" s="1"/>
      <x:c r="P1779" s="1"/>
      <x:c r="Q1779" s="1"/>
      <x:c r="R1779" s="1"/>
      <x:c r="S1779" s="1"/>
      <x:c r="T1779" s="1"/>
      <x:c r="U1779" s="1"/>
      <x:c r="V1779" s="1"/>
    </x:row>
    <x:row r="1780">
      <x:c r="A1780" s="1"/>
      <x:c r="B1780" s="1"/>
      <x:c r="C1780" s="1"/>
      <x:c r="D1780" s="1"/>
      <x:c r="E1780" s="1"/>
      <x:c r="F1780" s="1"/>
      <x:c r="G1780" s="1"/>
      <x:c r="H1780" s="1"/>
      <x:c r="I1780" s="1"/>
      <x:c r="J1780" s="1"/>
      <x:c r="K1780" s="1"/>
      <x:c r="L1780" s="1"/>
      <x:c r="M1780" s="1"/>
      <x:c r="N1780" s="1"/>
      <x:c r="O1780" s="1"/>
      <x:c r="P1780" s="1"/>
      <x:c r="Q1780" s="1"/>
      <x:c r="R1780" s="1"/>
      <x:c r="S1780" s="1"/>
      <x:c r="T1780" s="1"/>
      <x:c r="U1780" s="1"/>
      <x:c r="V1780" s="1"/>
    </x:row>
    <x:row r="1781">
      <x:c r="A1781" s="1"/>
      <x:c r="B1781" s="1"/>
      <x:c r="C1781" s="1"/>
      <x:c r="D1781" s="1"/>
      <x:c r="E1781" s="1"/>
      <x:c r="F1781" s="1"/>
      <x:c r="G1781" s="1"/>
      <x:c r="H1781" s="1"/>
      <x:c r="I1781" s="1"/>
      <x:c r="J1781" s="1"/>
      <x:c r="K1781" s="1"/>
      <x:c r="L1781" s="1"/>
      <x:c r="M1781" s="1"/>
      <x:c r="N1781" s="1"/>
      <x:c r="O1781" s="1"/>
      <x:c r="P1781" s="1"/>
      <x:c r="Q1781" s="1"/>
      <x:c r="R1781" s="1"/>
      <x:c r="S1781" s="1"/>
      <x:c r="T1781" s="1"/>
      <x:c r="U1781" s="1"/>
      <x:c r="V1781" s="1"/>
    </x:row>
    <x:row r="1782">
      <x:c r="A1782" s="1"/>
      <x:c r="B1782" s="1"/>
      <x:c r="C1782" s="1"/>
      <x:c r="D1782" s="1"/>
      <x:c r="E1782" s="1"/>
      <x:c r="F1782" s="1"/>
      <x:c r="G1782" s="1"/>
      <x:c r="H1782" s="1"/>
      <x:c r="I1782" s="1"/>
      <x:c r="J1782" s="1"/>
      <x:c r="K1782" s="1"/>
      <x:c r="L1782" s="1"/>
      <x:c r="M1782" s="1"/>
      <x:c r="N1782" s="1"/>
      <x:c r="O1782" s="1"/>
      <x:c r="P1782" s="1"/>
      <x:c r="Q1782" s="1"/>
      <x:c r="R1782" s="1"/>
      <x:c r="S1782" s="1"/>
      <x:c r="T1782" s="1"/>
      <x:c r="U1782" s="1"/>
      <x:c r="V1782" s="1"/>
    </x:row>
    <x:row r="1783">
      <x:c r="A1783" s="1"/>
      <x:c r="B1783" s="1"/>
      <x:c r="C1783" s="1"/>
      <x:c r="D1783" s="1"/>
      <x:c r="E1783" s="1"/>
      <x:c r="F1783" s="1"/>
      <x:c r="G1783" s="1"/>
      <x:c r="H1783" s="1"/>
      <x:c r="I1783" s="1"/>
      <x:c r="J1783" s="1"/>
      <x:c r="K1783" s="1"/>
      <x:c r="L1783" s="1"/>
      <x:c r="M1783" s="1"/>
      <x:c r="N1783" s="1"/>
      <x:c r="O1783" s="1"/>
      <x:c r="P1783" s="1"/>
      <x:c r="Q1783" s="1"/>
      <x:c r="R1783" s="1"/>
      <x:c r="S1783" s="1"/>
      <x:c r="T1783" s="1"/>
      <x:c r="U1783" s="1"/>
      <x:c r="V1783" s="1"/>
    </x:row>
    <x:row r="1784">
      <x:c r="A1784" s="1"/>
      <x:c r="B1784" s="1"/>
      <x:c r="C1784" s="1"/>
      <x:c r="D1784" s="1"/>
      <x:c r="E1784" s="1"/>
      <x:c r="F1784" s="1"/>
      <x:c r="G1784" s="1"/>
      <x:c r="H1784" s="1"/>
      <x:c r="I1784" s="1"/>
      <x:c r="J1784" s="1"/>
      <x:c r="K1784" s="1"/>
      <x:c r="L1784" s="1"/>
      <x:c r="M1784" s="1"/>
      <x:c r="N1784" s="1"/>
      <x:c r="O1784" s="1"/>
      <x:c r="P1784" s="1"/>
      <x:c r="Q1784" s="1"/>
      <x:c r="R1784" s="1"/>
      <x:c r="S1784" s="1"/>
      <x:c r="T1784" s="1"/>
      <x:c r="U1784" s="1"/>
      <x:c r="V1784" s="1"/>
    </x:row>
    <x:row r="1785">
      <x:c r="A1785" s="1"/>
      <x:c r="B1785" s="1"/>
      <x:c r="C1785" s="1"/>
      <x:c r="D1785" s="1"/>
      <x:c r="E1785" s="1"/>
      <x:c r="F1785" s="1"/>
      <x:c r="G1785" s="1"/>
      <x:c r="H1785" s="1"/>
      <x:c r="I1785" s="1"/>
      <x:c r="J1785" s="1"/>
      <x:c r="K1785" s="1"/>
      <x:c r="L1785" s="1"/>
      <x:c r="M1785" s="1"/>
      <x:c r="N1785" s="1"/>
      <x:c r="O1785" s="1"/>
      <x:c r="P1785" s="1"/>
      <x:c r="Q1785" s="1"/>
      <x:c r="R1785" s="1"/>
      <x:c r="S1785" s="1"/>
      <x:c r="T1785" s="1"/>
      <x:c r="U1785" s="1"/>
      <x:c r="V1785" s="1"/>
    </x:row>
    <x:row r="1786">
      <x:c r="A1786" s="1"/>
      <x:c r="B1786" s="1"/>
      <x:c r="C1786" s="1"/>
      <x:c r="D1786" s="1"/>
      <x:c r="E1786" s="1"/>
      <x:c r="F1786" s="1"/>
      <x:c r="G1786" s="1"/>
      <x:c r="H1786" s="1"/>
      <x:c r="I1786" s="1"/>
      <x:c r="J1786" s="1"/>
      <x:c r="K1786" s="1"/>
      <x:c r="L1786" s="1"/>
      <x:c r="M1786" s="1"/>
      <x:c r="N1786" s="1"/>
      <x:c r="O1786" s="1"/>
      <x:c r="P1786" s="1"/>
      <x:c r="Q1786" s="1"/>
      <x:c r="R1786" s="1"/>
      <x:c r="S1786" s="1"/>
      <x:c r="T1786" s="1"/>
      <x:c r="U1786" s="1"/>
      <x:c r="V1786" s="1"/>
    </x:row>
    <x:row r="1787">
      <x:c r="A1787" s="1"/>
      <x:c r="B1787" s="1"/>
      <x:c r="C1787" s="1"/>
      <x:c r="D1787" s="1"/>
      <x:c r="E1787" s="1"/>
      <x:c r="F1787" s="1"/>
      <x:c r="G1787" s="1"/>
      <x:c r="H1787" s="1"/>
      <x:c r="I1787" s="1"/>
      <x:c r="J1787" s="1"/>
      <x:c r="K1787" s="1"/>
      <x:c r="L1787" s="1"/>
      <x:c r="M1787" s="1"/>
      <x:c r="N1787" s="1"/>
      <x:c r="O1787" s="1"/>
      <x:c r="P1787" s="1"/>
      <x:c r="Q1787" s="1"/>
      <x:c r="R1787" s="1"/>
      <x:c r="S1787" s="1"/>
      <x:c r="T1787" s="1"/>
      <x:c r="U1787" s="1"/>
      <x:c r="V1787" s="1"/>
    </x:row>
    <x:row r="1788">
      <x:c r="A1788" s="1"/>
      <x:c r="B1788" s="1"/>
      <x:c r="C1788" s="1"/>
      <x:c r="D1788" s="1"/>
      <x:c r="E1788" s="1"/>
      <x:c r="F1788" s="1"/>
      <x:c r="G1788" s="1"/>
      <x:c r="H1788" s="1"/>
      <x:c r="I1788" s="1"/>
      <x:c r="J1788" s="1"/>
      <x:c r="K1788" s="1"/>
      <x:c r="L1788" s="1"/>
      <x:c r="M1788" s="1"/>
      <x:c r="N1788" s="1"/>
      <x:c r="O1788" s="1"/>
      <x:c r="P1788" s="1"/>
      <x:c r="Q1788" s="1"/>
      <x:c r="R1788" s="1"/>
      <x:c r="S1788" s="1"/>
      <x:c r="T1788" s="1"/>
      <x:c r="U1788" s="1"/>
      <x:c r="V1788" s="1"/>
    </x:row>
    <x:row r="1789">
      <x:c r="A1789" s="1"/>
      <x:c r="B1789" s="1"/>
      <x:c r="C1789" s="1"/>
      <x:c r="D1789" s="1"/>
      <x:c r="E1789" s="1"/>
      <x:c r="F1789" s="1"/>
      <x:c r="G1789" s="1"/>
      <x:c r="H1789" s="1"/>
      <x:c r="I1789" s="1"/>
      <x:c r="J1789" s="1"/>
      <x:c r="K1789" s="1"/>
      <x:c r="L1789" s="1"/>
      <x:c r="M1789" s="1"/>
      <x:c r="N1789" s="1"/>
      <x:c r="O1789" s="1"/>
      <x:c r="P1789" s="1"/>
      <x:c r="Q1789" s="1"/>
      <x:c r="R1789" s="1"/>
      <x:c r="S1789" s="1"/>
      <x:c r="T1789" s="1"/>
      <x:c r="U1789" s="1"/>
      <x:c r="V1789" s="1"/>
    </x:row>
    <x:row r="1790">
      <x:c r="A1790" s="1"/>
      <x:c r="B1790" s="1"/>
      <x:c r="C1790" s="1"/>
      <x:c r="D1790" s="1"/>
      <x:c r="E1790" s="1"/>
      <x:c r="F1790" s="1"/>
      <x:c r="G1790" s="1"/>
      <x:c r="H1790" s="1"/>
      <x:c r="I1790" s="1"/>
      <x:c r="J1790" s="1"/>
      <x:c r="K1790" s="1"/>
      <x:c r="L1790" s="1"/>
      <x:c r="M1790" s="1"/>
      <x:c r="N1790" s="1"/>
      <x:c r="O1790" s="1"/>
      <x:c r="P1790" s="1"/>
      <x:c r="Q1790" s="1"/>
      <x:c r="R1790" s="1"/>
      <x:c r="S1790" s="1"/>
      <x:c r="T1790" s="1"/>
      <x:c r="U1790" s="1"/>
      <x:c r="V1790" s="1"/>
    </x:row>
    <x:row r="1791">
      <x:c r="A1791" s="1"/>
      <x:c r="B1791" s="1"/>
      <x:c r="C1791" s="1"/>
      <x:c r="D1791" s="1"/>
      <x:c r="E1791" s="1"/>
      <x:c r="F1791" s="1"/>
      <x:c r="G1791" s="1"/>
      <x:c r="H1791" s="1"/>
      <x:c r="I1791" s="1"/>
      <x:c r="J1791" s="1"/>
      <x:c r="K1791" s="1"/>
      <x:c r="L1791" s="1"/>
      <x:c r="M1791" s="1"/>
      <x:c r="N1791" s="1"/>
      <x:c r="O1791" s="1"/>
      <x:c r="P1791" s="1"/>
      <x:c r="Q1791" s="1"/>
      <x:c r="R1791" s="1"/>
      <x:c r="S1791" s="1"/>
      <x:c r="T1791" s="1"/>
      <x:c r="U1791" s="1"/>
      <x:c r="V1791" s="1"/>
    </x:row>
    <x:row r="1792">
      <x:c r="A1792" s="1"/>
      <x:c r="B1792" s="1"/>
      <x:c r="C1792" s="1"/>
      <x:c r="D1792" s="1"/>
      <x:c r="E1792" s="1"/>
      <x:c r="F1792" s="1"/>
      <x:c r="G1792" s="1"/>
      <x:c r="H1792" s="1"/>
      <x:c r="I1792" s="1"/>
      <x:c r="J1792" s="1"/>
      <x:c r="K1792" s="1"/>
      <x:c r="L1792" s="1"/>
      <x:c r="M1792" s="1"/>
      <x:c r="N1792" s="1"/>
      <x:c r="O1792" s="1"/>
      <x:c r="P1792" s="1"/>
      <x:c r="Q1792" s="1"/>
      <x:c r="R1792" s="1"/>
      <x:c r="S1792" s="1"/>
      <x:c r="T1792" s="1"/>
      <x:c r="U1792" s="1"/>
      <x:c r="V1792" s="1"/>
    </x:row>
    <x:row r="1793">
      <x:c r="A1793" s="1"/>
      <x:c r="B1793" s="1"/>
      <x:c r="C1793" s="1"/>
      <x:c r="D1793" s="1"/>
      <x:c r="E1793" s="1"/>
      <x:c r="F1793" s="1"/>
      <x:c r="G1793" s="1"/>
      <x:c r="H1793" s="1"/>
      <x:c r="I1793" s="1"/>
      <x:c r="J1793" s="1"/>
      <x:c r="K1793" s="1"/>
      <x:c r="L1793" s="1"/>
      <x:c r="M1793" s="1"/>
      <x:c r="N1793" s="1"/>
      <x:c r="O1793" s="1"/>
      <x:c r="P1793" s="1"/>
      <x:c r="Q1793" s="1"/>
      <x:c r="R1793" s="1"/>
      <x:c r="S1793" s="1"/>
      <x:c r="T1793" s="1"/>
      <x:c r="U1793" s="1"/>
      <x:c r="V1793" s="1"/>
    </x:row>
    <x:row r="1794">
      <x:c r="A1794" s="1"/>
      <x:c r="B1794" s="1"/>
      <x:c r="C1794" s="1"/>
      <x:c r="D1794" s="1"/>
      <x:c r="E1794" s="1"/>
      <x:c r="F1794" s="1"/>
      <x:c r="G1794" s="1"/>
      <x:c r="H1794" s="1"/>
      <x:c r="I1794" s="1"/>
      <x:c r="J1794" s="1"/>
      <x:c r="K1794" s="1"/>
      <x:c r="L1794" s="1"/>
      <x:c r="M1794" s="1"/>
      <x:c r="N1794" s="1"/>
      <x:c r="O1794" s="1"/>
      <x:c r="P1794" s="1"/>
      <x:c r="Q1794" s="1"/>
      <x:c r="R1794" s="1"/>
      <x:c r="S1794" s="1"/>
      <x:c r="T1794" s="1"/>
      <x:c r="U1794" s="1"/>
      <x:c r="V1794" s="1"/>
    </x:row>
    <x:row r="1795">
      <x:c r="A1795" s="1"/>
      <x:c r="B1795" s="1"/>
      <x:c r="C1795" s="1"/>
      <x:c r="D1795" s="1"/>
      <x:c r="E1795" s="1"/>
      <x:c r="F1795" s="1"/>
      <x:c r="G1795" s="1"/>
      <x:c r="H1795" s="1"/>
      <x:c r="I1795" s="1"/>
      <x:c r="J1795" s="1"/>
      <x:c r="K1795" s="1"/>
      <x:c r="L1795" s="1"/>
      <x:c r="M1795" s="1"/>
      <x:c r="N1795" s="1"/>
      <x:c r="O1795" s="1"/>
      <x:c r="P1795" s="1"/>
      <x:c r="Q1795" s="1"/>
      <x:c r="R1795" s="1"/>
      <x:c r="S1795" s="1"/>
      <x:c r="T1795" s="1"/>
      <x:c r="U1795" s="1"/>
      <x:c r="V1795" s="1"/>
    </x:row>
    <x:row r="1796">
      <x:c r="A1796" s="1"/>
      <x:c r="B1796" s="1"/>
      <x:c r="C1796" s="1"/>
      <x:c r="D1796" s="1"/>
      <x:c r="E1796" s="1"/>
      <x:c r="F1796" s="1"/>
      <x:c r="G1796" s="1"/>
      <x:c r="H1796" s="1"/>
      <x:c r="I1796" s="1"/>
      <x:c r="J1796" s="1"/>
      <x:c r="K1796" s="1"/>
      <x:c r="L1796" s="1"/>
      <x:c r="M1796" s="1"/>
      <x:c r="N1796" s="1"/>
      <x:c r="O1796" s="1"/>
      <x:c r="P1796" s="1"/>
      <x:c r="Q1796" s="1"/>
      <x:c r="R1796" s="1"/>
      <x:c r="S1796" s="1"/>
      <x:c r="T1796" s="1"/>
      <x:c r="U1796" s="1"/>
      <x:c r="V1796" s="1"/>
    </x:row>
    <x:row r="1797">
      <x:c r="A1797" s="1"/>
      <x:c r="B1797" s="1"/>
      <x:c r="C1797" s="1"/>
      <x:c r="D1797" s="1"/>
      <x:c r="E1797" s="1"/>
      <x:c r="F1797" s="1"/>
      <x:c r="G1797" s="1"/>
      <x:c r="H1797" s="1"/>
      <x:c r="I1797" s="1"/>
      <x:c r="J1797" s="1"/>
      <x:c r="K1797" s="1"/>
      <x:c r="L1797" s="1"/>
      <x:c r="M1797" s="1"/>
      <x:c r="N1797" s="1"/>
      <x:c r="O1797" s="1"/>
      <x:c r="P1797" s="1"/>
      <x:c r="Q1797" s="1"/>
      <x:c r="R1797" s="1"/>
      <x:c r="S1797" s="1"/>
      <x:c r="T1797" s="1"/>
      <x:c r="U1797" s="1"/>
      <x:c r="V1797" s="1"/>
    </x:row>
    <x:row r="1798">
      <x:c r="A1798" s="1"/>
      <x:c r="B1798" s="1"/>
      <x:c r="C1798" s="1"/>
      <x:c r="D1798" s="1"/>
      <x:c r="E1798" s="1"/>
      <x:c r="F1798" s="1"/>
      <x:c r="G1798" s="1"/>
      <x:c r="H1798" s="1"/>
      <x:c r="I1798" s="1"/>
      <x:c r="J1798" s="1"/>
      <x:c r="K1798" s="1"/>
      <x:c r="L1798" s="1"/>
      <x:c r="M1798" s="1"/>
      <x:c r="N1798" s="1"/>
      <x:c r="O1798" s="1"/>
      <x:c r="P1798" s="1"/>
      <x:c r="Q1798" s="1"/>
      <x:c r="R1798" s="1"/>
      <x:c r="S1798" s="1"/>
      <x:c r="T1798" s="1"/>
      <x:c r="U1798" s="1"/>
      <x:c r="V1798" s="1"/>
    </x:row>
    <x:row r="1799">
      <x:c r="A1799" s="1"/>
      <x:c r="B1799" s="1"/>
      <x:c r="C1799" s="1"/>
      <x:c r="D1799" s="1"/>
      <x:c r="E1799" s="1"/>
      <x:c r="F1799" s="1"/>
      <x:c r="G1799" s="1"/>
      <x:c r="H1799" s="1"/>
      <x:c r="I1799" s="1"/>
      <x:c r="J1799" s="1"/>
      <x:c r="K1799" s="1"/>
      <x:c r="L1799" s="1"/>
      <x:c r="M1799" s="1"/>
      <x:c r="N1799" s="1"/>
      <x:c r="O1799" s="1"/>
      <x:c r="P1799" s="1"/>
      <x:c r="Q1799" s="1"/>
      <x:c r="R1799" s="1"/>
      <x:c r="S1799" s="1"/>
      <x:c r="T1799" s="1"/>
      <x:c r="U1799" s="1"/>
      <x:c r="V1799" s="1"/>
    </x:row>
    <x:row r="1800">
      <x:c r="A1800" s="1"/>
      <x:c r="B1800" s="1"/>
      <x:c r="C1800" s="1"/>
      <x:c r="D1800" s="1"/>
      <x:c r="E1800" s="1"/>
      <x:c r="F1800" s="1"/>
      <x:c r="G1800" s="1"/>
      <x:c r="H1800" s="1"/>
      <x:c r="I1800" s="1"/>
      <x:c r="J1800" s="1"/>
      <x:c r="K1800" s="1"/>
      <x:c r="L1800" s="1"/>
      <x:c r="M1800" s="1"/>
      <x:c r="N1800" s="1"/>
      <x:c r="O1800" s="1"/>
      <x:c r="P1800" s="1"/>
      <x:c r="Q1800" s="1"/>
      <x:c r="R1800" s="1"/>
      <x:c r="S1800" s="1"/>
      <x:c r="T1800" s="1"/>
      <x:c r="U1800" s="1"/>
      <x:c r="V1800" s="1"/>
    </x:row>
    <x:row r="1801">
      <x:c r="A1801" s="1"/>
      <x:c r="B1801" s="1"/>
      <x:c r="C1801" s="1"/>
      <x:c r="D1801" s="1"/>
      <x:c r="E1801" s="1"/>
      <x:c r="F1801" s="1"/>
      <x:c r="G1801" s="1"/>
      <x:c r="H1801" s="1"/>
      <x:c r="I1801" s="1"/>
      <x:c r="J1801" s="1"/>
      <x:c r="K1801" s="1"/>
      <x:c r="L1801" s="1"/>
      <x:c r="M1801" s="1"/>
      <x:c r="N1801" s="1"/>
      <x:c r="O1801" s="1"/>
      <x:c r="P1801" s="1"/>
      <x:c r="Q1801" s="1"/>
      <x:c r="R1801" s="1"/>
      <x:c r="S1801" s="1"/>
      <x:c r="T1801" s="1"/>
      <x:c r="U1801" s="1"/>
      <x:c r="V1801" s="1"/>
    </x:row>
    <x:row r="1802">
      <x:c r="A1802" s="1"/>
      <x:c r="B1802" s="1"/>
      <x:c r="C1802" s="1"/>
      <x:c r="D1802" s="1"/>
      <x:c r="E1802" s="1"/>
      <x:c r="F1802" s="1"/>
      <x:c r="G1802" s="1"/>
      <x:c r="H1802" s="1"/>
      <x:c r="I1802" s="1"/>
      <x:c r="J1802" s="1"/>
      <x:c r="K1802" s="1"/>
      <x:c r="L1802" s="1"/>
      <x:c r="M1802" s="1"/>
      <x:c r="N1802" s="1"/>
      <x:c r="O1802" s="1"/>
      <x:c r="P1802" s="1"/>
      <x:c r="Q1802" s="1"/>
      <x:c r="R1802" s="1"/>
      <x:c r="S1802" s="1"/>
      <x:c r="T1802" s="1"/>
      <x:c r="U1802" s="1"/>
      <x:c r="V1802" s="1"/>
    </x:row>
    <x:row r="1803">
      <x:c r="A1803" s="1"/>
      <x:c r="B1803" s="1"/>
      <x:c r="C1803" s="1"/>
      <x:c r="D1803" s="1"/>
      <x:c r="E1803" s="1"/>
      <x:c r="F1803" s="1"/>
      <x:c r="G1803" s="1"/>
      <x:c r="H1803" s="1"/>
      <x:c r="I1803" s="1"/>
      <x:c r="J1803" s="1"/>
      <x:c r="K1803" s="1"/>
      <x:c r="L1803" s="1"/>
      <x:c r="M1803" s="1"/>
      <x:c r="N1803" s="1"/>
      <x:c r="O1803" s="1"/>
      <x:c r="P1803" s="1"/>
      <x:c r="Q1803" s="1"/>
      <x:c r="R1803" s="1"/>
      <x:c r="S1803" s="1"/>
      <x:c r="T1803" s="1"/>
      <x:c r="U1803" s="1"/>
      <x:c r="V1803" s="1"/>
    </x:row>
    <x:row r="1804">
      <x:c r="A1804" s="1"/>
      <x:c r="B1804" s="1"/>
      <x:c r="C1804" s="1"/>
      <x:c r="D1804" s="1"/>
      <x:c r="E1804" s="1"/>
      <x:c r="F1804" s="1"/>
      <x:c r="G1804" s="1"/>
      <x:c r="H1804" s="1"/>
      <x:c r="I1804" s="1"/>
      <x:c r="J1804" s="1"/>
      <x:c r="K1804" s="1"/>
      <x:c r="L1804" s="1"/>
      <x:c r="M1804" s="1"/>
      <x:c r="N1804" s="1"/>
      <x:c r="O1804" s="1"/>
      <x:c r="P1804" s="1"/>
      <x:c r="Q1804" s="1"/>
      <x:c r="R1804" s="1"/>
      <x:c r="S1804" s="1"/>
      <x:c r="T1804" s="1"/>
      <x:c r="U1804" s="1"/>
      <x:c r="V1804" s="1"/>
    </x:row>
    <x:row r="1805">
      <x:c r="A1805" s="1"/>
      <x:c r="B1805" s="1"/>
      <x:c r="C1805" s="1"/>
      <x:c r="D1805" s="1"/>
      <x:c r="E1805" s="1"/>
      <x:c r="F1805" s="1"/>
      <x:c r="G1805" s="1"/>
      <x:c r="H1805" s="1"/>
      <x:c r="I1805" s="1"/>
      <x:c r="J1805" s="1"/>
      <x:c r="K1805" s="1"/>
      <x:c r="L1805" s="1"/>
      <x:c r="M1805" s="1"/>
      <x:c r="N1805" s="1"/>
      <x:c r="O1805" s="1"/>
      <x:c r="P1805" s="1"/>
      <x:c r="Q1805" s="1"/>
      <x:c r="R1805" s="1"/>
      <x:c r="S1805" s="1"/>
      <x:c r="T1805" s="1"/>
      <x:c r="U1805" s="1"/>
      <x:c r="V1805" s="1"/>
    </x:row>
    <x:row r="1806">
      <x:c r="A1806" s="1"/>
      <x:c r="B1806" s="1"/>
      <x:c r="C1806" s="1"/>
      <x:c r="D1806" s="1"/>
      <x:c r="E1806" s="1"/>
      <x:c r="F1806" s="1"/>
      <x:c r="G1806" s="1"/>
      <x:c r="H1806" s="1"/>
      <x:c r="I1806" s="1"/>
      <x:c r="J1806" s="1"/>
      <x:c r="K1806" s="1"/>
      <x:c r="L1806" s="1"/>
      <x:c r="M1806" s="1"/>
      <x:c r="N1806" s="1"/>
      <x:c r="O1806" s="1"/>
      <x:c r="P1806" s="1"/>
      <x:c r="Q1806" s="1"/>
      <x:c r="R1806" s="1"/>
      <x:c r="S1806" s="1"/>
      <x:c r="T1806" s="1"/>
      <x:c r="U1806" s="1"/>
      <x:c r="V1806" s="1"/>
    </x:row>
    <x:row r="1807">
      <x:c r="A1807" s="1"/>
      <x:c r="B1807" s="1"/>
      <x:c r="C1807" s="1"/>
      <x:c r="D1807" s="1"/>
      <x:c r="E1807" s="1"/>
      <x:c r="F1807" s="1"/>
      <x:c r="G1807" s="1"/>
      <x:c r="H1807" s="1"/>
      <x:c r="I1807" s="1"/>
      <x:c r="J1807" s="1"/>
      <x:c r="K1807" s="1"/>
      <x:c r="L1807" s="1"/>
      <x:c r="M1807" s="1"/>
      <x:c r="N1807" s="1"/>
      <x:c r="O1807" s="1"/>
      <x:c r="P1807" s="1"/>
      <x:c r="Q1807" s="1"/>
      <x:c r="R1807" s="1"/>
      <x:c r="S1807" s="1"/>
      <x:c r="T1807" s="1"/>
      <x:c r="U1807" s="1"/>
      <x:c r="V1807" s="1"/>
    </x:row>
    <x:row r="1808">
      <x:c r="A1808" s="1"/>
      <x:c r="B1808" s="1"/>
      <x:c r="C1808" s="1"/>
      <x:c r="D1808" s="1"/>
      <x:c r="E1808" s="1"/>
      <x:c r="F1808" s="1"/>
      <x:c r="G1808" s="1"/>
      <x:c r="H1808" s="1"/>
      <x:c r="I1808" s="1"/>
      <x:c r="J1808" s="1"/>
      <x:c r="K1808" s="1"/>
      <x:c r="L1808" s="1"/>
      <x:c r="M1808" s="1"/>
      <x:c r="N1808" s="1"/>
      <x:c r="O1808" s="1"/>
      <x:c r="P1808" s="1"/>
      <x:c r="Q1808" s="1"/>
      <x:c r="R1808" s="1"/>
      <x:c r="S1808" s="1"/>
      <x:c r="T1808" s="1"/>
      <x:c r="U1808" s="1"/>
      <x:c r="V1808" s="1"/>
    </x:row>
    <x:row r="1809">
      <x:c r="A1809" s="1"/>
      <x:c r="B1809" s="1"/>
      <x:c r="C1809" s="1"/>
      <x:c r="D1809" s="1"/>
      <x:c r="E1809" s="1"/>
      <x:c r="F1809" s="1"/>
      <x:c r="G1809" s="1"/>
      <x:c r="H1809" s="1"/>
      <x:c r="I1809" s="1"/>
      <x:c r="J1809" s="1"/>
      <x:c r="K1809" s="1"/>
      <x:c r="L1809" s="1"/>
      <x:c r="M1809" s="1"/>
      <x:c r="N1809" s="1"/>
      <x:c r="O1809" s="1"/>
      <x:c r="P1809" s="1"/>
      <x:c r="Q1809" s="1"/>
      <x:c r="R1809" s="1"/>
      <x:c r="S1809" s="1"/>
      <x:c r="T1809" s="1"/>
      <x:c r="U1809" s="1"/>
      <x:c r="V1809" s="1"/>
    </x:row>
    <x:row r="1810">
      <x:c r="A1810" s="1"/>
      <x:c r="B1810" s="1"/>
      <x:c r="C1810" s="1"/>
      <x:c r="D1810" s="1"/>
      <x:c r="E1810" s="1"/>
      <x:c r="F1810" s="1"/>
      <x:c r="G1810" s="1"/>
      <x:c r="H1810" s="1"/>
      <x:c r="I1810" s="1"/>
      <x:c r="J1810" s="1"/>
      <x:c r="K1810" s="1"/>
      <x:c r="L1810" s="1"/>
      <x:c r="M1810" s="1"/>
      <x:c r="N1810" s="1"/>
      <x:c r="O1810" s="1"/>
      <x:c r="P1810" s="1"/>
      <x:c r="Q1810" s="1"/>
      <x:c r="R1810" s="1"/>
      <x:c r="S1810" s="1"/>
      <x:c r="T1810" s="1"/>
      <x:c r="U1810" s="1"/>
      <x:c r="V1810" s="1"/>
    </x:row>
    <x:row r="1811">
      <x:c r="A1811" s="1"/>
      <x:c r="B1811" s="1"/>
      <x:c r="C1811" s="1"/>
      <x:c r="D1811" s="1"/>
      <x:c r="E1811" s="1"/>
      <x:c r="F1811" s="1"/>
      <x:c r="G1811" s="1"/>
      <x:c r="H1811" s="1"/>
      <x:c r="I1811" s="1"/>
      <x:c r="J1811" s="1"/>
      <x:c r="K1811" s="1"/>
      <x:c r="L1811" s="1"/>
      <x:c r="M1811" s="1"/>
      <x:c r="N1811" s="1"/>
      <x:c r="O1811" s="1"/>
      <x:c r="P1811" s="1"/>
      <x:c r="Q1811" s="1"/>
      <x:c r="R1811" s="1"/>
      <x:c r="S1811" s="1"/>
      <x:c r="T1811" s="1"/>
      <x:c r="U1811" s="1"/>
      <x:c r="V1811" s="1"/>
    </x:row>
    <x:row r="1812">
      <x:c r="A1812" s="1"/>
      <x:c r="B1812" s="1"/>
      <x:c r="C1812" s="1"/>
      <x:c r="D1812" s="1"/>
      <x:c r="E1812" s="1"/>
      <x:c r="F1812" s="1"/>
      <x:c r="G1812" s="1"/>
      <x:c r="H1812" s="1"/>
      <x:c r="I1812" s="1"/>
      <x:c r="J1812" s="1"/>
      <x:c r="K1812" s="1"/>
      <x:c r="L1812" s="1"/>
      <x:c r="M1812" s="1"/>
      <x:c r="N1812" s="1"/>
      <x:c r="O1812" s="1"/>
      <x:c r="P1812" s="1"/>
      <x:c r="Q1812" s="1"/>
      <x:c r="R1812" s="1"/>
      <x:c r="S1812" s="1"/>
      <x:c r="T1812" s="1"/>
      <x:c r="U1812" s="1"/>
      <x:c r="V1812" s="1"/>
    </x:row>
    <x:row r="1813">
      <x:c r="A1813" s="1"/>
      <x:c r="B1813" s="1"/>
      <x:c r="C1813" s="1"/>
      <x:c r="D1813" s="1"/>
      <x:c r="E1813" s="1"/>
      <x:c r="F1813" s="1"/>
      <x:c r="G1813" s="1"/>
      <x:c r="H1813" s="1"/>
      <x:c r="I1813" s="1"/>
      <x:c r="J1813" s="1"/>
      <x:c r="K1813" s="1"/>
      <x:c r="L1813" s="1"/>
      <x:c r="M1813" s="1"/>
      <x:c r="N1813" s="1"/>
      <x:c r="O1813" s="1"/>
      <x:c r="P1813" s="1"/>
      <x:c r="Q1813" s="1"/>
      <x:c r="R1813" s="1"/>
      <x:c r="S1813" s="1"/>
      <x:c r="T1813" s="1"/>
      <x:c r="U1813" s="1"/>
      <x:c r="V1813" s="1"/>
    </x:row>
    <x:row r="1814">
      <x:c r="A1814" s="1"/>
      <x:c r="B1814" s="1"/>
      <x:c r="C1814" s="1"/>
      <x:c r="D1814" s="1"/>
      <x:c r="E1814" s="1"/>
      <x:c r="F1814" s="1"/>
      <x:c r="G1814" s="1"/>
      <x:c r="H1814" s="1"/>
      <x:c r="I1814" s="1"/>
      <x:c r="J1814" s="1"/>
      <x:c r="K1814" s="1"/>
      <x:c r="L1814" s="1"/>
      <x:c r="M1814" s="1"/>
      <x:c r="N1814" s="1"/>
      <x:c r="O1814" s="1"/>
      <x:c r="P1814" s="1"/>
      <x:c r="Q1814" s="1"/>
      <x:c r="R1814" s="1"/>
      <x:c r="S1814" s="1"/>
      <x:c r="T1814" s="1"/>
      <x:c r="U1814" s="1"/>
      <x:c r="V1814" s="1"/>
    </x:row>
    <x:row r="1815">
      <x:c r="A1815" s="1"/>
      <x:c r="B1815" s="1"/>
      <x:c r="C1815" s="1"/>
      <x:c r="D1815" s="1"/>
      <x:c r="E1815" s="1"/>
      <x:c r="F1815" s="1"/>
      <x:c r="G1815" s="1"/>
      <x:c r="H1815" s="1"/>
      <x:c r="I1815" s="1"/>
      <x:c r="J1815" s="1"/>
      <x:c r="K1815" s="1"/>
      <x:c r="L1815" s="1"/>
      <x:c r="M1815" s="1"/>
      <x:c r="N1815" s="1"/>
      <x:c r="O1815" s="1"/>
      <x:c r="P1815" s="1"/>
      <x:c r="Q1815" s="1"/>
      <x:c r="R1815" s="1"/>
      <x:c r="S1815" s="1"/>
      <x:c r="T1815" s="1"/>
      <x:c r="U1815" s="1"/>
      <x:c r="V1815" s="1"/>
    </x:row>
    <x:row r="1816">
      <x:c r="A1816" s="1"/>
      <x:c r="B1816" s="1"/>
      <x:c r="C1816" s="1"/>
      <x:c r="D1816" s="1"/>
      <x:c r="E1816" s="1"/>
      <x:c r="F1816" s="1"/>
      <x:c r="G1816" s="1"/>
      <x:c r="H1816" s="1"/>
      <x:c r="I1816" s="1"/>
      <x:c r="J1816" s="1"/>
      <x:c r="K1816" s="1"/>
      <x:c r="L1816" s="1"/>
      <x:c r="M1816" s="1"/>
      <x:c r="N1816" s="1"/>
      <x:c r="O1816" s="1"/>
      <x:c r="P1816" s="1"/>
      <x:c r="Q1816" s="1"/>
      <x:c r="R1816" s="1"/>
      <x:c r="S1816" s="1"/>
      <x:c r="T1816" s="1"/>
      <x:c r="U1816" s="1"/>
      <x:c r="V1816" s="1"/>
    </x:row>
    <x:row r="1817">
      <x:c r="A1817" s="1"/>
      <x:c r="B1817" s="1"/>
      <x:c r="C1817" s="1"/>
      <x:c r="D1817" s="1"/>
      <x:c r="E1817" s="1"/>
      <x:c r="F1817" s="1"/>
      <x:c r="G1817" s="1"/>
      <x:c r="H1817" s="1"/>
      <x:c r="I1817" s="1"/>
      <x:c r="J1817" s="1"/>
      <x:c r="K1817" s="1"/>
      <x:c r="L1817" s="1"/>
      <x:c r="M1817" s="1"/>
      <x:c r="N1817" s="1"/>
      <x:c r="O1817" s="1"/>
      <x:c r="P1817" s="1"/>
      <x:c r="Q1817" s="1"/>
      <x:c r="R1817" s="1"/>
      <x:c r="S1817" s="1"/>
      <x:c r="T1817" s="1"/>
      <x:c r="U1817" s="1"/>
      <x:c r="V1817" s="1"/>
    </x:row>
    <x:row r="1818">
      <x:c r="A1818" s="1"/>
      <x:c r="B1818" s="1"/>
      <x:c r="C1818" s="1"/>
      <x:c r="D1818" s="1"/>
      <x:c r="E1818" s="1"/>
      <x:c r="F1818" s="1"/>
      <x:c r="G1818" s="1"/>
      <x:c r="H1818" s="1"/>
      <x:c r="I1818" s="1"/>
      <x:c r="J1818" s="1"/>
      <x:c r="K1818" s="1"/>
      <x:c r="L1818" s="1"/>
      <x:c r="M1818" s="1"/>
      <x:c r="N1818" s="1"/>
      <x:c r="O1818" s="1"/>
      <x:c r="P1818" s="1"/>
      <x:c r="Q1818" s="1"/>
      <x:c r="R1818" s="1"/>
      <x:c r="S1818" s="1"/>
      <x:c r="T1818" s="1"/>
      <x:c r="U1818" s="1"/>
      <x:c r="V1818" s="1"/>
    </x:row>
    <x:row r="1819">
      <x:c r="A1819" s="1"/>
      <x:c r="B1819" s="1"/>
      <x:c r="C1819" s="1"/>
      <x:c r="D1819" s="1"/>
      <x:c r="E1819" s="1"/>
      <x:c r="F1819" s="1"/>
      <x:c r="G1819" s="1"/>
      <x:c r="H1819" s="1"/>
      <x:c r="I1819" s="1"/>
      <x:c r="J1819" s="1"/>
      <x:c r="K1819" s="1"/>
      <x:c r="L1819" s="1"/>
      <x:c r="M1819" s="1"/>
      <x:c r="N1819" s="1"/>
      <x:c r="O1819" s="1"/>
      <x:c r="P1819" s="1"/>
      <x:c r="Q1819" s="1"/>
      <x:c r="R1819" s="1"/>
      <x:c r="S1819" s="1"/>
      <x:c r="T1819" s="1"/>
      <x:c r="U1819" s="1"/>
      <x:c r="V1819" s="1"/>
    </x:row>
    <x:row r="1820">
      <x:c r="A1820" s="1"/>
      <x:c r="B1820" s="1"/>
      <x:c r="C1820" s="1"/>
      <x:c r="D1820" s="1"/>
      <x:c r="E1820" s="1"/>
      <x:c r="F1820" s="1"/>
      <x:c r="G1820" s="1"/>
      <x:c r="H1820" s="1"/>
      <x:c r="I1820" s="1"/>
      <x:c r="J1820" s="1"/>
      <x:c r="K1820" s="1"/>
      <x:c r="L1820" s="1"/>
      <x:c r="M1820" s="1"/>
      <x:c r="N1820" s="1"/>
      <x:c r="O1820" s="1"/>
      <x:c r="P1820" s="1"/>
      <x:c r="Q1820" s="1"/>
      <x:c r="R1820" s="1"/>
      <x:c r="S1820" s="1"/>
      <x:c r="T1820" s="1"/>
      <x:c r="U1820" s="1"/>
      <x:c r="V1820" s="1"/>
    </x:row>
    <x:row r="1821">
      <x:c r="A1821" s="1"/>
      <x:c r="B1821" s="1"/>
      <x:c r="C1821" s="1"/>
      <x:c r="D1821" s="1"/>
      <x:c r="E1821" s="1"/>
      <x:c r="F1821" s="1"/>
      <x:c r="G1821" s="1"/>
      <x:c r="H1821" s="1"/>
      <x:c r="I1821" s="1"/>
      <x:c r="J1821" s="1"/>
      <x:c r="K1821" s="1"/>
      <x:c r="L1821" s="1"/>
      <x:c r="M1821" s="1"/>
      <x:c r="N1821" s="1"/>
      <x:c r="O1821" s="1"/>
      <x:c r="P1821" s="1"/>
      <x:c r="Q1821" s="1"/>
      <x:c r="R1821" s="1"/>
      <x:c r="S1821" s="1"/>
      <x:c r="T1821" s="1"/>
      <x:c r="U1821" s="1"/>
      <x:c r="V1821" s="1"/>
    </x:row>
    <x:row r="1822">
      <x:c r="A1822" s="1"/>
      <x:c r="B1822" s="1"/>
      <x:c r="C1822" s="1"/>
      <x:c r="D1822" s="1"/>
      <x:c r="E1822" s="1"/>
      <x:c r="F1822" s="1"/>
      <x:c r="G1822" s="1"/>
      <x:c r="H1822" s="1"/>
      <x:c r="I1822" s="1"/>
      <x:c r="J1822" s="1"/>
      <x:c r="K1822" s="1"/>
      <x:c r="L1822" s="1"/>
      <x:c r="M1822" s="1"/>
      <x:c r="N1822" s="1"/>
      <x:c r="O1822" s="1"/>
      <x:c r="P1822" s="1"/>
      <x:c r="Q1822" s="1"/>
      <x:c r="R1822" s="1"/>
      <x:c r="S1822" s="1"/>
      <x:c r="T1822" s="1"/>
      <x:c r="U1822" s="1"/>
      <x:c r="V1822" s="1"/>
    </x:row>
    <x:row r="1823">
      <x:c r="A1823" s="1"/>
      <x:c r="B1823" s="1"/>
      <x:c r="C1823" s="1"/>
      <x:c r="D1823" s="1"/>
      <x:c r="E1823" s="1"/>
      <x:c r="F1823" s="1"/>
      <x:c r="G1823" s="1"/>
      <x:c r="H1823" s="1"/>
      <x:c r="I1823" s="1"/>
      <x:c r="J1823" s="1"/>
      <x:c r="K1823" s="1"/>
      <x:c r="L1823" s="1"/>
      <x:c r="M1823" s="1"/>
      <x:c r="N1823" s="1"/>
      <x:c r="O1823" s="1"/>
      <x:c r="P1823" s="1"/>
      <x:c r="Q1823" s="1"/>
      <x:c r="R1823" s="1"/>
      <x:c r="S1823" s="1"/>
      <x:c r="T1823" s="1"/>
      <x:c r="U1823" s="1"/>
      <x:c r="V1823" s="1"/>
    </x:row>
    <x:row r="1824">
      <x:c r="A1824" s="1"/>
      <x:c r="B1824" s="1"/>
      <x:c r="C1824" s="1"/>
      <x:c r="D1824" s="1"/>
      <x:c r="E1824" s="1"/>
      <x:c r="F1824" s="1"/>
      <x:c r="G1824" s="1"/>
      <x:c r="H1824" s="1"/>
      <x:c r="I1824" s="1"/>
      <x:c r="J1824" s="1"/>
      <x:c r="K1824" s="1"/>
      <x:c r="L1824" s="1"/>
      <x:c r="M1824" s="1"/>
      <x:c r="N1824" s="1"/>
      <x:c r="O1824" s="1"/>
      <x:c r="P1824" s="1"/>
      <x:c r="Q1824" s="1"/>
      <x:c r="R1824" s="1"/>
      <x:c r="S1824" s="1"/>
      <x:c r="T1824" s="1"/>
      <x:c r="U1824" s="1"/>
      <x:c r="V1824" s="1"/>
    </x:row>
    <x:row r="1825">
      <x:c r="A1825" s="1"/>
      <x:c r="B1825" s="1"/>
      <x:c r="C1825" s="1"/>
      <x:c r="D1825" s="1"/>
      <x:c r="E1825" s="1"/>
      <x:c r="F1825" s="1"/>
      <x:c r="G1825" s="1"/>
      <x:c r="H1825" s="1"/>
      <x:c r="I1825" s="1"/>
      <x:c r="J1825" s="1"/>
      <x:c r="K1825" s="1"/>
      <x:c r="L1825" s="1"/>
      <x:c r="M1825" s="1"/>
      <x:c r="N1825" s="1"/>
      <x:c r="O1825" s="1"/>
      <x:c r="P1825" s="1"/>
      <x:c r="Q1825" s="1"/>
      <x:c r="R1825" s="1"/>
      <x:c r="S1825" s="1"/>
      <x:c r="T1825" s="1"/>
      <x:c r="U1825" s="1"/>
      <x:c r="V1825" s="1"/>
    </x:row>
    <x:row r="1826">
      <x:c r="A1826" s="1"/>
      <x:c r="B1826" s="1"/>
      <x:c r="C1826" s="1"/>
      <x:c r="D1826" s="1"/>
      <x:c r="E1826" s="1"/>
      <x:c r="F1826" s="1"/>
      <x:c r="G1826" s="1"/>
      <x:c r="H1826" s="1"/>
      <x:c r="I1826" s="1"/>
      <x:c r="J1826" s="1"/>
      <x:c r="K1826" s="1"/>
      <x:c r="L1826" s="1"/>
      <x:c r="M1826" s="1"/>
      <x:c r="N1826" s="1"/>
      <x:c r="O1826" s="1"/>
      <x:c r="P1826" s="1"/>
      <x:c r="Q1826" s="1"/>
      <x:c r="R1826" s="1"/>
      <x:c r="S1826" s="1"/>
      <x:c r="T1826" s="1"/>
      <x:c r="U1826" s="1"/>
      <x:c r="V1826" s="1"/>
    </x:row>
    <x:row r="1827">
      <x:c r="A1827" s="1"/>
      <x:c r="B1827" s="1"/>
      <x:c r="C1827" s="1"/>
      <x:c r="D1827" s="1"/>
      <x:c r="E1827" s="1"/>
      <x:c r="F1827" s="1"/>
      <x:c r="G1827" s="1"/>
      <x:c r="H1827" s="1"/>
      <x:c r="I1827" s="1"/>
      <x:c r="J1827" s="1"/>
      <x:c r="K1827" s="1"/>
      <x:c r="L1827" s="1"/>
      <x:c r="M1827" s="1"/>
      <x:c r="N1827" s="1"/>
      <x:c r="O1827" s="1"/>
      <x:c r="P1827" s="1"/>
      <x:c r="Q1827" s="1"/>
      <x:c r="R1827" s="1"/>
      <x:c r="S1827" s="1"/>
      <x:c r="T1827" s="1"/>
      <x:c r="U1827" s="1"/>
      <x:c r="V1827" s="1"/>
    </x:row>
    <x:row r="1828">
      <x:c r="A1828" s="1"/>
      <x:c r="B1828" s="1"/>
      <x:c r="C1828" s="1"/>
      <x:c r="D1828" s="1"/>
      <x:c r="E1828" s="1"/>
      <x:c r="F1828" s="1"/>
      <x:c r="G1828" s="1"/>
      <x:c r="H1828" s="1"/>
      <x:c r="I1828" s="1"/>
      <x:c r="J1828" s="1"/>
      <x:c r="K1828" s="1"/>
      <x:c r="L1828" s="1"/>
      <x:c r="M1828" s="1"/>
      <x:c r="N1828" s="1"/>
      <x:c r="O1828" s="1"/>
      <x:c r="P1828" s="1"/>
      <x:c r="Q1828" s="1"/>
      <x:c r="R1828" s="1"/>
      <x:c r="S1828" s="1"/>
      <x:c r="T1828" s="1"/>
      <x:c r="U1828" s="1"/>
      <x:c r="V1828" s="1"/>
    </x:row>
    <x:row r="1829">
      <x:c r="A1829" s="1"/>
      <x:c r="B1829" s="1"/>
      <x:c r="C1829" s="1"/>
      <x:c r="D1829" s="1"/>
      <x:c r="E1829" s="1"/>
      <x:c r="F1829" s="1"/>
      <x:c r="G1829" s="1"/>
      <x:c r="H1829" s="1"/>
      <x:c r="I1829" s="1"/>
      <x:c r="J1829" s="1"/>
      <x:c r="K1829" s="1"/>
      <x:c r="L1829" s="1"/>
      <x:c r="M1829" s="1"/>
      <x:c r="N1829" s="1"/>
      <x:c r="O1829" s="1"/>
      <x:c r="P1829" s="1"/>
      <x:c r="Q1829" s="1"/>
      <x:c r="R1829" s="1"/>
      <x:c r="S1829" s="1"/>
      <x:c r="T1829" s="1"/>
      <x:c r="U1829" s="1"/>
      <x:c r="V1829" s="1"/>
    </x:row>
    <x:row r="1830">
      <x:c r="A1830" s="1"/>
      <x:c r="B1830" s="1"/>
      <x:c r="C1830" s="1"/>
      <x:c r="D1830" s="1"/>
      <x:c r="E1830" s="1"/>
      <x:c r="F1830" s="1"/>
      <x:c r="G1830" s="1"/>
      <x:c r="H1830" s="1"/>
      <x:c r="I1830" s="1"/>
      <x:c r="J1830" s="1"/>
      <x:c r="K1830" s="1"/>
      <x:c r="L1830" s="1"/>
      <x:c r="M1830" s="1"/>
      <x:c r="N1830" s="1"/>
      <x:c r="O1830" s="1"/>
      <x:c r="P1830" s="1"/>
      <x:c r="Q1830" s="1"/>
      <x:c r="R1830" s="1"/>
      <x:c r="S1830" s="1"/>
      <x:c r="T1830" s="1"/>
      <x:c r="U1830" s="1"/>
      <x:c r="V1830" s="1"/>
    </x:row>
    <x:row r="1831">
      <x:c r="A1831" s="1"/>
      <x:c r="B1831" s="1"/>
      <x:c r="C1831" s="1"/>
      <x:c r="D1831" s="1"/>
      <x:c r="E1831" s="1"/>
      <x:c r="F1831" s="1"/>
      <x:c r="G1831" s="1"/>
      <x:c r="H1831" s="1"/>
      <x:c r="I1831" s="1"/>
      <x:c r="J1831" s="1"/>
      <x:c r="K1831" s="1"/>
      <x:c r="L1831" s="1"/>
      <x:c r="M1831" s="1"/>
      <x:c r="N1831" s="1"/>
      <x:c r="O1831" s="1"/>
      <x:c r="P1831" s="1"/>
      <x:c r="Q1831" s="1"/>
      <x:c r="R1831" s="1"/>
      <x:c r="S1831" s="1"/>
      <x:c r="T1831" s="1"/>
      <x:c r="U1831" s="1"/>
      <x:c r="V1831" s="1"/>
    </x:row>
    <x:row r="1832">
      <x:c r="A1832" s="1"/>
      <x:c r="B1832" s="1"/>
      <x:c r="C1832" s="1"/>
      <x:c r="D1832" s="1"/>
      <x:c r="E1832" s="1"/>
      <x:c r="F1832" s="1"/>
      <x:c r="G1832" s="1"/>
      <x:c r="H1832" s="1"/>
      <x:c r="I1832" s="1"/>
      <x:c r="J1832" s="1"/>
      <x:c r="K1832" s="1"/>
      <x:c r="L1832" s="1"/>
      <x:c r="M1832" s="1"/>
      <x:c r="N1832" s="1"/>
      <x:c r="O1832" s="1"/>
      <x:c r="P1832" s="1"/>
      <x:c r="Q1832" s="1"/>
      <x:c r="R1832" s="1"/>
      <x:c r="S1832" s="1"/>
      <x:c r="T1832" s="1"/>
      <x:c r="U1832" s="1"/>
      <x:c r="V1832" s="1"/>
    </x:row>
    <x:row r="1833">
      <x:c r="A1833" s="1"/>
      <x:c r="B1833" s="1"/>
      <x:c r="C1833" s="1"/>
      <x:c r="D1833" s="1"/>
      <x:c r="E1833" s="1"/>
      <x:c r="F1833" s="1"/>
      <x:c r="G1833" s="1"/>
      <x:c r="H1833" s="1"/>
      <x:c r="I1833" s="1"/>
      <x:c r="J1833" s="1"/>
      <x:c r="K1833" s="1"/>
      <x:c r="L1833" s="1"/>
      <x:c r="M1833" s="1"/>
      <x:c r="N1833" s="1"/>
      <x:c r="O1833" s="1"/>
      <x:c r="P1833" s="1"/>
      <x:c r="Q1833" s="1"/>
      <x:c r="R1833" s="1"/>
      <x:c r="S1833" s="1"/>
      <x:c r="T1833" s="1"/>
      <x:c r="U1833" s="1"/>
      <x:c r="V1833" s="1"/>
    </x:row>
    <x:row r="1834">
      <x:c r="A1834" s="1"/>
      <x:c r="B1834" s="1"/>
      <x:c r="C1834" s="1"/>
      <x:c r="D1834" s="1"/>
      <x:c r="E1834" s="1"/>
      <x:c r="F1834" s="1"/>
      <x:c r="G1834" s="1"/>
      <x:c r="H1834" s="1"/>
      <x:c r="I1834" s="1"/>
      <x:c r="J1834" s="1"/>
      <x:c r="K1834" s="1"/>
      <x:c r="L1834" s="1"/>
      <x:c r="M1834" s="1"/>
      <x:c r="N1834" s="1"/>
      <x:c r="O1834" s="1"/>
      <x:c r="P1834" s="1"/>
      <x:c r="Q1834" s="1"/>
      <x:c r="R1834" s="1"/>
      <x:c r="S1834" s="1"/>
      <x:c r="T1834" s="1"/>
      <x:c r="U1834" s="1"/>
      <x:c r="V1834" s="1"/>
    </x:row>
    <x:row r="1835">
      <x:c r="A1835" s="1"/>
      <x:c r="B1835" s="1"/>
      <x:c r="C1835" s="1"/>
      <x:c r="D1835" s="1"/>
      <x:c r="E1835" s="1"/>
      <x:c r="F1835" s="1"/>
      <x:c r="G1835" s="1"/>
      <x:c r="H1835" s="1"/>
      <x:c r="I1835" s="1"/>
      <x:c r="J1835" s="1"/>
      <x:c r="K1835" s="1"/>
      <x:c r="L1835" s="1"/>
      <x:c r="M1835" s="1"/>
      <x:c r="N1835" s="1"/>
      <x:c r="O1835" s="1"/>
      <x:c r="P1835" s="1"/>
      <x:c r="Q1835" s="1"/>
      <x:c r="R1835" s="1"/>
      <x:c r="S1835" s="1"/>
      <x:c r="T1835" s="1"/>
      <x:c r="U1835" s="1"/>
      <x:c r="V1835" s="1"/>
    </x:row>
    <x:row r="1836">
      <x:c r="A1836" s="1"/>
      <x:c r="B1836" s="1"/>
      <x:c r="C1836" s="1"/>
      <x:c r="D1836" s="1"/>
      <x:c r="E1836" s="1"/>
      <x:c r="F1836" s="1"/>
      <x:c r="G1836" s="1"/>
      <x:c r="H1836" s="1"/>
      <x:c r="I1836" s="1"/>
      <x:c r="J1836" s="1"/>
      <x:c r="K1836" s="1"/>
      <x:c r="L1836" s="1"/>
      <x:c r="M1836" s="1"/>
      <x:c r="N1836" s="1"/>
      <x:c r="O1836" s="1"/>
      <x:c r="P1836" s="1"/>
      <x:c r="Q1836" s="1"/>
      <x:c r="R1836" s="1"/>
      <x:c r="S1836" s="1"/>
      <x:c r="T1836" s="1"/>
      <x:c r="U1836" s="1"/>
      <x:c r="V1836" s="1"/>
    </x:row>
    <x:row r="1837">
      <x:c r="A1837" s="1"/>
      <x:c r="B1837" s="1"/>
      <x:c r="C1837" s="1"/>
      <x:c r="D1837" s="1"/>
      <x:c r="E1837" s="1"/>
      <x:c r="F1837" s="1"/>
      <x:c r="G1837" s="1"/>
      <x:c r="H1837" s="1"/>
      <x:c r="I1837" s="1"/>
      <x:c r="J1837" s="1"/>
      <x:c r="K1837" s="1"/>
      <x:c r="L1837" s="1"/>
      <x:c r="M1837" s="1"/>
      <x:c r="N1837" s="1"/>
      <x:c r="O1837" s="1"/>
      <x:c r="P1837" s="1"/>
      <x:c r="Q1837" s="1"/>
      <x:c r="R1837" s="1"/>
      <x:c r="S1837" s="1"/>
      <x:c r="T1837" s="1"/>
      <x:c r="U1837" s="1"/>
      <x:c r="V1837" s="1"/>
    </x:row>
    <x:row r="1838">
      <x:c r="A1838" s="1"/>
      <x:c r="B1838" s="1"/>
      <x:c r="C1838" s="1"/>
      <x:c r="D1838" s="1"/>
      <x:c r="E1838" s="1"/>
      <x:c r="F1838" s="1"/>
      <x:c r="G1838" s="1"/>
      <x:c r="H1838" s="1"/>
      <x:c r="I1838" s="1"/>
      <x:c r="J1838" s="1"/>
      <x:c r="K1838" s="1"/>
      <x:c r="L1838" s="1"/>
      <x:c r="M1838" s="1"/>
      <x:c r="N1838" s="1"/>
      <x:c r="O1838" s="1"/>
      <x:c r="P1838" s="1"/>
      <x:c r="Q1838" s="1"/>
      <x:c r="R1838" s="1"/>
      <x:c r="S1838" s="1"/>
      <x:c r="T1838" s="1"/>
      <x:c r="U1838" s="1"/>
      <x:c r="V1838" s="1"/>
    </x:row>
    <x:row r="1839">
      <x:c r="A1839" s="1"/>
      <x:c r="B1839" s="1"/>
      <x:c r="C1839" s="1"/>
      <x:c r="D1839" s="1"/>
      <x:c r="E1839" s="1"/>
      <x:c r="F1839" s="1"/>
      <x:c r="G1839" s="1"/>
      <x:c r="H1839" s="1"/>
      <x:c r="I1839" s="1"/>
      <x:c r="J1839" s="1"/>
      <x:c r="K1839" s="1"/>
      <x:c r="L1839" s="1"/>
      <x:c r="M1839" s="1"/>
      <x:c r="N1839" s="1"/>
      <x:c r="O1839" s="1"/>
      <x:c r="P1839" s="1"/>
      <x:c r="Q1839" s="1"/>
      <x:c r="R1839" s="1"/>
      <x:c r="S1839" s="1"/>
      <x:c r="T1839" s="1"/>
      <x:c r="U1839" s="1"/>
      <x:c r="V1839" s="1"/>
    </x:row>
    <x:row r="1840">
      <x:c r="A1840" s="1"/>
      <x:c r="B1840" s="1"/>
      <x:c r="C1840" s="1"/>
      <x:c r="D1840" s="1"/>
      <x:c r="E1840" s="1"/>
      <x:c r="F1840" s="1"/>
      <x:c r="G1840" s="1"/>
      <x:c r="H1840" s="1"/>
      <x:c r="I1840" s="1"/>
      <x:c r="J1840" s="1"/>
      <x:c r="K1840" s="1"/>
      <x:c r="L1840" s="1"/>
      <x:c r="M1840" s="1"/>
      <x:c r="N1840" s="1"/>
      <x:c r="O1840" s="1"/>
      <x:c r="P1840" s="1"/>
      <x:c r="Q1840" s="1"/>
      <x:c r="R1840" s="1"/>
      <x:c r="S1840" s="1"/>
      <x:c r="T1840" s="1"/>
      <x:c r="U1840" s="1"/>
      <x:c r="V1840" s="1"/>
    </x:row>
    <x:row r="1841">
      <x:c r="A1841" s="1"/>
      <x:c r="B1841" s="1"/>
      <x:c r="C1841" s="1"/>
      <x:c r="D1841" s="1"/>
      <x:c r="E1841" s="1"/>
      <x:c r="F1841" s="1"/>
      <x:c r="G1841" s="1"/>
      <x:c r="H1841" s="1"/>
      <x:c r="I1841" s="1"/>
      <x:c r="J1841" s="1"/>
      <x:c r="K1841" s="1"/>
      <x:c r="L1841" s="1"/>
      <x:c r="M1841" s="1"/>
      <x:c r="N1841" s="1"/>
      <x:c r="O1841" s="1"/>
      <x:c r="P1841" s="1"/>
      <x:c r="Q1841" s="1"/>
      <x:c r="R1841" s="1"/>
      <x:c r="S1841" s="1"/>
      <x:c r="T1841" s="1"/>
      <x:c r="U1841" s="1"/>
      <x:c r="V1841" s="1"/>
    </x:row>
    <x:row r="1842">
      <x:c r="A1842" s="1"/>
      <x:c r="B1842" s="1"/>
      <x:c r="C1842" s="1"/>
      <x:c r="D1842" s="1"/>
      <x:c r="E1842" s="1"/>
      <x:c r="F1842" s="1"/>
      <x:c r="G1842" s="1"/>
      <x:c r="H1842" s="1"/>
      <x:c r="I1842" s="1"/>
      <x:c r="J1842" s="1"/>
      <x:c r="K1842" s="1"/>
      <x:c r="L1842" s="1"/>
      <x:c r="M1842" s="1"/>
      <x:c r="N1842" s="1"/>
      <x:c r="O1842" s="1"/>
      <x:c r="P1842" s="1"/>
      <x:c r="Q1842" s="1"/>
      <x:c r="R1842" s="1"/>
      <x:c r="S1842" s="1"/>
      <x:c r="T1842" s="1"/>
      <x:c r="U1842" s="1"/>
      <x:c r="V1842" s="1"/>
    </x:row>
    <x:row r="1843">
      <x:c r="A1843" s="1"/>
      <x:c r="B1843" s="1"/>
      <x:c r="C1843" s="1"/>
      <x:c r="D1843" s="1"/>
      <x:c r="E1843" s="1"/>
      <x:c r="F1843" s="1"/>
      <x:c r="G1843" s="1"/>
      <x:c r="H1843" s="1"/>
      <x:c r="I1843" s="1"/>
      <x:c r="J1843" s="1"/>
      <x:c r="K1843" s="1"/>
      <x:c r="L1843" s="1"/>
      <x:c r="M1843" s="1"/>
      <x:c r="N1843" s="1"/>
      <x:c r="O1843" s="1"/>
      <x:c r="P1843" s="1"/>
      <x:c r="Q1843" s="1"/>
      <x:c r="R1843" s="1"/>
      <x:c r="S1843" s="1"/>
      <x:c r="T1843" s="1"/>
      <x:c r="U1843" s="1"/>
      <x:c r="V1843" s="1"/>
    </x:row>
    <x:row r="1844">
      <x:c r="A1844" s="1"/>
      <x:c r="B1844" s="1"/>
      <x:c r="C1844" s="1"/>
      <x:c r="D1844" s="1"/>
      <x:c r="E1844" s="1"/>
      <x:c r="F1844" s="1"/>
      <x:c r="G1844" s="1"/>
      <x:c r="H1844" s="1"/>
      <x:c r="I1844" s="1"/>
      <x:c r="J1844" s="1"/>
      <x:c r="K1844" s="1"/>
      <x:c r="L1844" s="1"/>
      <x:c r="M1844" s="1"/>
      <x:c r="N1844" s="1"/>
      <x:c r="O1844" s="1"/>
      <x:c r="P1844" s="1"/>
      <x:c r="Q1844" s="1"/>
      <x:c r="R1844" s="1"/>
      <x:c r="S1844" s="1"/>
      <x:c r="T1844" s="1"/>
      <x:c r="U1844" s="1"/>
      <x:c r="V1844" s="1"/>
    </x:row>
    <x:row r="1845">
      <x:c r="A1845" s="1"/>
      <x:c r="B1845" s="1"/>
      <x:c r="C1845" s="1"/>
      <x:c r="D1845" s="1"/>
      <x:c r="E1845" s="1"/>
      <x:c r="F1845" s="1"/>
      <x:c r="G1845" s="1"/>
      <x:c r="H1845" s="1"/>
      <x:c r="I1845" s="1"/>
      <x:c r="J1845" s="1"/>
      <x:c r="K1845" s="1"/>
      <x:c r="L1845" s="1"/>
      <x:c r="M1845" s="1"/>
      <x:c r="N1845" s="1"/>
      <x:c r="O1845" s="1"/>
      <x:c r="P1845" s="1"/>
      <x:c r="Q1845" s="1"/>
      <x:c r="R1845" s="1"/>
      <x:c r="S1845" s="1"/>
      <x:c r="T1845" s="1"/>
      <x:c r="U1845" s="1"/>
      <x:c r="V1845" s="1"/>
    </x:row>
    <x:row r="1846">
      <x:c r="A1846" s="1"/>
      <x:c r="B1846" s="1"/>
      <x:c r="C1846" s="1"/>
      <x:c r="D1846" s="1"/>
      <x:c r="E1846" s="1"/>
      <x:c r="F1846" s="1"/>
      <x:c r="G1846" s="1"/>
      <x:c r="H1846" s="1"/>
      <x:c r="I1846" s="1"/>
      <x:c r="J1846" s="1"/>
      <x:c r="K1846" s="1"/>
      <x:c r="L1846" s="1"/>
      <x:c r="M1846" s="1"/>
      <x:c r="N1846" s="1"/>
      <x:c r="O1846" s="1"/>
      <x:c r="P1846" s="1"/>
      <x:c r="Q1846" s="1"/>
      <x:c r="R1846" s="1"/>
      <x:c r="S1846" s="1"/>
      <x:c r="T1846" s="1"/>
      <x:c r="U1846" s="1"/>
      <x:c r="V1846" s="1"/>
    </x:row>
    <x:row r="1847">
      <x:c r="A1847" s="1"/>
      <x:c r="B1847" s="1"/>
      <x:c r="C1847" s="1"/>
      <x:c r="D1847" s="1"/>
      <x:c r="E1847" s="1"/>
      <x:c r="F1847" s="1"/>
      <x:c r="G1847" s="1"/>
      <x:c r="H1847" s="1"/>
      <x:c r="I1847" s="1"/>
      <x:c r="J1847" s="1"/>
      <x:c r="K1847" s="1"/>
      <x:c r="L1847" s="1"/>
      <x:c r="M1847" s="1"/>
      <x:c r="N1847" s="1"/>
      <x:c r="O1847" s="1"/>
      <x:c r="P1847" s="1"/>
      <x:c r="Q1847" s="1"/>
      <x:c r="R1847" s="1"/>
      <x:c r="S1847" s="1"/>
      <x:c r="T1847" s="1"/>
      <x:c r="U1847" s="1"/>
      <x:c r="V1847" s="1"/>
    </x:row>
    <x:row r="1848">
      <x:c r="A1848" s="1"/>
      <x:c r="B1848" s="1"/>
      <x:c r="C1848" s="1"/>
      <x:c r="D1848" s="1"/>
      <x:c r="E1848" s="1"/>
      <x:c r="F1848" s="1"/>
      <x:c r="G1848" s="1"/>
      <x:c r="H1848" s="1"/>
      <x:c r="I1848" s="1"/>
      <x:c r="J1848" s="1"/>
      <x:c r="K1848" s="1"/>
      <x:c r="L1848" s="1"/>
      <x:c r="M1848" s="1"/>
      <x:c r="N1848" s="1"/>
      <x:c r="O1848" s="1"/>
      <x:c r="P1848" s="1"/>
      <x:c r="Q1848" s="1"/>
      <x:c r="R1848" s="1"/>
      <x:c r="S1848" s="1"/>
      <x:c r="T1848" s="1"/>
      <x:c r="U1848" s="1"/>
      <x:c r="V1848" s="1"/>
    </x:row>
    <x:row r="1849">
      <x:c r="A1849" s="1"/>
      <x:c r="B1849" s="1"/>
      <x:c r="C1849" s="1"/>
      <x:c r="D1849" s="1"/>
      <x:c r="E1849" s="1"/>
      <x:c r="F1849" s="1"/>
      <x:c r="G1849" s="1"/>
      <x:c r="H1849" s="1"/>
      <x:c r="I1849" s="1"/>
      <x:c r="J1849" s="1"/>
      <x:c r="K1849" s="1"/>
      <x:c r="L1849" s="1"/>
      <x:c r="M1849" s="1"/>
      <x:c r="N1849" s="1"/>
      <x:c r="O1849" s="1"/>
      <x:c r="P1849" s="1"/>
      <x:c r="Q1849" s="1"/>
      <x:c r="R1849" s="1"/>
      <x:c r="S1849" s="1"/>
      <x:c r="T1849" s="1"/>
      <x:c r="U1849" s="1"/>
      <x:c r="V1849" s="1"/>
    </x:row>
    <x:row r="1850">
      <x:c r="A1850" s="1"/>
      <x:c r="B1850" s="1"/>
      <x:c r="C1850" s="1"/>
      <x:c r="D1850" s="1"/>
      <x:c r="E1850" s="1"/>
      <x:c r="F1850" s="1"/>
      <x:c r="G1850" s="1"/>
      <x:c r="H1850" s="1"/>
      <x:c r="I1850" s="1"/>
      <x:c r="J1850" s="1"/>
      <x:c r="K1850" s="1"/>
      <x:c r="L1850" s="1"/>
      <x:c r="M1850" s="1"/>
      <x:c r="N1850" s="1"/>
      <x:c r="O1850" s="1"/>
      <x:c r="P1850" s="1"/>
      <x:c r="Q1850" s="1"/>
      <x:c r="R1850" s="1"/>
      <x:c r="S1850" s="1"/>
      <x:c r="T1850" s="1"/>
      <x:c r="U1850" s="1"/>
      <x:c r="V1850" s="1"/>
    </x:row>
    <x:row r="1851">
      <x:c r="A1851" s="1"/>
      <x:c r="B1851" s="1"/>
      <x:c r="C1851" s="1"/>
      <x:c r="D1851" s="1"/>
      <x:c r="E1851" s="1"/>
      <x:c r="F1851" s="1"/>
      <x:c r="G1851" s="1"/>
      <x:c r="H1851" s="1"/>
      <x:c r="I1851" s="1"/>
      <x:c r="J1851" s="1"/>
      <x:c r="K1851" s="1"/>
      <x:c r="L1851" s="1"/>
      <x:c r="M1851" s="1"/>
      <x:c r="N1851" s="1"/>
      <x:c r="O1851" s="1"/>
      <x:c r="P1851" s="1"/>
      <x:c r="Q1851" s="1"/>
      <x:c r="R1851" s="1"/>
      <x:c r="S1851" s="1"/>
      <x:c r="T1851" s="1"/>
      <x:c r="U1851" s="1"/>
      <x:c r="V1851" s="1"/>
    </x:row>
    <x:row r="1852">
      <x:c r="A1852" s="1"/>
      <x:c r="B1852" s="1"/>
      <x:c r="C1852" s="1"/>
      <x:c r="D1852" s="1"/>
      <x:c r="E1852" s="1"/>
      <x:c r="F1852" s="1"/>
      <x:c r="G1852" s="1"/>
      <x:c r="H1852" s="1"/>
      <x:c r="I1852" s="1"/>
      <x:c r="J1852" s="1"/>
      <x:c r="K1852" s="1"/>
      <x:c r="L1852" s="1"/>
      <x:c r="M1852" s="1"/>
      <x:c r="N1852" s="1"/>
      <x:c r="O1852" s="1"/>
      <x:c r="P1852" s="1"/>
      <x:c r="Q1852" s="1"/>
      <x:c r="R1852" s="1"/>
      <x:c r="S1852" s="1"/>
      <x:c r="T1852" s="1"/>
      <x:c r="U1852" s="1"/>
      <x:c r="V1852" s="1"/>
    </x:row>
    <x:row r="1853">
      <x:c r="A1853" s="1"/>
      <x:c r="B1853" s="1"/>
      <x:c r="C1853" s="1"/>
      <x:c r="D1853" s="1"/>
      <x:c r="E1853" s="1"/>
      <x:c r="F1853" s="1"/>
      <x:c r="G1853" s="1"/>
      <x:c r="H1853" s="1"/>
      <x:c r="I1853" s="1"/>
      <x:c r="J1853" s="1"/>
      <x:c r="K1853" s="1"/>
      <x:c r="L1853" s="1"/>
      <x:c r="M1853" s="1"/>
      <x:c r="N1853" s="1"/>
      <x:c r="O1853" s="1"/>
      <x:c r="P1853" s="1"/>
      <x:c r="Q1853" s="1"/>
      <x:c r="R1853" s="1"/>
      <x:c r="S1853" s="1"/>
      <x:c r="T1853" s="1"/>
      <x:c r="U1853" s="1"/>
      <x:c r="V1853" s="1"/>
    </x:row>
    <x:row r="1854">
      <x:c r="A1854" s="1"/>
      <x:c r="B1854" s="1"/>
      <x:c r="C1854" s="1"/>
      <x:c r="D1854" s="1"/>
      <x:c r="E1854" s="1"/>
      <x:c r="F1854" s="1"/>
      <x:c r="G1854" s="1"/>
      <x:c r="H1854" s="1"/>
      <x:c r="I1854" s="1"/>
      <x:c r="J1854" s="1"/>
      <x:c r="K1854" s="1"/>
      <x:c r="L1854" s="1"/>
      <x:c r="M1854" s="1"/>
      <x:c r="N1854" s="1"/>
      <x:c r="O1854" s="1"/>
      <x:c r="P1854" s="1"/>
      <x:c r="Q1854" s="1"/>
      <x:c r="R1854" s="1"/>
      <x:c r="S1854" s="1"/>
      <x:c r="T1854" s="1"/>
      <x:c r="U1854" s="1"/>
      <x:c r="V1854" s="1"/>
    </x:row>
    <x:row r="1855">
      <x:c r="A1855" s="1"/>
      <x:c r="B1855" s="1"/>
      <x:c r="C1855" s="1"/>
      <x:c r="D1855" s="1"/>
      <x:c r="E1855" s="1"/>
      <x:c r="F1855" s="1"/>
      <x:c r="G1855" s="1"/>
      <x:c r="H1855" s="1"/>
      <x:c r="I1855" s="1"/>
      <x:c r="J1855" s="1"/>
      <x:c r="K1855" s="1"/>
      <x:c r="L1855" s="1"/>
      <x:c r="M1855" s="1"/>
      <x:c r="N1855" s="1"/>
      <x:c r="O1855" s="1"/>
      <x:c r="P1855" s="1"/>
      <x:c r="Q1855" s="1"/>
      <x:c r="R1855" s="1"/>
      <x:c r="S1855" s="1"/>
      <x:c r="T1855" s="1"/>
      <x:c r="U1855" s="1"/>
      <x:c r="V1855" s="1"/>
    </x:row>
    <x:row r="1856">
      <x:c r="A1856" s="1"/>
      <x:c r="B1856" s="1"/>
      <x:c r="C1856" s="1"/>
      <x:c r="D1856" s="1"/>
      <x:c r="E1856" s="1"/>
      <x:c r="F1856" s="1"/>
      <x:c r="G1856" s="1"/>
      <x:c r="H1856" s="1"/>
      <x:c r="I1856" s="1"/>
      <x:c r="J1856" s="1"/>
      <x:c r="K1856" s="1"/>
      <x:c r="L1856" s="1"/>
      <x:c r="M1856" s="1"/>
      <x:c r="N1856" s="1"/>
      <x:c r="O1856" s="1"/>
      <x:c r="P1856" s="1"/>
      <x:c r="Q1856" s="1"/>
      <x:c r="R1856" s="1"/>
      <x:c r="S1856" s="1"/>
      <x:c r="T1856" s="1"/>
      <x:c r="U1856" s="1"/>
      <x:c r="V1856" s="1"/>
    </x:row>
    <x:row r="1857">
      <x:c r="A1857" s="1"/>
      <x:c r="B1857" s="1"/>
      <x:c r="C1857" s="1"/>
      <x:c r="D1857" s="1"/>
      <x:c r="E1857" s="1"/>
      <x:c r="F1857" s="1"/>
      <x:c r="G1857" s="1"/>
      <x:c r="H1857" s="1"/>
      <x:c r="I1857" s="1"/>
      <x:c r="J1857" s="1"/>
      <x:c r="K1857" s="1"/>
      <x:c r="L1857" s="1"/>
      <x:c r="M1857" s="1"/>
      <x:c r="N1857" s="1"/>
      <x:c r="O1857" s="1"/>
      <x:c r="P1857" s="1"/>
      <x:c r="Q1857" s="1"/>
      <x:c r="R1857" s="1"/>
      <x:c r="S1857" s="1"/>
      <x:c r="T1857" s="1"/>
      <x:c r="U1857" s="1"/>
      <x:c r="V1857" s="1"/>
    </x:row>
    <x:row r="1858">
      <x:c r="A1858" s="1"/>
      <x:c r="B1858" s="1"/>
      <x:c r="C1858" s="1"/>
      <x:c r="D1858" s="1"/>
      <x:c r="E1858" s="1"/>
      <x:c r="F1858" s="1"/>
      <x:c r="G1858" s="1"/>
      <x:c r="H1858" s="1"/>
      <x:c r="I1858" s="1"/>
      <x:c r="J1858" s="1"/>
      <x:c r="K1858" s="1"/>
      <x:c r="L1858" s="1"/>
      <x:c r="M1858" s="1"/>
      <x:c r="N1858" s="1"/>
      <x:c r="O1858" s="1"/>
      <x:c r="P1858" s="1"/>
      <x:c r="Q1858" s="1"/>
      <x:c r="R1858" s="1"/>
      <x:c r="S1858" s="1"/>
      <x:c r="T1858" s="1"/>
      <x:c r="U1858" s="1"/>
      <x:c r="V1858" s="1"/>
    </x:row>
    <x:row r="1859">
      <x:c r="A1859" s="1"/>
      <x:c r="B1859" s="1"/>
      <x:c r="C1859" s="1"/>
      <x:c r="D1859" s="1"/>
      <x:c r="E1859" s="1"/>
      <x:c r="F1859" s="1"/>
      <x:c r="G1859" s="1"/>
      <x:c r="H1859" s="1"/>
      <x:c r="I1859" s="1"/>
      <x:c r="J1859" s="1"/>
      <x:c r="K1859" s="1"/>
      <x:c r="L1859" s="1"/>
      <x:c r="M1859" s="1"/>
      <x:c r="N1859" s="1"/>
      <x:c r="O1859" s="1"/>
      <x:c r="P1859" s="1"/>
      <x:c r="Q1859" s="1"/>
      <x:c r="R1859" s="1"/>
      <x:c r="S1859" s="1"/>
      <x:c r="T1859" s="1"/>
      <x:c r="U1859" s="1"/>
      <x:c r="V1859" s="1"/>
    </x:row>
    <x:row r="1860">
      <x:c r="A1860" s="1"/>
      <x:c r="B1860" s="1"/>
      <x:c r="C1860" s="1"/>
      <x:c r="D1860" s="1"/>
      <x:c r="E1860" s="1"/>
      <x:c r="F1860" s="1"/>
      <x:c r="G1860" s="1"/>
      <x:c r="H1860" s="1"/>
      <x:c r="I1860" s="1"/>
      <x:c r="J1860" s="1"/>
      <x:c r="K1860" s="1"/>
      <x:c r="L1860" s="1"/>
      <x:c r="M1860" s="1"/>
      <x:c r="N1860" s="1"/>
      <x:c r="O1860" s="1"/>
      <x:c r="P1860" s="1"/>
      <x:c r="Q1860" s="1"/>
      <x:c r="R1860" s="1"/>
      <x:c r="S1860" s="1"/>
      <x:c r="T1860" s="1"/>
      <x:c r="U1860" s="1"/>
      <x:c r="V1860" s="1"/>
    </x:row>
    <x:row r="1861">
      <x:c r="A1861" s="1"/>
      <x:c r="B1861" s="1"/>
      <x:c r="C1861" s="1"/>
      <x:c r="D1861" s="1"/>
      <x:c r="E1861" s="1"/>
      <x:c r="F1861" s="1"/>
      <x:c r="G1861" s="1"/>
      <x:c r="H1861" s="1"/>
      <x:c r="I1861" s="1"/>
      <x:c r="J1861" s="1"/>
      <x:c r="K1861" s="1"/>
      <x:c r="L1861" s="1"/>
      <x:c r="M1861" s="1"/>
      <x:c r="N1861" s="1"/>
      <x:c r="O1861" s="1"/>
      <x:c r="P1861" s="1"/>
      <x:c r="Q1861" s="1"/>
      <x:c r="R1861" s="1"/>
      <x:c r="S1861" s="1"/>
      <x:c r="T1861" s="1"/>
      <x:c r="U1861" s="1"/>
      <x:c r="V1861" s="1"/>
    </x:row>
    <x:row r="1862">
      <x:c r="A1862" s="1"/>
      <x:c r="B1862" s="1"/>
      <x:c r="C1862" s="1"/>
      <x:c r="D1862" s="1"/>
      <x:c r="E1862" s="1"/>
      <x:c r="F1862" s="1"/>
      <x:c r="G1862" s="1"/>
      <x:c r="H1862" s="1"/>
      <x:c r="I1862" s="1"/>
      <x:c r="J1862" s="1"/>
      <x:c r="K1862" s="1"/>
      <x:c r="L1862" s="1"/>
      <x:c r="M1862" s="1"/>
      <x:c r="N1862" s="1"/>
      <x:c r="O1862" s="1"/>
      <x:c r="P1862" s="1"/>
      <x:c r="Q1862" s="1"/>
      <x:c r="R1862" s="1"/>
      <x:c r="S1862" s="1"/>
      <x:c r="T1862" s="1"/>
      <x:c r="U1862" s="1"/>
      <x:c r="V1862" s="1"/>
    </x:row>
    <x:row r="1863">
      <x:c r="A1863" s="1"/>
      <x:c r="B1863" s="1"/>
      <x:c r="C1863" s="1"/>
      <x:c r="D1863" s="1"/>
      <x:c r="E1863" s="1"/>
      <x:c r="F1863" s="1"/>
      <x:c r="G1863" s="1"/>
      <x:c r="H1863" s="1"/>
      <x:c r="I1863" s="1"/>
      <x:c r="J1863" s="1"/>
      <x:c r="K1863" s="1"/>
      <x:c r="L1863" s="1"/>
      <x:c r="M1863" s="1"/>
      <x:c r="N1863" s="1"/>
      <x:c r="O1863" s="1"/>
      <x:c r="P1863" s="1"/>
      <x:c r="Q1863" s="1"/>
      <x:c r="R1863" s="1"/>
      <x:c r="S1863" s="1"/>
      <x:c r="T1863" s="1"/>
      <x:c r="U1863" s="1"/>
      <x:c r="V1863" s="1"/>
    </x:row>
    <x:row r="1864">
      <x:c r="A1864" s="1"/>
      <x:c r="B1864" s="1"/>
      <x:c r="C1864" s="1"/>
      <x:c r="D1864" s="1"/>
      <x:c r="E1864" s="1"/>
      <x:c r="F1864" s="1"/>
      <x:c r="G1864" s="1"/>
      <x:c r="H1864" s="1"/>
      <x:c r="I1864" s="1"/>
      <x:c r="J1864" s="1"/>
      <x:c r="K1864" s="1"/>
      <x:c r="L1864" s="1"/>
      <x:c r="M1864" s="1"/>
      <x:c r="N1864" s="1"/>
      <x:c r="O1864" s="1"/>
      <x:c r="P1864" s="1"/>
      <x:c r="Q1864" s="1"/>
      <x:c r="R1864" s="1"/>
      <x:c r="S1864" s="1"/>
      <x:c r="T1864" s="1"/>
      <x:c r="U1864" s="1"/>
      <x:c r="V1864" s="1"/>
    </x:row>
    <x:row r="1865">
      <x:c r="A1865" s="1"/>
      <x:c r="B1865" s="1"/>
      <x:c r="C1865" s="1"/>
      <x:c r="D1865" s="1"/>
      <x:c r="E1865" s="1"/>
      <x:c r="F1865" s="1"/>
      <x:c r="G1865" s="1"/>
      <x:c r="H1865" s="1"/>
      <x:c r="I1865" s="1"/>
      <x:c r="J1865" s="1"/>
      <x:c r="K1865" s="1"/>
      <x:c r="L1865" s="1"/>
      <x:c r="M1865" s="1"/>
      <x:c r="N1865" s="1"/>
      <x:c r="O1865" s="1"/>
      <x:c r="P1865" s="1"/>
      <x:c r="Q1865" s="1"/>
      <x:c r="R1865" s="1"/>
      <x:c r="S1865" s="1"/>
      <x:c r="T1865" s="1"/>
      <x:c r="U1865" s="1"/>
      <x:c r="V1865" s="1"/>
    </x:row>
    <x:row r="1866">
      <x:c r="A1866" s="1"/>
      <x:c r="B1866" s="1"/>
      <x:c r="C1866" s="1"/>
      <x:c r="D1866" s="1"/>
      <x:c r="E1866" s="1"/>
      <x:c r="F1866" s="1"/>
      <x:c r="G1866" s="1"/>
      <x:c r="H1866" s="1"/>
      <x:c r="I1866" s="1"/>
      <x:c r="J1866" s="1"/>
      <x:c r="K1866" s="1"/>
      <x:c r="L1866" s="1"/>
      <x:c r="M1866" s="1"/>
      <x:c r="N1866" s="1"/>
      <x:c r="O1866" s="1"/>
      <x:c r="P1866" s="1"/>
      <x:c r="Q1866" s="1"/>
      <x:c r="R1866" s="1"/>
      <x:c r="S1866" s="1"/>
      <x:c r="T1866" s="1"/>
      <x:c r="U1866" s="1"/>
      <x:c r="V1866" s="1"/>
    </x:row>
    <x:row r="1867">
      <x:c r="A1867" s="1"/>
      <x:c r="B1867" s="1"/>
      <x:c r="C1867" s="1"/>
      <x:c r="D1867" s="1"/>
      <x:c r="E1867" s="1"/>
      <x:c r="F1867" s="1"/>
      <x:c r="G1867" s="1"/>
      <x:c r="H1867" s="1"/>
      <x:c r="I1867" s="1"/>
      <x:c r="J1867" s="1"/>
      <x:c r="K1867" s="1"/>
      <x:c r="L1867" s="1"/>
      <x:c r="M1867" s="1"/>
      <x:c r="N1867" s="1"/>
      <x:c r="O1867" s="1"/>
      <x:c r="P1867" s="1"/>
      <x:c r="Q1867" s="1"/>
      <x:c r="R1867" s="1"/>
      <x:c r="S1867" s="1"/>
      <x:c r="T1867" s="1"/>
      <x:c r="U1867" s="1"/>
      <x:c r="V1867" s="1"/>
    </x:row>
    <x:row r="1868">
      <x:c r="A1868" s="1"/>
      <x:c r="B1868" s="1"/>
      <x:c r="C1868" s="1"/>
      <x:c r="D1868" s="1"/>
      <x:c r="E1868" s="1"/>
      <x:c r="F1868" s="1"/>
      <x:c r="G1868" s="1"/>
      <x:c r="H1868" s="1"/>
      <x:c r="I1868" s="1"/>
      <x:c r="J1868" s="1"/>
      <x:c r="K1868" s="1"/>
      <x:c r="L1868" s="1"/>
      <x:c r="M1868" s="1"/>
      <x:c r="N1868" s="1"/>
      <x:c r="O1868" s="1"/>
      <x:c r="P1868" s="1"/>
      <x:c r="Q1868" s="1"/>
      <x:c r="R1868" s="1"/>
      <x:c r="S1868" s="1"/>
      <x:c r="T1868" s="1"/>
      <x:c r="U1868" s="1"/>
      <x:c r="V1868" s="1"/>
    </x:row>
    <x:row r="1869">
      <x:c r="A1869" s="1"/>
      <x:c r="B1869" s="1"/>
      <x:c r="C1869" s="1"/>
      <x:c r="D1869" s="1"/>
      <x:c r="E1869" s="1"/>
      <x:c r="F1869" s="1"/>
      <x:c r="G1869" s="1"/>
      <x:c r="H1869" s="1"/>
      <x:c r="I1869" s="1"/>
      <x:c r="J1869" s="1"/>
      <x:c r="K1869" s="1"/>
      <x:c r="L1869" s="1"/>
      <x:c r="M1869" s="1"/>
      <x:c r="N1869" s="1"/>
      <x:c r="O1869" s="1"/>
      <x:c r="P1869" s="1"/>
      <x:c r="Q1869" s="1"/>
      <x:c r="R1869" s="1"/>
      <x:c r="S1869" s="1"/>
      <x:c r="T1869" s="1"/>
      <x:c r="U1869" s="1"/>
      <x:c r="V1869" s="1"/>
    </x:row>
    <x:row r="1870">
      <x:c r="A1870" s="1"/>
      <x:c r="B1870" s="1"/>
      <x:c r="C1870" s="1"/>
      <x:c r="D1870" s="1"/>
      <x:c r="E1870" s="1"/>
      <x:c r="F1870" s="1"/>
      <x:c r="G1870" s="1"/>
      <x:c r="H1870" s="1"/>
      <x:c r="I1870" s="1"/>
      <x:c r="J1870" s="1"/>
      <x:c r="K1870" s="1"/>
      <x:c r="L1870" s="1"/>
      <x:c r="M1870" s="1"/>
      <x:c r="N1870" s="1"/>
      <x:c r="O1870" s="1"/>
      <x:c r="P1870" s="1"/>
      <x:c r="Q1870" s="1"/>
      <x:c r="R1870" s="1"/>
      <x:c r="S1870" s="1"/>
      <x:c r="T1870" s="1"/>
      <x:c r="U1870" s="1"/>
      <x:c r="V1870" s="1"/>
    </x:row>
    <x:row r="1871">
      <x:c r="A1871" s="1"/>
      <x:c r="B1871" s="1"/>
      <x:c r="C1871" s="1"/>
      <x:c r="D1871" s="1"/>
      <x:c r="E1871" s="1"/>
      <x:c r="F1871" s="1"/>
      <x:c r="G1871" s="1"/>
      <x:c r="H1871" s="1"/>
      <x:c r="I1871" s="1"/>
      <x:c r="J1871" s="1"/>
      <x:c r="K1871" s="1"/>
      <x:c r="L1871" s="1"/>
      <x:c r="M1871" s="1"/>
      <x:c r="N1871" s="1"/>
      <x:c r="O1871" s="1"/>
      <x:c r="P1871" s="1"/>
      <x:c r="Q1871" s="1"/>
      <x:c r="R1871" s="1"/>
      <x:c r="S1871" s="1"/>
      <x:c r="T1871" s="1"/>
      <x:c r="U1871" s="1"/>
      <x:c r="V1871" s="1"/>
    </x:row>
    <x:row r="1872">
      <x:c r="A1872" s="1"/>
      <x:c r="B1872" s="1"/>
      <x:c r="C1872" s="1"/>
      <x:c r="D1872" s="1"/>
      <x:c r="E1872" s="1"/>
      <x:c r="F1872" s="1"/>
      <x:c r="G1872" s="1"/>
      <x:c r="H1872" s="1"/>
      <x:c r="I1872" s="1"/>
      <x:c r="J1872" s="1"/>
      <x:c r="K1872" s="1"/>
      <x:c r="L1872" s="1"/>
      <x:c r="M1872" s="1"/>
      <x:c r="N1872" s="1"/>
      <x:c r="O1872" s="1"/>
      <x:c r="P1872" s="1"/>
      <x:c r="Q1872" s="1"/>
      <x:c r="R1872" s="1"/>
      <x:c r="S1872" s="1"/>
      <x:c r="T1872" s="1"/>
      <x:c r="U1872" s="1"/>
      <x:c r="V1872" s="1"/>
    </x:row>
    <x:row r="1873">
      <x:c r="A1873" s="1"/>
      <x:c r="B1873" s="1"/>
      <x:c r="C1873" s="1"/>
      <x:c r="D1873" s="1"/>
      <x:c r="E1873" s="1"/>
      <x:c r="F1873" s="1"/>
      <x:c r="G1873" s="1"/>
      <x:c r="H1873" s="1"/>
      <x:c r="I1873" s="1"/>
      <x:c r="J1873" s="1"/>
      <x:c r="K1873" s="1"/>
      <x:c r="L1873" s="1"/>
      <x:c r="M1873" s="1"/>
      <x:c r="N1873" s="1"/>
      <x:c r="O1873" s="1"/>
      <x:c r="P1873" s="1"/>
      <x:c r="Q1873" s="1"/>
      <x:c r="R1873" s="1"/>
      <x:c r="S1873" s="1"/>
      <x:c r="T1873" s="1"/>
      <x:c r="U1873" s="1"/>
      <x:c r="V1873" s="1"/>
    </x:row>
    <x:row r="1874">
      <x:c r="A1874" s="1"/>
      <x:c r="B1874" s="1"/>
      <x:c r="C1874" s="1"/>
      <x:c r="D1874" s="1"/>
      <x:c r="E1874" s="1"/>
      <x:c r="F1874" s="1"/>
      <x:c r="G1874" s="1"/>
      <x:c r="H1874" s="1"/>
      <x:c r="I1874" s="1"/>
      <x:c r="J1874" s="1"/>
      <x:c r="K1874" s="1"/>
      <x:c r="L1874" s="1"/>
      <x:c r="M1874" s="1"/>
      <x:c r="N1874" s="1"/>
      <x:c r="O1874" s="1"/>
      <x:c r="P1874" s="1"/>
      <x:c r="Q1874" s="1"/>
      <x:c r="R1874" s="1"/>
      <x:c r="S1874" s="1"/>
      <x:c r="T1874" s="1"/>
      <x:c r="U1874" s="1"/>
      <x:c r="V1874" s="1"/>
    </x:row>
    <x:row r="1875">
      <x:c r="A1875" s="1"/>
      <x:c r="B1875" s="1"/>
      <x:c r="C1875" s="1"/>
      <x:c r="D1875" s="1"/>
      <x:c r="E1875" s="1"/>
      <x:c r="F1875" s="1"/>
      <x:c r="G1875" s="1"/>
      <x:c r="H1875" s="1"/>
      <x:c r="I1875" s="1"/>
      <x:c r="J1875" s="1"/>
      <x:c r="K1875" s="1"/>
      <x:c r="L1875" s="1"/>
      <x:c r="M1875" s="1"/>
      <x:c r="N1875" s="1"/>
      <x:c r="O1875" s="1"/>
      <x:c r="P1875" s="1"/>
      <x:c r="Q1875" s="1"/>
      <x:c r="R1875" s="1"/>
      <x:c r="S1875" s="1"/>
      <x:c r="T1875" s="1"/>
      <x:c r="U1875" s="1"/>
      <x:c r="V1875" s="1"/>
    </x:row>
    <x:row r="1876">
      <x:c r="A1876" s="1"/>
      <x:c r="B1876" s="1"/>
      <x:c r="C1876" s="1"/>
      <x:c r="D1876" s="1"/>
      <x:c r="E1876" s="1"/>
      <x:c r="F1876" s="1"/>
      <x:c r="G1876" s="1"/>
      <x:c r="H1876" s="1"/>
      <x:c r="I1876" s="1"/>
      <x:c r="J1876" s="1"/>
      <x:c r="K1876" s="1"/>
      <x:c r="L1876" s="1"/>
      <x:c r="M1876" s="1"/>
      <x:c r="N1876" s="1"/>
      <x:c r="O1876" s="1"/>
      <x:c r="P1876" s="1"/>
      <x:c r="Q1876" s="1"/>
      <x:c r="R1876" s="1"/>
      <x:c r="S1876" s="1"/>
      <x:c r="T1876" s="1"/>
      <x:c r="U1876" s="1"/>
      <x:c r="V1876" s="1"/>
    </x:row>
    <x:row r="1877">
      <x:c r="A1877" s="1"/>
      <x:c r="B1877" s="1"/>
      <x:c r="C1877" s="1"/>
      <x:c r="D1877" s="1"/>
      <x:c r="E1877" s="1"/>
      <x:c r="F1877" s="1"/>
      <x:c r="G1877" s="1"/>
      <x:c r="H1877" s="1"/>
      <x:c r="I1877" s="1"/>
      <x:c r="J1877" s="1"/>
      <x:c r="K1877" s="1"/>
      <x:c r="L1877" s="1"/>
      <x:c r="M1877" s="1"/>
      <x:c r="N1877" s="1"/>
      <x:c r="O1877" s="1"/>
      <x:c r="P1877" s="1"/>
      <x:c r="Q1877" s="1"/>
      <x:c r="R1877" s="1"/>
      <x:c r="S1877" s="1"/>
      <x:c r="T1877" s="1"/>
      <x:c r="U1877" s="1"/>
      <x:c r="V1877" s="1"/>
    </x:row>
    <x:row r="1878">
      <x:c r="A1878" s="1"/>
      <x:c r="B1878" s="1"/>
      <x:c r="C1878" s="1"/>
      <x:c r="D1878" s="1"/>
      <x:c r="E1878" s="1"/>
      <x:c r="F1878" s="1"/>
      <x:c r="G1878" s="1"/>
      <x:c r="H1878" s="1"/>
      <x:c r="I1878" s="1"/>
      <x:c r="J1878" s="1"/>
      <x:c r="K1878" s="1"/>
      <x:c r="L1878" s="1"/>
      <x:c r="M1878" s="1"/>
      <x:c r="N1878" s="1"/>
      <x:c r="O1878" s="1"/>
      <x:c r="P1878" s="1"/>
      <x:c r="Q1878" s="1"/>
      <x:c r="R1878" s="1"/>
      <x:c r="S1878" s="1"/>
      <x:c r="T1878" s="1"/>
      <x:c r="U1878" s="1"/>
      <x:c r="V1878" s="1"/>
    </x:row>
    <x:row r="1879">
      <x:c r="A1879" s="1"/>
      <x:c r="B1879" s="1"/>
      <x:c r="C1879" s="1"/>
      <x:c r="D1879" s="1"/>
      <x:c r="E1879" s="1"/>
      <x:c r="F1879" s="1"/>
      <x:c r="G1879" s="1"/>
      <x:c r="H1879" s="1"/>
      <x:c r="I1879" s="1"/>
      <x:c r="J1879" s="1"/>
      <x:c r="K1879" s="1"/>
      <x:c r="L1879" s="1"/>
      <x:c r="M1879" s="1"/>
      <x:c r="N1879" s="1"/>
      <x:c r="O1879" s="1"/>
      <x:c r="P1879" s="1"/>
      <x:c r="Q1879" s="1"/>
      <x:c r="R1879" s="1"/>
      <x:c r="S1879" s="1"/>
      <x:c r="T1879" s="1"/>
      <x:c r="U1879" s="1"/>
      <x:c r="V1879" s="1"/>
    </x:row>
    <x:row r="1880">
      <x:c r="A1880" s="1"/>
      <x:c r="B1880" s="1"/>
      <x:c r="C1880" s="1"/>
      <x:c r="D1880" s="1"/>
      <x:c r="E1880" s="1"/>
      <x:c r="F1880" s="1"/>
      <x:c r="G1880" s="1"/>
      <x:c r="H1880" s="1"/>
      <x:c r="I1880" s="1"/>
      <x:c r="J1880" s="1"/>
      <x:c r="K1880" s="1"/>
      <x:c r="L1880" s="1"/>
      <x:c r="M1880" s="1"/>
      <x:c r="N1880" s="1"/>
      <x:c r="O1880" s="1"/>
      <x:c r="P1880" s="1"/>
      <x:c r="Q1880" s="1"/>
      <x:c r="R1880" s="1"/>
      <x:c r="S1880" s="1"/>
      <x:c r="T1880" s="1"/>
      <x:c r="U1880" s="1"/>
      <x:c r="V1880" s="1"/>
    </x:row>
    <x:row r="1881">
      <x:c r="A1881" s="1"/>
      <x:c r="B1881" s="1"/>
      <x:c r="C1881" s="1"/>
      <x:c r="D1881" s="1"/>
      <x:c r="E1881" s="1"/>
      <x:c r="F1881" s="1"/>
      <x:c r="G1881" s="1"/>
      <x:c r="H1881" s="1"/>
      <x:c r="I1881" s="1"/>
      <x:c r="J1881" s="1"/>
      <x:c r="K1881" s="1"/>
      <x:c r="L1881" s="1"/>
      <x:c r="M1881" s="1"/>
      <x:c r="N1881" s="1"/>
      <x:c r="O1881" s="1"/>
      <x:c r="P1881" s="1"/>
      <x:c r="Q1881" s="1"/>
      <x:c r="R1881" s="1"/>
      <x:c r="S1881" s="1"/>
      <x:c r="T1881" s="1"/>
      <x:c r="U1881" s="1"/>
      <x:c r="V1881" s="1"/>
    </x:row>
    <x:row r="1882">
      <x:c r="A1882" s="1"/>
      <x:c r="B1882" s="1"/>
      <x:c r="C1882" s="1"/>
      <x:c r="D1882" s="1"/>
      <x:c r="E1882" s="1"/>
      <x:c r="F1882" s="1"/>
      <x:c r="G1882" s="1"/>
      <x:c r="H1882" s="1"/>
      <x:c r="I1882" s="1"/>
      <x:c r="J1882" s="1"/>
      <x:c r="K1882" s="1"/>
      <x:c r="L1882" s="1"/>
      <x:c r="M1882" s="1"/>
      <x:c r="N1882" s="1"/>
      <x:c r="O1882" s="1"/>
      <x:c r="P1882" s="1"/>
      <x:c r="Q1882" s="1"/>
      <x:c r="R1882" s="1"/>
      <x:c r="S1882" s="1"/>
      <x:c r="T1882" s="1"/>
      <x:c r="U1882" s="1"/>
      <x:c r="V1882" s="1"/>
    </x:row>
    <x:row r="1883">
      <x:c r="A1883" s="1"/>
      <x:c r="B1883" s="1"/>
      <x:c r="C1883" s="1"/>
      <x:c r="D1883" s="1"/>
      <x:c r="E1883" s="1"/>
      <x:c r="F1883" s="1"/>
      <x:c r="G1883" s="1"/>
      <x:c r="H1883" s="1"/>
      <x:c r="I1883" s="1"/>
      <x:c r="J1883" s="1"/>
      <x:c r="K1883" s="1"/>
      <x:c r="L1883" s="1"/>
      <x:c r="M1883" s="1"/>
      <x:c r="N1883" s="1"/>
      <x:c r="O1883" s="1"/>
      <x:c r="P1883" s="1"/>
      <x:c r="Q1883" s="1"/>
      <x:c r="R1883" s="1"/>
      <x:c r="S1883" s="1"/>
      <x:c r="T1883" s="1"/>
      <x:c r="U1883" s="1"/>
      <x:c r="V1883" s="1"/>
    </x:row>
    <x:row r="1884">
      <x:c r="A1884" s="1"/>
      <x:c r="B1884" s="1"/>
      <x:c r="C1884" s="1"/>
      <x:c r="D1884" s="1"/>
      <x:c r="E1884" s="1"/>
      <x:c r="F1884" s="1"/>
      <x:c r="G1884" s="1"/>
      <x:c r="H1884" s="1"/>
      <x:c r="I1884" s="1"/>
      <x:c r="J1884" s="1"/>
      <x:c r="K1884" s="1"/>
      <x:c r="L1884" s="1"/>
      <x:c r="M1884" s="1"/>
      <x:c r="N1884" s="1"/>
      <x:c r="O1884" s="1"/>
      <x:c r="P1884" s="1"/>
      <x:c r="Q1884" s="1"/>
      <x:c r="R1884" s="1"/>
      <x:c r="S1884" s="1"/>
      <x:c r="T1884" s="1"/>
      <x:c r="U1884" s="1"/>
      <x:c r="V1884" s="1"/>
    </x:row>
    <x:row r="1885">
      <x:c r="A1885" s="1"/>
      <x:c r="B1885" s="1"/>
      <x:c r="C1885" s="1"/>
      <x:c r="D1885" s="1"/>
      <x:c r="E1885" s="1"/>
      <x:c r="F1885" s="1"/>
      <x:c r="G1885" s="1"/>
      <x:c r="H1885" s="1"/>
      <x:c r="I1885" s="1"/>
      <x:c r="J1885" s="1"/>
      <x:c r="K1885" s="1"/>
      <x:c r="L1885" s="1"/>
      <x:c r="M1885" s="1"/>
      <x:c r="N1885" s="1"/>
      <x:c r="O1885" s="1"/>
      <x:c r="P1885" s="1"/>
      <x:c r="Q1885" s="1"/>
      <x:c r="R1885" s="1"/>
      <x:c r="S1885" s="1"/>
      <x:c r="T1885" s="1"/>
      <x:c r="U1885" s="1"/>
      <x:c r="V1885" s="1"/>
    </x:row>
    <x:row r="1886">
      <x:c r="A1886" s="1"/>
      <x:c r="B1886" s="1"/>
      <x:c r="C1886" s="1"/>
      <x:c r="D1886" s="1"/>
      <x:c r="E1886" s="1"/>
      <x:c r="F1886" s="1"/>
      <x:c r="G1886" s="1"/>
      <x:c r="H1886" s="1"/>
      <x:c r="I1886" s="1"/>
      <x:c r="J1886" s="1"/>
      <x:c r="K1886" s="1"/>
      <x:c r="L1886" s="1"/>
      <x:c r="M1886" s="1"/>
      <x:c r="N1886" s="1"/>
      <x:c r="O1886" s="1"/>
      <x:c r="P1886" s="1"/>
      <x:c r="Q1886" s="1"/>
      <x:c r="R1886" s="1"/>
      <x:c r="S1886" s="1"/>
      <x:c r="T1886" s="1"/>
      <x:c r="U1886" s="1"/>
      <x:c r="V1886" s="1"/>
    </x:row>
    <x:row r="1887">
      <x:c r="A1887" s="1"/>
      <x:c r="B1887" s="1"/>
      <x:c r="C1887" s="1"/>
      <x:c r="D1887" s="1"/>
      <x:c r="E1887" s="1"/>
      <x:c r="F1887" s="1"/>
      <x:c r="G1887" s="1"/>
      <x:c r="H1887" s="1"/>
      <x:c r="I1887" s="1"/>
      <x:c r="J1887" s="1"/>
      <x:c r="K1887" s="1"/>
      <x:c r="L1887" s="1"/>
      <x:c r="M1887" s="1"/>
      <x:c r="N1887" s="1"/>
      <x:c r="O1887" s="1"/>
      <x:c r="P1887" s="1"/>
      <x:c r="Q1887" s="1"/>
      <x:c r="R1887" s="1"/>
      <x:c r="S1887" s="1"/>
      <x:c r="T1887" s="1"/>
      <x:c r="U1887" s="1"/>
      <x:c r="V1887" s="1"/>
    </x:row>
    <x:row r="1888">
      <x:c r="A1888" s="1"/>
      <x:c r="B1888" s="1"/>
      <x:c r="C1888" s="1"/>
      <x:c r="D1888" s="1"/>
      <x:c r="E1888" s="1"/>
      <x:c r="F1888" s="1"/>
      <x:c r="G1888" s="1"/>
      <x:c r="H1888" s="1"/>
      <x:c r="I1888" s="1"/>
      <x:c r="J1888" s="1"/>
      <x:c r="K1888" s="1"/>
      <x:c r="L1888" s="1"/>
      <x:c r="M1888" s="1"/>
      <x:c r="N1888" s="1"/>
      <x:c r="O1888" s="1"/>
      <x:c r="P1888" s="1"/>
      <x:c r="Q1888" s="1"/>
      <x:c r="R1888" s="1"/>
      <x:c r="S1888" s="1"/>
      <x:c r="T1888" s="1"/>
      <x:c r="U1888" s="1"/>
      <x:c r="V1888" s="1"/>
    </x:row>
    <x:row r="1889">
      <x:c r="A1889" s="1"/>
      <x:c r="B1889" s="1"/>
      <x:c r="C1889" s="1"/>
      <x:c r="D1889" s="1"/>
      <x:c r="E1889" s="1"/>
      <x:c r="F1889" s="1"/>
      <x:c r="G1889" s="1"/>
      <x:c r="H1889" s="1"/>
      <x:c r="I1889" s="1"/>
      <x:c r="J1889" s="1"/>
      <x:c r="K1889" s="1"/>
      <x:c r="L1889" s="1"/>
      <x:c r="M1889" s="1"/>
      <x:c r="N1889" s="1"/>
      <x:c r="O1889" s="1"/>
      <x:c r="P1889" s="1"/>
      <x:c r="Q1889" s="1"/>
      <x:c r="R1889" s="1"/>
      <x:c r="S1889" s="1"/>
      <x:c r="T1889" s="1"/>
      <x:c r="U1889" s="1"/>
      <x:c r="V1889" s="1"/>
    </x:row>
    <x:row r="1890">
      <x:c r="A1890" s="1"/>
      <x:c r="B1890" s="1"/>
      <x:c r="C1890" s="1"/>
      <x:c r="D1890" s="1"/>
      <x:c r="E1890" s="1"/>
      <x:c r="F1890" s="1"/>
      <x:c r="G1890" s="1"/>
      <x:c r="H1890" s="1"/>
      <x:c r="I1890" s="1"/>
      <x:c r="J1890" s="1"/>
      <x:c r="K1890" s="1"/>
      <x:c r="L1890" s="1"/>
      <x:c r="M1890" s="1"/>
      <x:c r="N1890" s="1"/>
      <x:c r="O1890" s="1"/>
      <x:c r="P1890" s="1"/>
      <x:c r="Q1890" s="1"/>
      <x:c r="R1890" s="1"/>
      <x:c r="S1890" s="1"/>
      <x:c r="T1890" s="1"/>
      <x:c r="U1890" s="1"/>
      <x:c r="V1890" s="1"/>
    </x:row>
    <x:row r="1891">
      <x:c r="A1891" s="1"/>
      <x:c r="B1891" s="1"/>
      <x:c r="C1891" s="1"/>
      <x:c r="D1891" s="1"/>
      <x:c r="E1891" s="1"/>
      <x:c r="F1891" s="1"/>
      <x:c r="G1891" s="1"/>
      <x:c r="H1891" s="1"/>
      <x:c r="I1891" s="1"/>
      <x:c r="J1891" s="1"/>
      <x:c r="K1891" s="1"/>
      <x:c r="L1891" s="1"/>
      <x:c r="M1891" s="1"/>
      <x:c r="N1891" s="1"/>
      <x:c r="O1891" s="1"/>
      <x:c r="P1891" s="1"/>
      <x:c r="Q1891" s="1"/>
      <x:c r="R1891" s="1"/>
      <x:c r="S1891" s="1"/>
      <x:c r="T1891" s="1"/>
      <x:c r="U1891" s="1"/>
      <x:c r="V1891" s="1"/>
    </x:row>
    <x:row r="1892">
      <x:c r="A1892" s="1"/>
      <x:c r="B1892" s="1"/>
      <x:c r="C1892" s="1"/>
      <x:c r="D1892" s="1"/>
      <x:c r="E1892" s="1"/>
      <x:c r="F1892" s="1"/>
      <x:c r="G1892" s="1"/>
      <x:c r="H1892" s="1"/>
      <x:c r="I1892" s="1"/>
      <x:c r="J1892" s="1"/>
      <x:c r="K1892" s="1"/>
      <x:c r="L1892" s="1"/>
      <x:c r="M1892" s="1"/>
      <x:c r="N1892" s="1"/>
      <x:c r="O1892" s="1"/>
      <x:c r="P1892" s="1"/>
      <x:c r="Q1892" s="1"/>
      <x:c r="R1892" s="1"/>
      <x:c r="S1892" s="1"/>
      <x:c r="T1892" s="1"/>
      <x:c r="U1892" s="1"/>
      <x:c r="V1892" s="1"/>
    </x:row>
    <x:row r="1893">
      <x:c r="A1893" s="1"/>
      <x:c r="B1893" s="1"/>
      <x:c r="C1893" s="1"/>
      <x:c r="D1893" s="1"/>
      <x:c r="E1893" s="1"/>
      <x:c r="F1893" s="1"/>
      <x:c r="G1893" s="1"/>
      <x:c r="H1893" s="1"/>
      <x:c r="I1893" s="1"/>
      <x:c r="J1893" s="1"/>
      <x:c r="K1893" s="1"/>
      <x:c r="L1893" s="1"/>
      <x:c r="M1893" s="1"/>
      <x:c r="N1893" s="1"/>
      <x:c r="O1893" s="1"/>
      <x:c r="P1893" s="1"/>
      <x:c r="Q1893" s="1"/>
      <x:c r="R1893" s="1"/>
      <x:c r="S1893" s="1"/>
      <x:c r="T1893" s="1"/>
      <x:c r="U1893" s="1"/>
      <x:c r="V1893" s="1"/>
    </x:row>
    <x:row r="1894">
      <x:c r="A1894" s="1"/>
      <x:c r="B1894" s="1"/>
      <x:c r="C1894" s="1"/>
      <x:c r="D1894" s="1"/>
      <x:c r="E1894" s="1"/>
      <x:c r="F1894" s="1"/>
      <x:c r="G1894" s="1"/>
      <x:c r="H1894" s="1"/>
      <x:c r="I1894" s="1"/>
      <x:c r="J1894" s="1"/>
      <x:c r="K1894" s="1"/>
      <x:c r="L1894" s="1"/>
      <x:c r="M1894" s="1"/>
      <x:c r="N1894" s="1"/>
      <x:c r="O1894" s="1"/>
      <x:c r="P1894" s="1"/>
      <x:c r="Q1894" s="1"/>
      <x:c r="R1894" s="1"/>
      <x:c r="S1894" s="1"/>
      <x:c r="T1894" s="1"/>
      <x:c r="U1894" s="1"/>
      <x:c r="V1894" s="1"/>
    </x:row>
    <x:row r="1895">
      <x:c r="A1895" s="1"/>
      <x:c r="B1895" s="1"/>
      <x:c r="C1895" s="1"/>
      <x:c r="D1895" s="1"/>
      <x:c r="E1895" s="1"/>
      <x:c r="F1895" s="1"/>
      <x:c r="G1895" s="1"/>
      <x:c r="H1895" s="1"/>
      <x:c r="I1895" s="1"/>
      <x:c r="J1895" s="1"/>
      <x:c r="K1895" s="1"/>
      <x:c r="L1895" s="1"/>
      <x:c r="M1895" s="1"/>
      <x:c r="N1895" s="1"/>
      <x:c r="O1895" s="1"/>
      <x:c r="P1895" s="1"/>
      <x:c r="Q1895" s="1"/>
      <x:c r="R1895" s="1"/>
      <x:c r="S1895" s="1"/>
      <x:c r="T1895" s="1"/>
      <x:c r="U1895" s="1"/>
      <x:c r="V1895" s="1"/>
    </x:row>
    <x:row r="1896">
      <x:c r="A1896" s="1"/>
      <x:c r="B1896" s="1"/>
      <x:c r="C1896" s="1"/>
      <x:c r="D1896" s="1"/>
      <x:c r="E1896" s="1"/>
      <x:c r="F1896" s="1"/>
      <x:c r="G1896" s="1"/>
      <x:c r="H1896" s="1"/>
      <x:c r="I1896" s="1"/>
      <x:c r="J1896" s="1"/>
      <x:c r="K1896" s="1"/>
      <x:c r="L1896" s="1"/>
      <x:c r="M1896" s="1"/>
      <x:c r="N1896" s="1"/>
      <x:c r="O1896" s="1"/>
      <x:c r="P1896" s="1"/>
      <x:c r="Q1896" s="1"/>
      <x:c r="R1896" s="1"/>
      <x:c r="S1896" s="1"/>
      <x:c r="T1896" s="1"/>
      <x:c r="U1896" s="1"/>
      <x:c r="V1896" s="1"/>
    </x:row>
    <x:row r="1897">
      <x:c r="A1897" s="1"/>
      <x:c r="B1897" s="1"/>
      <x:c r="C1897" s="1"/>
      <x:c r="D1897" s="1"/>
      <x:c r="E1897" s="1"/>
      <x:c r="F1897" s="1"/>
      <x:c r="G1897" s="1"/>
      <x:c r="H1897" s="1"/>
      <x:c r="I1897" s="1"/>
      <x:c r="J1897" s="1"/>
      <x:c r="K1897" s="1"/>
      <x:c r="L1897" s="1"/>
      <x:c r="M1897" s="1"/>
      <x:c r="N1897" s="1"/>
      <x:c r="O1897" s="1"/>
      <x:c r="P1897" s="1"/>
      <x:c r="Q1897" s="1"/>
      <x:c r="R1897" s="1"/>
      <x:c r="S1897" s="1"/>
      <x:c r="T1897" s="1"/>
      <x:c r="U1897" s="1"/>
      <x:c r="V1897" s="1"/>
    </x:row>
    <x:row r="1898">
      <x:c r="A1898" s="1"/>
      <x:c r="B1898" s="1"/>
      <x:c r="C1898" s="1"/>
      <x:c r="D1898" s="1"/>
      <x:c r="E1898" s="1"/>
      <x:c r="F1898" s="1"/>
      <x:c r="G1898" s="1"/>
      <x:c r="H1898" s="1"/>
      <x:c r="I1898" s="1"/>
      <x:c r="J1898" s="1"/>
      <x:c r="K1898" s="1"/>
      <x:c r="L1898" s="1"/>
      <x:c r="M1898" s="1"/>
      <x:c r="N1898" s="1"/>
      <x:c r="O1898" s="1"/>
      <x:c r="P1898" s="1"/>
      <x:c r="Q1898" s="1"/>
      <x:c r="R1898" s="1"/>
      <x:c r="S1898" s="1"/>
      <x:c r="T1898" s="1"/>
      <x:c r="U1898" s="1"/>
      <x:c r="V1898" s="1"/>
    </x:row>
    <x:row r="1899">
      <x:c r="A1899" s="1"/>
      <x:c r="B1899" s="1"/>
      <x:c r="C1899" s="1"/>
      <x:c r="D1899" s="1"/>
      <x:c r="E1899" s="1"/>
      <x:c r="F1899" s="1"/>
      <x:c r="G1899" s="1"/>
      <x:c r="H1899" s="1"/>
      <x:c r="I1899" s="1"/>
      <x:c r="J1899" s="1"/>
      <x:c r="K1899" s="1"/>
      <x:c r="L1899" s="1"/>
      <x:c r="M1899" s="1"/>
      <x:c r="N1899" s="1"/>
      <x:c r="O1899" s="1"/>
      <x:c r="P1899" s="1"/>
      <x:c r="Q1899" s="1"/>
      <x:c r="R1899" s="1"/>
      <x:c r="S1899" s="1"/>
      <x:c r="T1899" s="1"/>
      <x:c r="U1899" s="1"/>
      <x:c r="V1899" s="1"/>
    </x:row>
    <x:row r="1900">
      <x:c r="A1900" s="1"/>
      <x:c r="B1900" s="1"/>
      <x:c r="C1900" s="1"/>
      <x:c r="D1900" s="1"/>
      <x:c r="E1900" s="1"/>
      <x:c r="F1900" s="1"/>
      <x:c r="G1900" s="1"/>
      <x:c r="H1900" s="1"/>
      <x:c r="I1900" s="1"/>
      <x:c r="J1900" s="1"/>
      <x:c r="K1900" s="1"/>
      <x:c r="L1900" s="1"/>
      <x:c r="M1900" s="1"/>
      <x:c r="N1900" s="1"/>
      <x:c r="O1900" s="1"/>
      <x:c r="P1900" s="1"/>
      <x:c r="Q1900" s="1"/>
      <x:c r="R1900" s="1"/>
      <x:c r="S1900" s="1"/>
      <x:c r="T1900" s="1"/>
      <x:c r="U1900" s="1"/>
      <x:c r="V1900" s="1"/>
    </x:row>
    <x:row r="1901">
      <x:c r="A1901" s="1"/>
      <x:c r="B1901" s="1"/>
      <x:c r="C1901" s="1"/>
      <x:c r="D1901" s="1"/>
      <x:c r="E1901" s="1"/>
      <x:c r="F1901" s="1"/>
      <x:c r="G1901" s="1"/>
      <x:c r="H1901" s="1"/>
      <x:c r="I1901" s="1"/>
      <x:c r="J1901" s="1"/>
      <x:c r="K1901" s="1"/>
      <x:c r="L1901" s="1"/>
      <x:c r="M1901" s="1"/>
      <x:c r="N1901" s="1"/>
      <x:c r="O1901" s="1"/>
      <x:c r="P1901" s="1"/>
      <x:c r="Q1901" s="1"/>
      <x:c r="R1901" s="1"/>
      <x:c r="S1901" s="1"/>
      <x:c r="T1901" s="1"/>
      <x:c r="U1901" s="1"/>
      <x:c r="V1901" s="1"/>
    </x:row>
    <x:row r="1902">
      <x:c r="A1902" s="1"/>
      <x:c r="B1902" s="1"/>
      <x:c r="C1902" s="1"/>
      <x:c r="D1902" s="1"/>
      <x:c r="E1902" s="1"/>
      <x:c r="F1902" s="1"/>
      <x:c r="G1902" s="1"/>
      <x:c r="H1902" s="1"/>
      <x:c r="I1902" s="1"/>
      <x:c r="J1902" s="1"/>
      <x:c r="K1902" s="1"/>
      <x:c r="L1902" s="1"/>
      <x:c r="M1902" s="1"/>
      <x:c r="N1902" s="1"/>
      <x:c r="O1902" s="1"/>
      <x:c r="P1902" s="1"/>
      <x:c r="Q1902" s="1"/>
      <x:c r="R1902" s="1"/>
      <x:c r="S1902" s="1"/>
      <x:c r="T1902" s="1"/>
      <x:c r="U1902" s="1"/>
      <x:c r="V1902" s="1"/>
    </x:row>
    <x:row r="1903">
      <x:c r="A1903" s="1"/>
      <x:c r="B1903" s="1"/>
      <x:c r="C1903" s="1"/>
      <x:c r="D1903" s="1"/>
      <x:c r="E1903" s="1"/>
      <x:c r="F1903" s="1"/>
      <x:c r="G1903" s="1"/>
      <x:c r="H1903" s="1"/>
      <x:c r="I1903" s="1"/>
      <x:c r="J1903" s="1"/>
      <x:c r="K1903" s="1"/>
      <x:c r="L1903" s="1"/>
      <x:c r="M1903" s="1"/>
      <x:c r="N1903" s="1"/>
      <x:c r="O1903" s="1"/>
      <x:c r="P1903" s="1"/>
      <x:c r="Q1903" s="1"/>
      <x:c r="R1903" s="1"/>
      <x:c r="S1903" s="1"/>
      <x:c r="T1903" s="1"/>
      <x:c r="U1903" s="1"/>
      <x:c r="V1903" s="1"/>
    </x:row>
    <x:row r="1904">
      <x:c r="A1904" s="1"/>
      <x:c r="B1904" s="1"/>
      <x:c r="C1904" s="1"/>
      <x:c r="D1904" s="1"/>
      <x:c r="E1904" s="1"/>
      <x:c r="F1904" s="1"/>
      <x:c r="G1904" s="1"/>
      <x:c r="H1904" s="1"/>
      <x:c r="I1904" s="1"/>
      <x:c r="J1904" s="1"/>
      <x:c r="K1904" s="1"/>
      <x:c r="L1904" s="1"/>
      <x:c r="M1904" s="1"/>
      <x:c r="N1904" s="1"/>
      <x:c r="O1904" s="1"/>
      <x:c r="P1904" s="1"/>
      <x:c r="Q1904" s="1"/>
      <x:c r="R1904" s="1"/>
      <x:c r="S1904" s="1"/>
      <x:c r="T1904" s="1"/>
      <x:c r="U1904" s="1"/>
      <x:c r="V1904" s="1"/>
    </x:row>
    <x:row r="1905">
      <x:c r="A1905" s="1"/>
      <x:c r="B1905" s="1"/>
      <x:c r="C1905" s="1"/>
      <x:c r="D1905" s="1"/>
      <x:c r="E1905" s="1"/>
      <x:c r="F1905" s="1"/>
      <x:c r="G1905" s="1"/>
      <x:c r="H1905" s="1"/>
      <x:c r="I1905" s="1"/>
      <x:c r="J1905" s="1"/>
      <x:c r="K1905" s="1"/>
      <x:c r="L1905" s="1"/>
      <x:c r="M1905" s="1"/>
      <x:c r="N1905" s="1"/>
      <x:c r="O1905" s="1"/>
      <x:c r="P1905" s="1"/>
      <x:c r="Q1905" s="1"/>
      <x:c r="R1905" s="1"/>
      <x:c r="S1905" s="1"/>
      <x:c r="T1905" s="1"/>
      <x:c r="U1905" s="1"/>
      <x:c r="V1905" s="1"/>
    </x:row>
    <x:row r="1906">
      <x:c r="A1906" s="1"/>
      <x:c r="B1906" s="1"/>
      <x:c r="C1906" s="1"/>
      <x:c r="D1906" s="1"/>
      <x:c r="E1906" s="1"/>
      <x:c r="F1906" s="1"/>
      <x:c r="G1906" s="1"/>
      <x:c r="H1906" s="1"/>
      <x:c r="I1906" s="1"/>
      <x:c r="J1906" s="1"/>
      <x:c r="K1906" s="1"/>
      <x:c r="L1906" s="1"/>
      <x:c r="M1906" s="1"/>
      <x:c r="N1906" s="1"/>
      <x:c r="O1906" s="1"/>
      <x:c r="P1906" s="1"/>
      <x:c r="Q1906" s="1"/>
      <x:c r="R1906" s="1"/>
      <x:c r="S1906" s="1"/>
      <x:c r="T1906" s="1"/>
      <x:c r="U1906" s="1"/>
      <x:c r="V1906" s="1"/>
    </x:row>
    <x:row r="1907">
      <x:c r="A1907" s="1"/>
      <x:c r="B1907" s="1"/>
      <x:c r="C1907" s="1"/>
      <x:c r="D1907" s="1"/>
      <x:c r="E1907" s="1"/>
      <x:c r="F1907" s="1"/>
      <x:c r="G1907" s="1"/>
      <x:c r="H1907" s="1"/>
      <x:c r="I1907" s="1"/>
      <x:c r="J1907" s="1"/>
      <x:c r="K1907" s="1"/>
      <x:c r="L1907" s="1"/>
      <x:c r="M1907" s="1"/>
      <x:c r="N1907" s="1"/>
      <x:c r="O1907" s="1"/>
      <x:c r="P1907" s="1"/>
      <x:c r="Q1907" s="1"/>
      <x:c r="R1907" s="1"/>
      <x:c r="S1907" s="1"/>
      <x:c r="T1907" s="1"/>
      <x:c r="U1907" s="1"/>
      <x:c r="V1907" s="1"/>
    </x:row>
    <x:row r="1908">
      <x:c r="A1908" s="1"/>
      <x:c r="B1908" s="1"/>
      <x:c r="C1908" s="1"/>
      <x:c r="D1908" s="1"/>
      <x:c r="E1908" s="1"/>
      <x:c r="F1908" s="1"/>
      <x:c r="G1908" s="1"/>
      <x:c r="H1908" s="1"/>
      <x:c r="I1908" s="1"/>
      <x:c r="J1908" s="1"/>
      <x:c r="K1908" s="1"/>
      <x:c r="L1908" s="1"/>
      <x:c r="M1908" s="1"/>
      <x:c r="N1908" s="1"/>
      <x:c r="O1908" s="1"/>
      <x:c r="P1908" s="1"/>
      <x:c r="Q1908" s="1"/>
      <x:c r="R1908" s="1"/>
      <x:c r="S1908" s="1"/>
      <x:c r="T1908" s="1"/>
      <x:c r="U1908" s="1"/>
      <x:c r="V1908" s="1"/>
    </x:row>
    <x:row r="1909">
      <x:c r="A1909" s="1"/>
      <x:c r="B1909" s="1"/>
      <x:c r="C1909" s="1"/>
      <x:c r="D1909" s="1"/>
      <x:c r="E1909" s="1"/>
      <x:c r="F1909" s="1"/>
      <x:c r="G1909" s="1"/>
      <x:c r="H1909" s="1"/>
      <x:c r="I1909" s="1"/>
      <x:c r="J1909" s="1"/>
      <x:c r="K1909" s="1"/>
      <x:c r="L1909" s="1"/>
      <x:c r="M1909" s="1"/>
      <x:c r="N1909" s="1"/>
      <x:c r="O1909" s="1"/>
      <x:c r="P1909" s="1"/>
      <x:c r="Q1909" s="1"/>
      <x:c r="R1909" s="1"/>
      <x:c r="S1909" s="1"/>
      <x:c r="T1909" s="1"/>
      <x:c r="U1909" s="1"/>
      <x:c r="V1909" s="1"/>
    </x:row>
    <x:row r="1910">
      <x:c r="A1910" s="1"/>
      <x:c r="B1910" s="1"/>
      <x:c r="C1910" s="1"/>
      <x:c r="D1910" s="1"/>
      <x:c r="E1910" s="1"/>
      <x:c r="F1910" s="1"/>
      <x:c r="G1910" s="1"/>
      <x:c r="H1910" s="1"/>
      <x:c r="I1910" s="1"/>
      <x:c r="J1910" s="1"/>
      <x:c r="K1910" s="1"/>
      <x:c r="L1910" s="1"/>
      <x:c r="M1910" s="1"/>
      <x:c r="N1910" s="1"/>
      <x:c r="O1910" s="1"/>
      <x:c r="P1910" s="1"/>
      <x:c r="Q1910" s="1"/>
      <x:c r="R1910" s="1"/>
      <x:c r="S1910" s="1"/>
      <x:c r="T1910" s="1"/>
      <x:c r="U1910" s="1"/>
      <x:c r="V1910" s="1"/>
    </x:row>
    <x:row r="1911">
      <x:c r="A1911" s="1"/>
      <x:c r="B1911" s="1"/>
      <x:c r="C1911" s="1"/>
      <x:c r="D1911" s="1"/>
      <x:c r="E1911" s="1"/>
      <x:c r="F1911" s="1"/>
      <x:c r="G1911" s="1"/>
      <x:c r="H1911" s="1"/>
      <x:c r="I1911" s="1"/>
      <x:c r="J1911" s="1"/>
      <x:c r="K1911" s="1"/>
      <x:c r="L1911" s="1"/>
      <x:c r="M1911" s="1"/>
      <x:c r="N1911" s="1"/>
      <x:c r="O1911" s="1"/>
      <x:c r="P1911" s="1"/>
      <x:c r="Q1911" s="1"/>
      <x:c r="R1911" s="1"/>
      <x:c r="S1911" s="1"/>
      <x:c r="T1911" s="1"/>
      <x:c r="U1911" s="1"/>
      <x:c r="V1911" s="1"/>
    </x:row>
    <x:row r="1912">
      <x:c r="A1912" s="1"/>
      <x:c r="B1912" s="1"/>
      <x:c r="C1912" s="1"/>
      <x:c r="D1912" s="1"/>
      <x:c r="E1912" s="1"/>
      <x:c r="F1912" s="1"/>
      <x:c r="G1912" s="1"/>
      <x:c r="H1912" s="1"/>
      <x:c r="I1912" s="1"/>
      <x:c r="J1912" s="1"/>
      <x:c r="K1912" s="1"/>
      <x:c r="L1912" s="1"/>
      <x:c r="M1912" s="1"/>
      <x:c r="N1912" s="1"/>
      <x:c r="O1912" s="1"/>
      <x:c r="P1912" s="1"/>
      <x:c r="Q1912" s="1"/>
      <x:c r="R1912" s="1"/>
      <x:c r="S1912" s="1"/>
      <x:c r="T1912" s="1"/>
      <x:c r="U1912" s="1"/>
      <x:c r="V1912" s="1"/>
    </x:row>
    <x:row r="1913">
      <x:c r="A1913" s="1"/>
      <x:c r="B1913" s="1"/>
      <x:c r="C1913" s="1"/>
      <x:c r="D1913" s="1"/>
      <x:c r="E1913" s="1"/>
      <x:c r="F1913" s="1"/>
      <x:c r="G1913" s="1"/>
      <x:c r="H1913" s="1"/>
      <x:c r="I1913" s="1"/>
      <x:c r="J1913" s="1"/>
      <x:c r="K1913" s="1"/>
      <x:c r="L1913" s="1"/>
      <x:c r="M1913" s="1"/>
      <x:c r="N1913" s="1"/>
      <x:c r="O1913" s="1"/>
      <x:c r="P1913" s="1"/>
      <x:c r="Q1913" s="1"/>
      <x:c r="R1913" s="1"/>
      <x:c r="S1913" s="1"/>
      <x:c r="T1913" s="1"/>
      <x:c r="U1913" s="1"/>
      <x:c r="V1913" s="1"/>
    </x:row>
    <x:row r="1914">
      <x:c r="A1914" s="1"/>
      <x:c r="B1914" s="1"/>
      <x:c r="C1914" s="1"/>
      <x:c r="D1914" s="1"/>
      <x:c r="E1914" s="1"/>
      <x:c r="F1914" s="1"/>
      <x:c r="G1914" s="1"/>
      <x:c r="H1914" s="1"/>
      <x:c r="I1914" s="1"/>
      <x:c r="J1914" s="1"/>
      <x:c r="K1914" s="1"/>
      <x:c r="L1914" s="1"/>
      <x:c r="M1914" s="1"/>
      <x:c r="N1914" s="1"/>
      <x:c r="O1914" s="1"/>
      <x:c r="P1914" s="1"/>
      <x:c r="Q1914" s="1"/>
      <x:c r="R1914" s="1"/>
      <x:c r="S1914" s="1"/>
      <x:c r="T1914" s="1"/>
      <x:c r="U1914" s="1"/>
      <x:c r="V1914" s="1"/>
    </x:row>
    <x:row r="1915">
      <x:c r="A1915" s="1"/>
      <x:c r="B1915" s="1"/>
      <x:c r="C1915" s="1"/>
      <x:c r="D1915" s="1"/>
      <x:c r="E1915" s="1"/>
      <x:c r="F1915" s="1"/>
      <x:c r="G1915" s="1"/>
      <x:c r="H1915" s="1"/>
      <x:c r="I1915" s="1"/>
      <x:c r="J1915" s="1"/>
      <x:c r="K1915" s="1"/>
      <x:c r="L1915" s="1"/>
      <x:c r="M1915" s="1"/>
      <x:c r="N1915" s="1"/>
      <x:c r="O1915" s="1"/>
      <x:c r="P1915" s="1"/>
      <x:c r="Q1915" s="1"/>
      <x:c r="R1915" s="1"/>
      <x:c r="S1915" s="1"/>
      <x:c r="T1915" s="1"/>
      <x:c r="U1915" s="1"/>
      <x:c r="V1915" s="1"/>
    </x:row>
    <x:row r="1916">
      <x:c r="A1916" s="1"/>
      <x:c r="B1916" s="1"/>
      <x:c r="C1916" s="1"/>
      <x:c r="D1916" s="1"/>
      <x:c r="E1916" s="1"/>
      <x:c r="F1916" s="1"/>
      <x:c r="G1916" s="1"/>
      <x:c r="H1916" s="1"/>
      <x:c r="I1916" s="1"/>
      <x:c r="J1916" s="1"/>
      <x:c r="K1916" s="1"/>
      <x:c r="L1916" s="1"/>
      <x:c r="M1916" s="1"/>
      <x:c r="N1916" s="1"/>
      <x:c r="O1916" s="1"/>
      <x:c r="P1916" s="1"/>
      <x:c r="Q1916" s="1"/>
      <x:c r="R1916" s="1"/>
      <x:c r="S1916" s="1"/>
      <x:c r="T1916" s="1"/>
      <x:c r="U1916" s="1"/>
      <x:c r="V1916" s="1"/>
    </x:row>
    <x:row r="1917">
      <x:c r="A1917" s="1"/>
      <x:c r="B1917" s="1"/>
      <x:c r="C1917" s="1"/>
      <x:c r="D1917" s="1"/>
      <x:c r="E1917" s="1"/>
      <x:c r="F1917" s="1"/>
      <x:c r="G1917" s="1"/>
      <x:c r="H1917" s="1"/>
      <x:c r="I1917" s="1"/>
      <x:c r="J1917" s="1"/>
      <x:c r="K1917" s="1"/>
      <x:c r="L1917" s="1"/>
      <x:c r="M1917" s="1"/>
      <x:c r="N1917" s="1"/>
      <x:c r="O1917" s="1"/>
      <x:c r="P1917" s="1"/>
      <x:c r="Q1917" s="1"/>
      <x:c r="R1917" s="1"/>
      <x:c r="S1917" s="1"/>
      <x:c r="T1917" s="1"/>
      <x:c r="U1917" s="1"/>
      <x:c r="V1917" s="1"/>
    </x:row>
    <x:row r="1918">
      <x:c r="A1918" s="1"/>
      <x:c r="B1918" s="1"/>
      <x:c r="C1918" s="1"/>
      <x:c r="D1918" s="1"/>
      <x:c r="E1918" s="1"/>
      <x:c r="F1918" s="1"/>
      <x:c r="G1918" s="1"/>
      <x:c r="H1918" s="1"/>
      <x:c r="I1918" s="1"/>
      <x:c r="J1918" s="1"/>
      <x:c r="K1918" s="1"/>
      <x:c r="L1918" s="1"/>
      <x:c r="M1918" s="1"/>
      <x:c r="N1918" s="1"/>
      <x:c r="O1918" s="1"/>
      <x:c r="P1918" s="1"/>
      <x:c r="Q1918" s="1"/>
      <x:c r="R1918" s="1"/>
      <x:c r="S1918" s="1"/>
      <x:c r="T1918" s="1"/>
      <x:c r="U1918" s="1"/>
      <x:c r="V1918" s="1"/>
    </x:row>
    <x:row r="1919">
      <x:c r="A1919" s="1"/>
      <x:c r="B1919" s="1"/>
      <x:c r="C1919" s="1"/>
      <x:c r="D1919" s="1"/>
      <x:c r="E1919" s="1"/>
      <x:c r="F1919" s="1"/>
      <x:c r="G1919" s="1"/>
      <x:c r="H1919" s="1"/>
      <x:c r="I1919" s="1"/>
      <x:c r="J1919" s="1"/>
      <x:c r="K1919" s="1"/>
      <x:c r="L1919" s="1"/>
      <x:c r="M1919" s="1"/>
      <x:c r="N1919" s="1"/>
      <x:c r="O1919" s="1"/>
      <x:c r="P1919" s="1"/>
      <x:c r="Q1919" s="1"/>
      <x:c r="R1919" s="1"/>
      <x:c r="S1919" s="1"/>
      <x:c r="T1919" s="1"/>
      <x:c r="U1919" s="1"/>
      <x:c r="V1919" s="1"/>
    </x:row>
    <x:row r="1920">
      <x:c r="A1920" s="1"/>
      <x:c r="B1920" s="1"/>
      <x:c r="C1920" s="1"/>
      <x:c r="D1920" s="1"/>
      <x:c r="E1920" s="1"/>
      <x:c r="F1920" s="1"/>
      <x:c r="G1920" s="1"/>
      <x:c r="H1920" s="1"/>
      <x:c r="I1920" s="1"/>
      <x:c r="J1920" s="1"/>
      <x:c r="K1920" s="1"/>
      <x:c r="L1920" s="1"/>
      <x:c r="M1920" s="1"/>
      <x:c r="N1920" s="1"/>
      <x:c r="O1920" s="1"/>
      <x:c r="P1920" s="1"/>
      <x:c r="Q1920" s="1"/>
      <x:c r="R1920" s="1"/>
      <x:c r="S1920" s="1"/>
      <x:c r="T1920" s="1"/>
      <x:c r="U1920" s="1"/>
      <x:c r="V1920" s="1"/>
    </x:row>
    <x:row r="1921">
      <x:c r="A1921" s="1"/>
      <x:c r="B1921" s="1"/>
      <x:c r="C1921" s="1"/>
      <x:c r="D1921" s="1"/>
      <x:c r="E1921" s="1"/>
      <x:c r="F1921" s="1"/>
      <x:c r="G1921" s="1"/>
      <x:c r="H1921" s="1"/>
      <x:c r="I1921" s="1"/>
      <x:c r="J1921" s="1"/>
      <x:c r="K1921" s="1"/>
      <x:c r="L1921" s="1"/>
      <x:c r="M1921" s="1"/>
      <x:c r="N1921" s="1"/>
      <x:c r="O1921" s="1"/>
      <x:c r="P1921" s="1"/>
      <x:c r="Q1921" s="1"/>
      <x:c r="R1921" s="1"/>
      <x:c r="S1921" s="1"/>
      <x:c r="T1921" s="1"/>
      <x:c r="U1921" s="1"/>
      <x:c r="V1921" s="1"/>
    </x:row>
    <x:row r="1922">
      <x:c r="A1922" s="1"/>
      <x:c r="B1922" s="1"/>
      <x:c r="C1922" s="1"/>
      <x:c r="D1922" s="1"/>
      <x:c r="E1922" s="1"/>
      <x:c r="F1922" s="1"/>
      <x:c r="G1922" s="1"/>
      <x:c r="H1922" s="1"/>
      <x:c r="I1922" s="1"/>
      <x:c r="J1922" s="1"/>
      <x:c r="K1922" s="1"/>
      <x:c r="L1922" s="1"/>
      <x:c r="M1922" s="1"/>
      <x:c r="N1922" s="1"/>
      <x:c r="O1922" s="1"/>
      <x:c r="P1922" s="1"/>
      <x:c r="Q1922" s="1"/>
      <x:c r="R1922" s="1"/>
      <x:c r="S1922" s="1"/>
      <x:c r="T1922" s="1"/>
      <x:c r="U1922" s="1"/>
      <x:c r="V1922" s="1"/>
    </x:row>
    <x:row r="1923">
      <x:c r="A1923" s="1"/>
      <x:c r="B1923" s="1"/>
      <x:c r="C1923" s="1"/>
      <x:c r="D1923" s="1"/>
      <x:c r="E1923" s="1"/>
      <x:c r="F1923" s="1"/>
      <x:c r="G1923" s="1"/>
      <x:c r="H1923" s="1"/>
      <x:c r="I1923" s="1"/>
      <x:c r="J1923" s="1"/>
      <x:c r="K1923" s="1"/>
      <x:c r="L1923" s="1"/>
      <x:c r="M1923" s="1"/>
      <x:c r="N1923" s="1"/>
      <x:c r="O1923" s="1"/>
      <x:c r="P1923" s="1"/>
      <x:c r="Q1923" s="1"/>
      <x:c r="R1923" s="1"/>
      <x:c r="S1923" s="1"/>
      <x:c r="T1923" s="1"/>
      <x:c r="U1923" s="1"/>
      <x:c r="V1923" s="1"/>
    </x:row>
    <x:row r="1924">
      <x:c r="A1924" s="1"/>
      <x:c r="B1924" s="1"/>
      <x:c r="C1924" s="1"/>
      <x:c r="D1924" s="1"/>
      <x:c r="E1924" s="1"/>
      <x:c r="F1924" s="1"/>
      <x:c r="G1924" s="1"/>
      <x:c r="H1924" s="1"/>
      <x:c r="I1924" s="1"/>
      <x:c r="J1924" s="1"/>
      <x:c r="K1924" s="1"/>
      <x:c r="L1924" s="1"/>
      <x:c r="M1924" s="1"/>
      <x:c r="N1924" s="1"/>
      <x:c r="O1924" s="1"/>
      <x:c r="P1924" s="1"/>
      <x:c r="Q1924" s="1"/>
      <x:c r="R1924" s="1"/>
      <x:c r="S1924" s="1"/>
      <x:c r="T1924" s="1"/>
      <x:c r="U1924" s="1"/>
      <x:c r="V1924" s="1"/>
    </x:row>
    <x:row r="1925">
      <x:c r="A1925" s="1"/>
      <x:c r="B1925" s="1"/>
      <x:c r="C1925" s="1"/>
      <x:c r="D1925" s="1"/>
      <x:c r="E1925" s="1"/>
      <x:c r="F1925" s="1"/>
      <x:c r="G1925" s="1"/>
      <x:c r="H1925" s="1"/>
      <x:c r="I1925" s="1"/>
      <x:c r="J1925" s="1"/>
      <x:c r="K1925" s="1"/>
      <x:c r="L1925" s="1"/>
      <x:c r="M1925" s="1"/>
      <x:c r="N1925" s="1"/>
      <x:c r="O1925" s="1"/>
      <x:c r="P1925" s="1"/>
      <x:c r="Q1925" s="1"/>
      <x:c r="R1925" s="1"/>
      <x:c r="S1925" s="1"/>
      <x:c r="T1925" s="1"/>
      <x:c r="U1925" s="1"/>
      <x:c r="V1925" s="1"/>
    </x:row>
    <x:row r="1926">
      <x:c r="A1926" s="1"/>
      <x:c r="B1926" s="1"/>
      <x:c r="C1926" s="1"/>
      <x:c r="D1926" s="1"/>
      <x:c r="E1926" s="1"/>
      <x:c r="F1926" s="1"/>
      <x:c r="G1926" s="1"/>
      <x:c r="H1926" s="1"/>
      <x:c r="I1926" s="1"/>
      <x:c r="J1926" s="1"/>
      <x:c r="K1926" s="1"/>
      <x:c r="L1926" s="1"/>
      <x:c r="M1926" s="1"/>
      <x:c r="N1926" s="1"/>
      <x:c r="O1926" s="1"/>
      <x:c r="P1926" s="1"/>
      <x:c r="Q1926" s="1"/>
      <x:c r="R1926" s="1"/>
      <x:c r="S1926" s="1"/>
      <x:c r="T1926" s="1"/>
      <x:c r="U1926" s="1"/>
      <x:c r="V1926" s="1"/>
    </x:row>
    <x:row r="1927">
      <x:c r="A1927" s="1"/>
      <x:c r="B1927" s="1"/>
      <x:c r="C1927" s="1"/>
      <x:c r="D1927" s="1"/>
      <x:c r="E1927" s="1"/>
      <x:c r="F1927" s="1"/>
      <x:c r="G1927" s="1"/>
      <x:c r="H1927" s="1"/>
      <x:c r="I1927" s="1"/>
      <x:c r="J1927" s="1"/>
      <x:c r="K1927" s="1"/>
      <x:c r="L1927" s="1"/>
      <x:c r="M1927" s="1"/>
      <x:c r="N1927" s="1"/>
      <x:c r="O1927" s="1"/>
      <x:c r="P1927" s="1"/>
      <x:c r="Q1927" s="1"/>
      <x:c r="R1927" s="1"/>
      <x:c r="S1927" s="1"/>
      <x:c r="T1927" s="1"/>
      <x:c r="U1927" s="1"/>
      <x:c r="V1927" s="1"/>
    </x:row>
    <x:row r="1928">
      <x:c r="A1928" s="1"/>
      <x:c r="B1928" s="1"/>
      <x:c r="C1928" s="1"/>
      <x:c r="D1928" s="1"/>
      <x:c r="E1928" s="1"/>
      <x:c r="F1928" s="1"/>
      <x:c r="G1928" s="1"/>
      <x:c r="H1928" s="1"/>
      <x:c r="I1928" s="1"/>
      <x:c r="J1928" s="1"/>
      <x:c r="K1928" s="1"/>
      <x:c r="L1928" s="1"/>
      <x:c r="M1928" s="1"/>
      <x:c r="N1928" s="1"/>
      <x:c r="O1928" s="1"/>
      <x:c r="P1928" s="1"/>
      <x:c r="Q1928" s="1"/>
      <x:c r="R1928" s="1"/>
      <x:c r="S1928" s="1"/>
      <x:c r="T1928" s="1"/>
      <x:c r="U1928" s="1"/>
      <x:c r="V1928" s="1"/>
    </x:row>
    <x:row r="1929">
      <x:c r="A1929" s="1"/>
      <x:c r="B1929" s="1"/>
      <x:c r="C1929" s="1"/>
      <x:c r="D1929" s="1"/>
      <x:c r="E1929" s="1"/>
      <x:c r="F1929" s="1"/>
      <x:c r="G1929" s="1"/>
      <x:c r="H1929" s="1"/>
      <x:c r="I1929" s="1"/>
      <x:c r="J1929" s="1"/>
      <x:c r="K1929" s="1"/>
      <x:c r="L1929" s="1"/>
      <x:c r="M1929" s="1"/>
      <x:c r="N1929" s="1"/>
      <x:c r="O1929" s="1"/>
      <x:c r="P1929" s="1"/>
      <x:c r="Q1929" s="1"/>
      <x:c r="R1929" s="1"/>
      <x:c r="S1929" s="1"/>
      <x:c r="T1929" s="1"/>
      <x:c r="U1929" s="1"/>
      <x:c r="V1929" s="1"/>
    </x:row>
    <x:row r="1930">
      <x:c r="A1930" s="1"/>
      <x:c r="B1930" s="1"/>
      <x:c r="C1930" s="1"/>
      <x:c r="D1930" s="1"/>
      <x:c r="E1930" s="1"/>
      <x:c r="F1930" s="1"/>
      <x:c r="G1930" s="1"/>
      <x:c r="H1930" s="1"/>
      <x:c r="I1930" s="1"/>
      <x:c r="J1930" s="1"/>
      <x:c r="K1930" s="1"/>
      <x:c r="L1930" s="1"/>
      <x:c r="M1930" s="1"/>
      <x:c r="N1930" s="1"/>
      <x:c r="O1930" s="1"/>
      <x:c r="P1930" s="1"/>
      <x:c r="Q1930" s="1"/>
      <x:c r="R1930" s="1"/>
      <x:c r="S1930" s="1"/>
      <x:c r="T1930" s="1"/>
      <x:c r="U1930" s="1"/>
      <x:c r="V1930" s="1"/>
    </x:row>
    <x:row r="1931">
      <x:c r="A1931" s="1"/>
      <x:c r="B1931" s="1"/>
      <x:c r="C1931" s="1"/>
      <x:c r="D1931" s="1"/>
      <x:c r="E1931" s="1"/>
      <x:c r="F1931" s="1"/>
      <x:c r="G1931" s="1"/>
      <x:c r="H1931" s="1"/>
      <x:c r="I1931" s="1"/>
      <x:c r="J1931" s="1"/>
      <x:c r="K1931" s="1"/>
      <x:c r="L1931" s="1"/>
      <x:c r="M1931" s="1"/>
      <x:c r="N1931" s="1"/>
      <x:c r="O1931" s="1"/>
      <x:c r="P1931" s="1"/>
      <x:c r="Q1931" s="1"/>
      <x:c r="R1931" s="1"/>
      <x:c r="S1931" s="1"/>
      <x:c r="T1931" s="1"/>
      <x:c r="U1931" s="1"/>
      <x:c r="V1931" s="1"/>
    </x:row>
    <x:row r="1932">
      <x:c r="A1932" s="1"/>
      <x:c r="B1932" s="1"/>
      <x:c r="C1932" s="1"/>
      <x:c r="D1932" s="1"/>
      <x:c r="E1932" s="1"/>
      <x:c r="F1932" s="1"/>
      <x:c r="G1932" s="1"/>
      <x:c r="H1932" s="1"/>
      <x:c r="I1932" s="1"/>
      <x:c r="J1932" s="1"/>
      <x:c r="K1932" s="1"/>
      <x:c r="L1932" s="1"/>
      <x:c r="M1932" s="1"/>
      <x:c r="N1932" s="1"/>
      <x:c r="O1932" s="1"/>
      <x:c r="P1932" s="1"/>
      <x:c r="Q1932" s="1"/>
      <x:c r="R1932" s="1"/>
      <x:c r="S1932" s="1"/>
      <x:c r="T1932" s="1"/>
      <x:c r="U1932" s="1"/>
      <x:c r="V1932" s="1"/>
    </x:row>
    <x:row r="1933">
      <x:c r="A1933" s="1"/>
      <x:c r="B1933" s="1"/>
      <x:c r="C1933" s="1"/>
      <x:c r="D1933" s="1"/>
      <x:c r="E1933" s="1"/>
      <x:c r="F1933" s="1"/>
      <x:c r="G1933" s="1"/>
      <x:c r="H1933" s="1"/>
      <x:c r="I1933" s="1"/>
      <x:c r="J1933" s="1"/>
      <x:c r="K1933" s="1"/>
      <x:c r="L1933" s="1"/>
      <x:c r="M1933" s="1"/>
      <x:c r="N1933" s="1"/>
      <x:c r="O1933" s="1"/>
      <x:c r="P1933" s="1"/>
      <x:c r="Q1933" s="1"/>
      <x:c r="R1933" s="1"/>
      <x:c r="S1933" s="1"/>
      <x:c r="T1933" s="1"/>
      <x:c r="U1933" s="1"/>
      <x:c r="V1933" s="1"/>
    </x:row>
    <x:row r="1934">
      <x:c r="A1934" s="1"/>
      <x:c r="B1934" s="1"/>
      <x:c r="C1934" s="1"/>
      <x:c r="D1934" s="1"/>
      <x:c r="E1934" s="1"/>
      <x:c r="F1934" s="1"/>
      <x:c r="G1934" s="1"/>
      <x:c r="H1934" s="1"/>
      <x:c r="I1934" s="1"/>
      <x:c r="J1934" s="1"/>
      <x:c r="K1934" s="1"/>
      <x:c r="L1934" s="1"/>
      <x:c r="M1934" s="1"/>
      <x:c r="N1934" s="1"/>
      <x:c r="O1934" s="1"/>
      <x:c r="P1934" s="1"/>
      <x:c r="Q1934" s="1"/>
      <x:c r="R1934" s="1"/>
      <x:c r="S1934" s="1"/>
      <x:c r="T1934" s="1"/>
      <x:c r="U1934" s="1"/>
      <x:c r="V1934" s="1"/>
    </x:row>
    <x:row r="1935">
      <x:c r="A1935" s="1"/>
      <x:c r="B1935" s="1"/>
      <x:c r="C1935" s="1"/>
      <x:c r="D1935" s="1"/>
      <x:c r="E1935" s="1"/>
      <x:c r="F1935" s="1"/>
      <x:c r="G1935" s="1"/>
      <x:c r="H1935" s="1"/>
      <x:c r="I1935" s="1"/>
      <x:c r="J1935" s="1"/>
      <x:c r="K1935" s="1"/>
      <x:c r="L1935" s="1"/>
      <x:c r="M1935" s="1"/>
      <x:c r="N1935" s="1"/>
      <x:c r="O1935" s="1"/>
      <x:c r="P1935" s="1"/>
      <x:c r="Q1935" s="1"/>
      <x:c r="R1935" s="1"/>
      <x:c r="S1935" s="1"/>
      <x:c r="T1935" s="1"/>
      <x:c r="U1935" s="1"/>
      <x:c r="V1935" s="1"/>
    </x:row>
    <x:row r="1936">
      <x:c r="A1936" s="1"/>
      <x:c r="B1936" s="1"/>
      <x:c r="C1936" s="1"/>
      <x:c r="D1936" s="1"/>
      <x:c r="E1936" s="1"/>
      <x:c r="F1936" s="1"/>
      <x:c r="G1936" s="1"/>
      <x:c r="H1936" s="1"/>
      <x:c r="I1936" s="1"/>
      <x:c r="J1936" s="1"/>
      <x:c r="K1936" s="1"/>
      <x:c r="L1936" s="1"/>
      <x:c r="M1936" s="1"/>
      <x:c r="N1936" s="1"/>
      <x:c r="O1936" s="1"/>
      <x:c r="P1936" s="1"/>
      <x:c r="Q1936" s="1"/>
      <x:c r="R1936" s="1"/>
      <x:c r="S1936" s="1"/>
      <x:c r="T1936" s="1"/>
      <x:c r="U1936" s="1"/>
      <x:c r="V1936" s="1"/>
    </x:row>
    <x:row r="1937">
      <x:c r="A1937" s="1"/>
      <x:c r="B1937" s="1"/>
      <x:c r="C1937" s="1"/>
      <x:c r="D1937" s="1"/>
      <x:c r="E1937" s="1"/>
      <x:c r="F1937" s="1"/>
      <x:c r="G1937" s="1"/>
      <x:c r="H1937" s="1"/>
      <x:c r="I1937" s="1"/>
      <x:c r="J1937" s="1"/>
      <x:c r="K1937" s="1"/>
      <x:c r="L1937" s="1"/>
      <x:c r="M1937" s="1"/>
      <x:c r="N1937" s="1"/>
      <x:c r="O1937" s="1"/>
      <x:c r="P1937" s="1"/>
      <x:c r="Q1937" s="1"/>
      <x:c r="R1937" s="1"/>
      <x:c r="S1937" s="1"/>
      <x:c r="T1937" s="1"/>
      <x:c r="U1937" s="1"/>
      <x:c r="V1937" s="1"/>
    </x:row>
    <x:row r="1938">
      <x:c r="A1938" s="1"/>
      <x:c r="B1938" s="1"/>
      <x:c r="C1938" s="1"/>
      <x:c r="D1938" s="1"/>
      <x:c r="E1938" s="1"/>
      <x:c r="F1938" s="1"/>
      <x:c r="G1938" s="1"/>
      <x:c r="H1938" s="1"/>
      <x:c r="I1938" s="1"/>
      <x:c r="J1938" s="1"/>
      <x:c r="K1938" s="1"/>
      <x:c r="L1938" s="1"/>
      <x:c r="M1938" s="1"/>
      <x:c r="N1938" s="1"/>
      <x:c r="O1938" s="1"/>
      <x:c r="P1938" s="1"/>
      <x:c r="Q1938" s="1"/>
      <x:c r="R1938" s="1"/>
      <x:c r="S1938" s="1"/>
      <x:c r="T1938" s="1"/>
      <x:c r="U1938" s="1"/>
      <x:c r="V1938" s="1"/>
    </x:row>
    <x:row r="1939">
      <x:c r="A1939" s="1"/>
      <x:c r="B1939" s="1"/>
      <x:c r="C1939" s="1"/>
      <x:c r="D1939" s="1"/>
      <x:c r="E1939" s="1"/>
      <x:c r="F1939" s="1"/>
      <x:c r="G1939" s="1"/>
      <x:c r="H1939" s="1"/>
      <x:c r="I1939" s="1"/>
      <x:c r="J1939" s="1"/>
      <x:c r="K1939" s="1"/>
      <x:c r="L1939" s="1"/>
      <x:c r="M1939" s="1"/>
      <x:c r="N1939" s="1"/>
      <x:c r="O1939" s="1"/>
      <x:c r="P1939" s="1"/>
      <x:c r="Q1939" s="1"/>
      <x:c r="R1939" s="1"/>
      <x:c r="S1939" s="1"/>
      <x:c r="T1939" s="1"/>
      <x:c r="U1939" s="1"/>
      <x:c r="V1939" s="1"/>
    </x:row>
    <x:row r="1940">
      <x:c r="A1940" s="1"/>
      <x:c r="B1940" s="1"/>
      <x:c r="C1940" s="1"/>
      <x:c r="D1940" s="1"/>
      <x:c r="E1940" s="1"/>
      <x:c r="F1940" s="1"/>
      <x:c r="G1940" s="1"/>
      <x:c r="H1940" s="1"/>
      <x:c r="I1940" s="1"/>
      <x:c r="J1940" s="1"/>
      <x:c r="K1940" s="1"/>
      <x:c r="L1940" s="1"/>
      <x:c r="M1940" s="1"/>
      <x:c r="N1940" s="1"/>
      <x:c r="O1940" s="1"/>
      <x:c r="P1940" s="1"/>
      <x:c r="Q1940" s="1"/>
      <x:c r="R1940" s="1"/>
      <x:c r="S1940" s="1"/>
      <x:c r="T1940" s="1"/>
      <x:c r="U1940" s="1"/>
      <x:c r="V1940" s="1"/>
    </x:row>
    <x:row r="1941">
      <x:c r="A1941" s="1"/>
      <x:c r="B1941" s="1"/>
      <x:c r="C1941" s="1"/>
      <x:c r="D1941" s="1"/>
      <x:c r="E1941" s="1"/>
      <x:c r="F1941" s="1"/>
      <x:c r="G1941" s="1"/>
      <x:c r="H1941" s="1"/>
      <x:c r="I1941" s="1"/>
      <x:c r="J1941" s="1"/>
      <x:c r="K1941" s="1"/>
      <x:c r="L1941" s="1"/>
      <x:c r="M1941" s="1"/>
      <x:c r="N1941" s="1"/>
      <x:c r="O1941" s="1"/>
      <x:c r="P1941" s="1"/>
      <x:c r="Q1941" s="1"/>
      <x:c r="R1941" s="1"/>
      <x:c r="S1941" s="1"/>
      <x:c r="T1941" s="1"/>
      <x:c r="U1941" s="1"/>
      <x:c r="V1941" s="1"/>
    </x:row>
    <x:row r="1942">
      <x:c r="A1942" s="1"/>
      <x:c r="B1942" s="1"/>
      <x:c r="C1942" s="1"/>
      <x:c r="D1942" s="1"/>
      <x:c r="E1942" s="1"/>
      <x:c r="F1942" s="1"/>
      <x:c r="G1942" s="1"/>
      <x:c r="H1942" s="1"/>
      <x:c r="I1942" s="1"/>
      <x:c r="J1942" s="1"/>
      <x:c r="K1942" s="1"/>
      <x:c r="L1942" s="1"/>
      <x:c r="M1942" s="1"/>
      <x:c r="N1942" s="1"/>
      <x:c r="O1942" s="1"/>
      <x:c r="P1942" s="1"/>
      <x:c r="Q1942" s="1"/>
      <x:c r="R1942" s="1"/>
      <x:c r="S1942" s="1"/>
      <x:c r="T1942" s="1"/>
      <x:c r="U1942" s="1"/>
      <x:c r="V1942" s="1"/>
    </x:row>
    <x:row r="1943">
      <x:c r="A1943" s="1"/>
      <x:c r="B1943" s="1"/>
      <x:c r="C1943" s="1"/>
      <x:c r="D1943" s="1"/>
      <x:c r="E1943" s="1"/>
      <x:c r="F1943" s="1"/>
      <x:c r="G1943" s="1"/>
      <x:c r="H1943" s="1"/>
      <x:c r="I1943" s="1"/>
      <x:c r="J1943" s="1"/>
      <x:c r="K1943" s="1"/>
      <x:c r="L1943" s="1"/>
      <x:c r="M1943" s="1"/>
      <x:c r="N1943" s="1"/>
      <x:c r="O1943" s="1"/>
      <x:c r="P1943" s="1"/>
      <x:c r="Q1943" s="1"/>
      <x:c r="R1943" s="1"/>
      <x:c r="S1943" s="1"/>
      <x:c r="T1943" s="1"/>
      <x:c r="U1943" s="1"/>
      <x:c r="V1943" s="1"/>
    </x:row>
    <x:row r="1944">
      <x:c r="A1944" s="1"/>
      <x:c r="B1944" s="1"/>
      <x:c r="C1944" s="1"/>
      <x:c r="D1944" s="1"/>
      <x:c r="E1944" s="1"/>
      <x:c r="F1944" s="1"/>
      <x:c r="G1944" s="1"/>
      <x:c r="H1944" s="1"/>
      <x:c r="I1944" s="1"/>
      <x:c r="J1944" s="1"/>
      <x:c r="K1944" s="1"/>
      <x:c r="L1944" s="1"/>
      <x:c r="M1944" s="1"/>
      <x:c r="N1944" s="1"/>
      <x:c r="O1944" s="1"/>
      <x:c r="P1944" s="1"/>
      <x:c r="Q1944" s="1"/>
      <x:c r="R1944" s="1"/>
      <x:c r="S1944" s="1"/>
      <x:c r="T1944" s="1"/>
      <x:c r="U1944" s="1"/>
      <x:c r="V1944" s="1"/>
    </x:row>
    <x:row r="1945">
      <x:c r="A1945" s="1"/>
      <x:c r="B1945" s="1"/>
      <x:c r="C1945" s="1"/>
      <x:c r="D1945" s="1"/>
      <x:c r="E1945" s="1"/>
      <x:c r="F1945" s="1"/>
      <x:c r="G1945" s="1"/>
      <x:c r="H1945" s="1"/>
      <x:c r="I1945" s="1"/>
      <x:c r="J1945" s="1"/>
      <x:c r="K1945" s="1"/>
      <x:c r="L1945" s="1"/>
      <x:c r="M1945" s="1"/>
      <x:c r="N1945" s="1"/>
      <x:c r="O1945" s="1"/>
      <x:c r="P1945" s="1"/>
      <x:c r="Q1945" s="1"/>
      <x:c r="R1945" s="1"/>
      <x:c r="S1945" s="1"/>
      <x:c r="T1945" s="1"/>
      <x:c r="U1945" s="1"/>
      <x:c r="V1945" s="1"/>
    </x:row>
    <x:row r="1946">
      <x:c r="A1946" s="1"/>
      <x:c r="B1946" s="1"/>
      <x:c r="C1946" s="1"/>
      <x:c r="D1946" s="1"/>
      <x:c r="E1946" s="1"/>
      <x:c r="F1946" s="1"/>
      <x:c r="G1946" s="1"/>
      <x:c r="H1946" s="1"/>
      <x:c r="I1946" s="1"/>
      <x:c r="J1946" s="1"/>
      <x:c r="K1946" s="1"/>
      <x:c r="L1946" s="1"/>
      <x:c r="M1946" s="1"/>
      <x:c r="N1946" s="1"/>
      <x:c r="O1946" s="1"/>
      <x:c r="P1946" s="1"/>
      <x:c r="Q1946" s="1"/>
      <x:c r="R1946" s="1"/>
      <x:c r="S1946" s="1"/>
      <x:c r="T1946" s="1"/>
      <x:c r="U1946" s="1"/>
      <x:c r="V1946" s="1"/>
    </x:row>
    <x:row r="1947">
      <x:c r="A1947" s="1"/>
      <x:c r="B1947" s="1"/>
      <x:c r="C1947" s="1"/>
      <x:c r="D1947" s="1"/>
      <x:c r="E1947" s="1"/>
      <x:c r="F1947" s="1"/>
      <x:c r="G1947" s="1"/>
      <x:c r="H1947" s="1"/>
      <x:c r="I1947" s="1"/>
      <x:c r="J1947" s="1"/>
      <x:c r="K1947" s="1"/>
      <x:c r="L1947" s="1"/>
      <x:c r="M1947" s="1"/>
      <x:c r="N1947" s="1"/>
      <x:c r="O1947" s="1"/>
      <x:c r="P1947" s="1"/>
      <x:c r="Q1947" s="1"/>
      <x:c r="R1947" s="1"/>
      <x:c r="S1947" s="1"/>
      <x:c r="T1947" s="1"/>
      <x:c r="U1947" s="1"/>
      <x:c r="V1947" s="1"/>
    </x:row>
    <x:row r="1948">
      <x:c r="A1948" s="1"/>
      <x:c r="B1948" s="1"/>
      <x:c r="C1948" s="1"/>
      <x:c r="D1948" s="1"/>
      <x:c r="E1948" s="1"/>
      <x:c r="F1948" s="1"/>
      <x:c r="G1948" s="1"/>
      <x:c r="H1948" s="1"/>
      <x:c r="I1948" s="1"/>
      <x:c r="J1948" s="1"/>
      <x:c r="K1948" s="1"/>
      <x:c r="L1948" s="1"/>
      <x:c r="M1948" s="1"/>
      <x:c r="N1948" s="1"/>
      <x:c r="O1948" s="1"/>
      <x:c r="P1948" s="1"/>
      <x:c r="Q1948" s="1"/>
      <x:c r="R1948" s="1"/>
      <x:c r="S1948" s="1"/>
      <x:c r="T1948" s="1"/>
      <x:c r="U1948" s="1"/>
      <x:c r="V1948" s="1"/>
    </x:row>
    <x:row r="1949">
      <x:c r="A1949" s="1"/>
      <x:c r="B1949" s="1"/>
      <x:c r="C1949" s="1"/>
      <x:c r="D1949" s="1"/>
      <x:c r="E1949" s="1"/>
      <x:c r="F1949" s="1"/>
      <x:c r="G1949" s="1"/>
      <x:c r="H1949" s="1"/>
      <x:c r="I1949" s="1"/>
      <x:c r="J1949" s="1"/>
      <x:c r="K1949" s="1"/>
      <x:c r="L1949" s="1"/>
      <x:c r="M1949" s="1"/>
      <x:c r="N1949" s="1"/>
      <x:c r="O1949" s="1"/>
      <x:c r="P1949" s="1"/>
      <x:c r="Q1949" s="1"/>
      <x:c r="R1949" s="1"/>
      <x:c r="S1949" s="1"/>
      <x:c r="T1949" s="1"/>
      <x:c r="U1949" s="1"/>
      <x:c r="V1949" s="1"/>
    </x:row>
    <x:row r="1950">
      <x:c r="A1950" s="1"/>
      <x:c r="B1950" s="1"/>
      <x:c r="C1950" s="1"/>
      <x:c r="D1950" s="1"/>
      <x:c r="E1950" s="1"/>
      <x:c r="F1950" s="1"/>
      <x:c r="G1950" s="1"/>
      <x:c r="H1950" s="1"/>
      <x:c r="I1950" s="1"/>
      <x:c r="J1950" s="1"/>
      <x:c r="K1950" s="1"/>
      <x:c r="L1950" s="1"/>
      <x:c r="M1950" s="1"/>
      <x:c r="N1950" s="1"/>
      <x:c r="O1950" s="1"/>
      <x:c r="P1950" s="1"/>
      <x:c r="Q1950" s="1"/>
      <x:c r="R1950" s="1"/>
      <x:c r="S1950" s="1"/>
      <x:c r="T1950" s="1"/>
      <x:c r="U1950" s="1"/>
      <x:c r="V1950" s="1"/>
    </x:row>
    <x:row r="1951">
      <x:c r="A1951" s="1"/>
      <x:c r="B1951" s="1"/>
      <x:c r="C1951" s="1"/>
      <x:c r="D1951" s="1"/>
      <x:c r="E1951" s="1"/>
      <x:c r="F1951" s="1"/>
      <x:c r="G1951" s="1"/>
      <x:c r="H1951" s="1"/>
      <x:c r="I1951" s="1"/>
      <x:c r="J1951" s="1"/>
      <x:c r="K1951" s="1"/>
      <x:c r="L1951" s="1"/>
      <x:c r="M1951" s="1"/>
      <x:c r="N1951" s="1"/>
      <x:c r="O1951" s="1"/>
      <x:c r="P1951" s="1"/>
      <x:c r="Q1951" s="1"/>
      <x:c r="R1951" s="1"/>
      <x:c r="S1951" s="1"/>
      <x:c r="T1951" s="1"/>
      <x:c r="U1951" s="1"/>
      <x:c r="V1951" s="1"/>
    </x:row>
    <x:row r="1952">
      <x:c r="A1952" s="1"/>
      <x:c r="B1952" s="1"/>
      <x:c r="C1952" s="1"/>
      <x:c r="D1952" s="1"/>
      <x:c r="E1952" s="1"/>
      <x:c r="F1952" s="1"/>
      <x:c r="G1952" s="1"/>
      <x:c r="H1952" s="1"/>
      <x:c r="I1952" s="1"/>
      <x:c r="J1952" s="1"/>
      <x:c r="K1952" s="1"/>
      <x:c r="L1952" s="1"/>
      <x:c r="M1952" s="1"/>
      <x:c r="N1952" s="1"/>
      <x:c r="O1952" s="1"/>
      <x:c r="P1952" s="1"/>
      <x:c r="Q1952" s="1"/>
      <x:c r="R1952" s="1"/>
      <x:c r="S1952" s="1"/>
      <x:c r="T1952" s="1"/>
      <x:c r="U1952" s="1"/>
      <x:c r="V1952" s="1"/>
    </x:row>
    <x:row r="1953">
      <x:c r="A1953" s="1"/>
      <x:c r="B1953" s="1"/>
      <x:c r="C1953" s="1"/>
      <x:c r="D1953" s="1"/>
      <x:c r="E1953" s="1"/>
      <x:c r="F1953" s="1"/>
      <x:c r="G1953" s="1"/>
      <x:c r="H1953" s="1"/>
      <x:c r="I1953" s="1"/>
      <x:c r="J1953" s="1"/>
      <x:c r="K1953" s="1"/>
      <x:c r="L1953" s="1"/>
      <x:c r="M1953" s="1"/>
      <x:c r="N1953" s="1"/>
      <x:c r="O1953" s="1"/>
      <x:c r="P1953" s="1"/>
      <x:c r="Q1953" s="1"/>
      <x:c r="R1953" s="1"/>
      <x:c r="S1953" s="1"/>
      <x:c r="T1953" s="1"/>
      <x:c r="U1953" s="1"/>
      <x:c r="V1953" s="1"/>
    </x:row>
    <x:row r="1954">
      <x:c r="A1954" s="1"/>
      <x:c r="B1954" s="1"/>
      <x:c r="C1954" s="1"/>
      <x:c r="D1954" s="1"/>
      <x:c r="E1954" s="1"/>
      <x:c r="F1954" s="1"/>
      <x:c r="G1954" s="1"/>
      <x:c r="H1954" s="1"/>
      <x:c r="I1954" s="1"/>
      <x:c r="J1954" s="1"/>
      <x:c r="K1954" s="1"/>
      <x:c r="L1954" s="1"/>
      <x:c r="M1954" s="1"/>
      <x:c r="N1954" s="1"/>
      <x:c r="O1954" s="1"/>
      <x:c r="P1954" s="1"/>
      <x:c r="Q1954" s="1"/>
      <x:c r="R1954" s="1"/>
      <x:c r="S1954" s="1"/>
      <x:c r="T1954" s="1"/>
      <x:c r="U1954" s="1"/>
      <x:c r="V1954" s="1"/>
    </x:row>
    <x:row r="1955">
      <x:c r="A1955" s="1"/>
      <x:c r="B1955" s="1"/>
      <x:c r="C1955" s="1"/>
      <x:c r="D1955" s="1"/>
      <x:c r="E1955" s="1"/>
      <x:c r="F1955" s="1"/>
      <x:c r="G1955" s="1"/>
      <x:c r="H1955" s="1"/>
      <x:c r="I1955" s="1"/>
      <x:c r="J1955" s="1"/>
      <x:c r="K1955" s="1"/>
      <x:c r="L1955" s="1"/>
      <x:c r="M1955" s="1"/>
      <x:c r="N1955" s="1"/>
      <x:c r="O1955" s="1"/>
      <x:c r="P1955" s="1"/>
      <x:c r="Q1955" s="1"/>
      <x:c r="R1955" s="1"/>
      <x:c r="S1955" s="1"/>
      <x:c r="T1955" s="1"/>
      <x:c r="U1955" s="1"/>
      <x:c r="V1955" s="1"/>
    </x:row>
    <x:row r="1956">
      <x:c r="A1956" s="1"/>
      <x:c r="B1956" s="1"/>
      <x:c r="C1956" s="1"/>
      <x:c r="D1956" s="1"/>
      <x:c r="E1956" s="1"/>
      <x:c r="F1956" s="1"/>
      <x:c r="G1956" s="1"/>
      <x:c r="H1956" s="1"/>
      <x:c r="I1956" s="1"/>
      <x:c r="J1956" s="1"/>
      <x:c r="K1956" s="1"/>
      <x:c r="L1956" s="1"/>
      <x:c r="M1956" s="1"/>
      <x:c r="N1956" s="1"/>
      <x:c r="O1956" s="1"/>
      <x:c r="P1956" s="1"/>
      <x:c r="Q1956" s="1"/>
      <x:c r="R1956" s="1"/>
      <x:c r="S1956" s="1"/>
      <x:c r="T1956" s="1"/>
      <x:c r="U1956" s="1"/>
      <x:c r="V1956" s="1"/>
    </x:row>
    <x:row r="1957">
      <x:c r="A1957" s="1"/>
      <x:c r="B1957" s="1"/>
      <x:c r="C1957" s="1"/>
      <x:c r="D1957" s="1"/>
      <x:c r="E1957" s="1"/>
      <x:c r="F1957" s="1"/>
      <x:c r="G1957" s="1"/>
      <x:c r="H1957" s="1"/>
      <x:c r="I1957" s="1"/>
      <x:c r="J1957" s="1"/>
      <x:c r="K1957" s="1"/>
      <x:c r="L1957" s="1"/>
      <x:c r="M1957" s="1"/>
      <x:c r="N1957" s="1"/>
      <x:c r="O1957" s="1"/>
      <x:c r="P1957" s="1"/>
      <x:c r="Q1957" s="1"/>
      <x:c r="R1957" s="1"/>
      <x:c r="S1957" s="1"/>
      <x:c r="T1957" s="1"/>
      <x:c r="U1957" s="1"/>
      <x:c r="V1957" s="1"/>
    </x:row>
    <x:row r="1958">
      <x:c r="A1958" s="1"/>
      <x:c r="B1958" s="1"/>
      <x:c r="C1958" s="1"/>
      <x:c r="D1958" s="1"/>
      <x:c r="E1958" s="1"/>
      <x:c r="F1958" s="1"/>
      <x:c r="G1958" s="1"/>
      <x:c r="H1958" s="1"/>
      <x:c r="I1958" s="1"/>
      <x:c r="J1958" s="1"/>
      <x:c r="K1958" s="1"/>
      <x:c r="L1958" s="1"/>
      <x:c r="M1958" s="1"/>
      <x:c r="N1958" s="1"/>
      <x:c r="O1958" s="1"/>
      <x:c r="P1958" s="1"/>
      <x:c r="Q1958" s="1"/>
      <x:c r="R1958" s="1"/>
      <x:c r="S1958" s="1"/>
      <x:c r="T1958" s="1"/>
      <x:c r="U1958" s="1"/>
      <x:c r="V1958" s="1"/>
    </x:row>
    <x:row r="1959">
      <x:c r="A1959" s="1"/>
      <x:c r="B1959" s="1"/>
      <x:c r="C1959" s="1"/>
      <x:c r="D1959" s="1"/>
      <x:c r="E1959" s="1"/>
      <x:c r="F1959" s="1"/>
      <x:c r="G1959" s="1"/>
      <x:c r="H1959" s="1"/>
      <x:c r="I1959" s="1"/>
      <x:c r="J1959" s="1"/>
      <x:c r="K1959" s="1"/>
      <x:c r="L1959" s="1"/>
      <x:c r="M1959" s="1"/>
      <x:c r="N1959" s="1"/>
      <x:c r="O1959" s="1"/>
      <x:c r="P1959" s="1"/>
      <x:c r="Q1959" s="1"/>
      <x:c r="R1959" s="1"/>
      <x:c r="S1959" s="1"/>
      <x:c r="T1959" s="1"/>
      <x:c r="U1959" s="1"/>
      <x:c r="V1959" s="1"/>
    </x:row>
    <x:row r="1960">
      <x:c r="A1960" s="1"/>
      <x:c r="B1960" s="1"/>
      <x:c r="C1960" s="1"/>
      <x:c r="D1960" s="1"/>
      <x:c r="E1960" s="1"/>
      <x:c r="F1960" s="1"/>
      <x:c r="G1960" s="1"/>
      <x:c r="H1960" s="1"/>
      <x:c r="I1960" s="1"/>
      <x:c r="J1960" s="1"/>
      <x:c r="K1960" s="1"/>
      <x:c r="L1960" s="1"/>
      <x:c r="M1960" s="1"/>
      <x:c r="N1960" s="1"/>
      <x:c r="O1960" s="1"/>
      <x:c r="P1960" s="1"/>
      <x:c r="Q1960" s="1"/>
      <x:c r="R1960" s="1"/>
      <x:c r="S1960" s="1"/>
      <x:c r="T1960" s="1"/>
      <x:c r="U1960" s="1"/>
      <x:c r="V1960" s="1"/>
    </x:row>
    <x:row r="1961">
      <x:c r="A1961" s="1"/>
      <x:c r="B1961" s="1"/>
      <x:c r="C1961" s="1"/>
      <x:c r="D1961" s="1"/>
      <x:c r="E1961" s="1"/>
      <x:c r="F1961" s="1"/>
      <x:c r="G1961" s="1"/>
      <x:c r="H1961" s="1"/>
      <x:c r="I1961" s="1"/>
      <x:c r="J1961" s="1"/>
      <x:c r="K1961" s="1"/>
      <x:c r="L1961" s="1"/>
      <x:c r="M1961" s="1"/>
      <x:c r="N1961" s="1"/>
      <x:c r="O1961" s="1"/>
      <x:c r="P1961" s="1"/>
      <x:c r="Q1961" s="1"/>
      <x:c r="R1961" s="1"/>
      <x:c r="S1961" s="1"/>
      <x:c r="T1961" s="1"/>
      <x:c r="U1961" s="1"/>
      <x:c r="V1961" s="1"/>
    </x:row>
    <x:row r="1962">
      <x:c r="A1962" s="1"/>
      <x:c r="B1962" s="1"/>
      <x:c r="C1962" s="1"/>
      <x:c r="D1962" s="1"/>
      <x:c r="E1962" s="1"/>
      <x:c r="F1962" s="1"/>
      <x:c r="G1962" s="1"/>
      <x:c r="H1962" s="1"/>
      <x:c r="I1962" s="1"/>
      <x:c r="J1962" s="1"/>
      <x:c r="K1962" s="1"/>
      <x:c r="L1962" s="1"/>
      <x:c r="M1962" s="1"/>
      <x:c r="N1962" s="1"/>
      <x:c r="O1962" s="1"/>
      <x:c r="P1962" s="1"/>
      <x:c r="Q1962" s="1"/>
      <x:c r="R1962" s="1"/>
      <x:c r="S1962" s="1"/>
      <x:c r="T1962" s="1"/>
      <x:c r="U1962" s="1"/>
      <x:c r="V1962" s="1"/>
    </x:row>
    <x:row r="1963">
      <x:c r="A1963" s="1"/>
      <x:c r="B1963" s="1"/>
      <x:c r="C1963" s="1"/>
      <x:c r="D1963" s="1"/>
      <x:c r="E1963" s="1"/>
      <x:c r="F1963" s="1"/>
      <x:c r="G1963" s="1"/>
      <x:c r="H1963" s="1"/>
      <x:c r="I1963" s="1"/>
      <x:c r="J1963" s="1"/>
      <x:c r="K1963" s="1"/>
      <x:c r="L1963" s="1"/>
      <x:c r="M1963" s="1"/>
      <x:c r="N1963" s="1"/>
      <x:c r="O1963" s="1"/>
      <x:c r="P1963" s="1"/>
      <x:c r="Q1963" s="1"/>
      <x:c r="R1963" s="1"/>
      <x:c r="S1963" s="1"/>
      <x:c r="T1963" s="1"/>
      <x:c r="U1963" s="1"/>
      <x:c r="V1963" s="1"/>
    </x:row>
    <x:row r="1964">
      <x:c r="A1964" s="1"/>
      <x:c r="B1964" s="1"/>
      <x:c r="C1964" s="1"/>
      <x:c r="D1964" s="1"/>
      <x:c r="E1964" s="1"/>
      <x:c r="F1964" s="1"/>
      <x:c r="G1964" s="1"/>
      <x:c r="H1964" s="1"/>
      <x:c r="I1964" s="1"/>
      <x:c r="J1964" s="1"/>
      <x:c r="K1964" s="1"/>
      <x:c r="L1964" s="1"/>
      <x:c r="M1964" s="1"/>
      <x:c r="N1964" s="1"/>
      <x:c r="O1964" s="1"/>
      <x:c r="P1964" s="1"/>
      <x:c r="Q1964" s="1"/>
      <x:c r="R1964" s="1"/>
      <x:c r="S1964" s="1"/>
      <x:c r="T1964" s="1"/>
      <x:c r="U1964" s="1"/>
      <x:c r="V1964" s="1"/>
    </x:row>
    <x:row r="1965">
      <x:c r="A1965" s="1"/>
      <x:c r="B1965" s="1"/>
      <x:c r="C1965" s="1"/>
      <x:c r="D1965" s="1"/>
      <x:c r="E1965" s="1"/>
      <x:c r="F1965" s="1"/>
      <x:c r="G1965" s="1"/>
      <x:c r="H1965" s="1"/>
      <x:c r="I1965" s="1"/>
      <x:c r="J1965" s="1"/>
      <x:c r="K1965" s="1"/>
      <x:c r="L1965" s="1"/>
      <x:c r="M1965" s="1"/>
      <x:c r="N1965" s="1"/>
      <x:c r="O1965" s="1"/>
      <x:c r="P1965" s="1"/>
      <x:c r="Q1965" s="1"/>
      <x:c r="R1965" s="1"/>
      <x:c r="S1965" s="1"/>
      <x:c r="T1965" s="1"/>
      <x:c r="U1965" s="1"/>
      <x:c r="V1965" s="1"/>
    </x:row>
    <x:row r="1966">
      <x:c r="A1966" s="1"/>
      <x:c r="B1966" s="1"/>
      <x:c r="C1966" s="1"/>
      <x:c r="D1966" s="1"/>
      <x:c r="E1966" s="1"/>
      <x:c r="F1966" s="1"/>
      <x:c r="G1966" s="1"/>
      <x:c r="H1966" s="1"/>
      <x:c r="I1966" s="1"/>
      <x:c r="J1966" s="1"/>
      <x:c r="K1966" s="1"/>
      <x:c r="L1966" s="1"/>
      <x:c r="M1966" s="1"/>
      <x:c r="N1966" s="1"/>
      <x:c r="O1966" s="1"/>
      <x:c r="P1966" s="1"/>
      <x:c r="Q1966" s="1"/>
      <x:c r="R1966" s="1"/>
      <x:c r="S1966" s="1"/>
      <x:c r="T1966" s="1"/>
      <x:c r="U1966" s="1"/>
      <x:c r="V1966" s="1"/>
    </x:row>
    <x:row r="1967">
      <x:c r="A1967" s="1"/>
      <x:c r="B1967" s="1"/>
      <x:c r="C1967" s="1"/>
      <x:c r="D1967" s="1"/>
      <x:c r="E1967" s="1"/>
      <x:c r="F1967" s="1"/>
      <x:c r="G1967" s="1"/>
      <x:c r="H1967" s="1"/>
      <x:c r="I1967" s="1"/>
      <x:c r="J1967" s="1"/>
      <x:c r="K1967" s="1"/>
      <x:c r="L1967" s="1"/>
      <x:c r="M1967" s="1"/>
      <x:c r="N1967" s="1"/>
      <x:c r="O1967" s="1"/>
      <x:c r="P1967" s="1"/>
      <x:c r="Q1967" s="1"/>
      <x:c r="R1967" s="1"/>
      <x:c r="S1967" s="1"/>
      <x:c r="T1967" s="1"/>
      <x:c r="U1967" s="1"/>
      <x:c r="V1967" s="1"/>
    </x:row>
    <x:row r="1968">
      <x:c r="A1968" s="1"/>
      <x:c r="B1968" s="1"/>
      <x:c r="C1968" s="1"/>
      <x:c r="D1968" s="1"/>
      <x:c r="E1968" s="1"/>
      <x:c r="F1968" s="1"/>
      <x:c r="G1968" s="1"/>
      <x:c r="H1968" s="1"/>
      <x:c r="I1968" s="1"/>
      <x:c r="J1968" s="1"/>
      <x:c r="K1968" s="1"/>
      <x:c r="L1968" s="1"/>
      <x:c r="M1968" s="1"/>
      <x:c r="N1968" s="1"/>
      <x:c r="O1968" s="1"/>
      <x:c r="P1968" s="1"/>
      <x:c r="Q1968" s="1"/>
      <x:c r="R1968" s="1"/>
      <x:c r="S1968" s="1"/>
      <x:c r="T1968" s="1"/>
      <x:c r="U1968" s="1"/>
      <x:c r="V1968" s="1"/>
    </x:row>
    <x:row r="1969">
      <x:c r="A1969" s="1"/>
      <x:c r="B1969" s="1"/>
      <x:c r="C1969" s="1"/>
      <x:c r="D1969" s="1"/>
      <x:c r="E1969" s="1"/>
      <x:c r="F1969" s="1"/>
      <x:c r="G1969" s="1"/>
      <x:c r="H1969" s="1"/>
      <x:c r="I1969" s="1"/>
      <x:c r="J1969" s="1"/>
      <x:c r="K1969" s="1"/>
      <x:c r="L1969" s="1"/>
      <x:c r="M1969" s="1"/>
      <x:c r="N1969" s="1"/>
      <x:c r="O1969" s="1"/>
      <x:c r="P1969" s="1"/>
      <x:c r="Q1969" s="1"/>
      <x:c r="R1969" s="1"/>
      <x:c r="S1969" s="1"/>
      <x:c r="T1969" s="1"/>
      <x:c r="U1969" s="1"/>
      <x:c r="V1969" s="1"/>
    </x:row>
    <x:row r="1970">
      <x:c r="A1970" s="1"/>
      <x:c r="B1970" s="1"/>
      <x:c r="C1970" s="1"/>
      <x:c r="D1970" s="1"/>
      <x:c r="E1970" s="1"/>
      <x:c r="F1970" s="1"/>
      <x:c r="G1970" s="1"/>
      <x:c r="H1970" s="1"/>
      <x:c r="I1970" s="1"/>
      <x:c r="J1970" s="1"/>
      <x:c r="K1970" s="1"/>
      <x:c r="L1970" s="1"/>
      <x:c r="M1970" s="1"/>
      <x:c r="N1970" s="1"/>
      <x:c r="O1970" s="1"/>
      <x:c r="P1970" s="1"/>
      <x:c r="Q1970" s="1"/>
      <x:c r="R1970" s="1"/>
      <x:c r="S1970" s="1"/>
      <x:c r="T1970" s="1"/>
      <x:c r="U1970" s="1"/>
      <x:c r="V1970" s="1"/>
    </x:row>
    <x:row r="1971">
      <x:c r="A1971" s="1"/>
      <x:c r="B1971" s="1"/>
      <x:c r="C1971" s="1"/>
      <x:c r="D1971" s="1"/>
      <x:c r="E1971" s="1"/>
      <x:c r="F1971" s="1"/>
      <x:c r="G1971" s="1"/>
      <x:c r="H1971" s="1"/>
      <x:c r="I1971" s="1"/>
      <x:c r="J1971" s="1"/>
      <x:c r="K1971" s="1"/>
      <x:c r="L1971" s="1"/>
      <x:c r="M1971" s="1"/>
      <x:c r="N1971" s="1"/>
      <x:c r="O1971" s="1"/>
      <x:c r="P1971" s="1"/>
      <x:c r="Q1971" s="1"/>
      <x:c r="R1971" s="1"/>
      <x:c r="S1971" s="1"/>
      <x:c r="T1971" s="1"/>
      <x:c r="U1971" s="1"/>
      <x:c r="V1971" s="1"/>
    </x:row>
    <x:row r="1972">
      <x:c r="A1972" s="1"/>
      <x:c r="B1972" s="1"/>
      <x:c r="C1972" s="1"/>
      <x:c r="D1972" s="1"/>
      <x:c r="E1972" s="1"/>
      <x:c r="F1972" s="1"/>
      <x:c r="G1972" s="1"/>
      <x:c r="H1972" s="1"/>
      <x:c r="I1972" s="1"/>
      <x:c r="J1972" s="1"/>
      <x:c r="K1972" s="1"/>
      <x:c r="L1972" s="1"/>
      <x:c r="M1972" s="1"/>
      <x:c r="N1972" s="1"/>
      <x:c r="O1972" s="1"/>
      <x:c r="P1972" s="1"/>
      <x:c r="Q1972" s="1"/>
      <x:c r="R1972" s="1"/>
      <x:c r="S1972" s="1"/>
      <x:c r="T1972" s="1"/>
      <x:c r="U1972" s="1"/>
      <x:c r="V1972" s="1"/>
    </x:row>
    <x:row r="1973">
      <x:c r="A1973" s="1"/>
      <x:c r="B1973" s="1"/>
      <x:c r="C1973" s="1"/>
      <x:c r="D1973" s="1"/>
      <x:c r="E1973" s="1"/>
      <x:c r="F1973" s="1"/>
      <x:c r="G1973" s="1"/>
      <x:c r="H1973" s="1"/>
      <x:c r="I1973" s="1"/>
      <x:c r="J1973" s="1"/>
      <x:c r="K1973" s="1"/>
      <x:c r="L1973" s="1"/>
      <x:c r="M1973" s="1"/>
      <x:c r="N1973" s="1"/>
      <x:c r="O1973" s="1"/>
      <x:c r="P1973" s="1"/>
      <x:c r="Q1973" s="1"/>
      <x:c r="R1973" s="1"/>
      <x:c r="S1973" s="1"/>
      <x:c r="T1973" s="1"/>
      <x:c r="U1973" s="1"/>
      <x:c r="V1973" s="1"/>
    </x:row>
    <x:row r="1974">
      <x:c r="A1974" s="1"/>
      <x:c r="B1974" s="1"/>
      <x:c r="C1974" s="1"/>
      <x:c r="D1974" s="1"/>
      <x:c r="E1974" s="1"/>
      <x:c r="F1974" s="1"/>
      <x:c r="G1974" s="1"/>
      <x:c r="H1974" s="1"/>
      <x:c r="I1974" s="1"/>
      <x:c r="J1974" s="1"/>
      <x:c r="K1974" s="1"/>
      <x:c r="L1974" s="1"/>
      <x:c r="M1974" s="1"/>
      <x:c r="N1974" s="1"/>
      <x:c r="O1974" s="1"/>
      <x:c r="P1974" s="1"/>
      <x:c r="Q1974" s="1"/>
      <x:c r="R1974" s="1"/>
      <x:c r="S1974" s="1"/>
      <x:c r="T1974" s="1"/>
      <x:c r="U1974" s="1"/>
      <x:c r="V1974" s="1"/>
    </x:row>
    <x:row r="1975">
      <x:c r="A1975" s="1"/>
      <x:c r="B1975" s="1"/>
      <x:c r="C1975" s="1"/>
      <x:c r="D1975" s="1"/>
      <x:c r="E1975" s="1"/>
      <x:c r="F1975" s="1"/>
      <x:c r="G1975" s="1"/>
      <x:c r="H1975" s="1"/>
      <x:c r="I1975" s="1"/>
      <x:c r="J1975" s="1"/>
      <x:c r="K1975" s="1"/>
      <x:c r="L1975" s="1"/>
      <x:c r="M1975" s="1"/>
      <x:c r="N1975" s="1"/>
      <x:c r="O1975" s="1"/>
      <x:c r="P1975" s="1"/>
      <x:c r="Q1975" s="1"/>
      <x:c r="R1975" s="1"/>
      <x:c r="S1975" s="1"/>
      <x:c r="T1975" s="1"/>
      <x:c r="U1975" s="1"/>
      <x:c r="V1975" s="1"/>
    </x:row>
    <x:row r="1976">
      <x:c r="A1976" s="1"/>
      <x:c r="B1976" s="1"/>
      <x:c r="C1976" s="1"/>
      <x:c r="D1976" s="1"/>
      <x:c r="E1976" s="1"/>
      <x:c r="F1976" s="1"/>
      <x:c r="G1976" s="1"/>
      <x:c r="H1976" s="1"/>
      <x:c r="I1976" s="1"/>
      <x:c r="J1976" s="1"/>
      <x:c r="K1976" s="1"/>
      <x:c r="L1976" s="1"/>
      <x:c r="M1976" s="1"/>
      <x:c r="N1976" s="1"/>
      <x:c r="O1976" s="1"/>
      <x:c r="P1976" s="1"/>
      <x:c r="Q1976" s="1"/>
      <x:c r="R1976" s="1"/>
      <x:c r="S1976" s="1"/>
      <x:c r="T1976" s="1"/>
      <x:c r="U1976" s="1"/>
      <x:c r="V1976" s="1"/>
    </x:row>
    <x:row r="1977">
      <x:c r="A1977" s="1"/>
      <x:c r="B1977" s="1"/>
      <x:c r="C1977" s="1"/>
      <x:c r="D1977" s="1"/>
      <x:c r="E1977" s="1"/>
      <x:c r="F1977" s="1"/>
      <x:c r="G1977" s="1"/>
      <x:c r="H1977" s="1"/>
      <x:c r="I1977" s="1"/>
      <x:c r="J1977" s="1"/>
      <x:c r="K1977" s="1"/>
      <x:c r="L1977" s="1"/>
      <x:c r="M1977" s="1"/>
      <x:c r="N1977" s="1"/>
      <x:c r="O1977" s="1"/>
      <x:c r="P1977" s="1"/>
      <x:c r="Q1977" s="1"/>
      <x:c r="R1977" s="1"/>
      <x:c r="S1977" s="1"/>
      <x:c r="T1977" s="1"/>
      <x:c r="U1977" s="1"/>
      <x:c r="V1977" s="1"/>
    </x:row>
    <x:row r="1978">
      <x:c r="A1978" s="1"/>
      <x:c r="B1978" s="1"/>
      <x:c r="C1978" s="1"/>
      <x:c r="D1978" s="1"/>
      <x:c r="E1978" s="1"/>
      <x:c r="F1978" s="1"/>
      <x:c r="G1978" s="1"/>
      <x:c r="H1978" s="1"/>
      <x:c r="I1978" s="1"/>
      <x:c r="J1978" s="1"/>
      <x:c r="K1978" s="1"/>
      <x:c r="L1978" s="1"/>
      <x:c r="M1978" s="1"/>
      <x:c r="N1978" s="1"/>
      <x:c r="O1978" s="1"/>
      <x:c r="P1978" s="1"/>
      <x:c r="Q1978" s="1"/>
      <x:c r="R1978" s="1"/>
      <x:c r="S1978" s="1"/>
      <x:c r="T1978" s="1"/>
      <x:c r="U1978" s="1"/>
      <x:c r="V1978" s="1"/>
    </x:row>
    <x:row r="1979">
      <x:c r="A1979" s="1"/>
      <x:c r="B1979" s="1"/>
      <x:c r="C1979" s="1"/>
      <x:c r="D1979" s="1"/>
      <x:c r="E1979" s="1"/>
      <x:c r="F1979" s="1"/>
      <x:c r="G1979" s="1"/>
      <x:c r="H1979" s="1"/>
      <x:c r="I1979" s="1"/>
      <x:c r="J1979" s="1"/>
      <x:c r="K1979" s="1"/>
      <x:c r="L1979" s="1"/>
      <x:c r="M1979" s="1"/>
      <x:c r="N1979" s="1"/>
      <x:c r="O1979" s="1"/>
      <x:c r="P1979" s="1"/>
      <x:c r="Q1979" s="1"/>
      <x:c r="R1979" s="1"/>
      <x:c r="S1979" s="1"/>
      <x:c r="T1979" s="1"/>
      <x:c r="U1979" s="1"/>
      <x:c r="V1979" s="1"/>
    </x:row>
    <x:row r="1980">
      <x:c r="A1980" s="1"/>
      <x:c r="B1980" s="1"/>
      <x:c r="C1980" s="1"/>
      <x:c r="D1980" s="1"/>
      <x:c r="E1980" s="1"/>
      <x:c r="F1980" s="1"/>
      <x:c r="G1980" s="1"/>
      <x:c r="H1980" s="1"/>
      <x:c r="I1980" s="1"/>
      <x:c r="J1980" s="1"/>
      <x:c r="K1980" s="1"/>
      <x:c r="L1980" s="1"/>
      <x:c r="M1980" s="1"/>
      <x:c r="N1980" s="1"/>
      <x:c r="O1980" s="1"/>
      <x:c r="P1980" s="1"/>
      <x:c r="Q1980" s="1"/>
      <x:c r="R1980" s="1"/>
      <x:c r="S1980" s="1"/>
      <x:c r="T1980" s="1"/>
      <x:c r="U1980" s="1"/>
      <x:c r="V1980" s="1"/>
    </x:row>
    <x:row r="1981">
      <x:c r="A1981" s="1"/>
      <x:c r="B1981" s="1"/>
      <x:c r="C1981" s="1"/>
      <x:c r="D1981" s="1"/>
      <x:c r="E1981" s="1"/>
      <x:c r="F1981" s="1"/>
      <x:c r="G1981" s="1"/>
      <x:c r="H1981" s="1"/>
      <x:c r="I1981" s="1"/>
      <x:c r="J1981" s="1"/>
      <x:c r="K1981" s="1"/>
      <x:c r="L1981" s="1"/>
      <x:c r="M1981" s="1"/>
      <x:c r="N1981" s="1"/>
      <x:c r="O1981" s="1"/>
      <x:c r="P1981" s="1"/>
      <x:c r="Q1981" s="1"/>
      <x:c r="R1981" s="1"/>
      <x:c r="S1981" s="1"/>
      <x:c r="T1981" s="1"/>
      <x:c r="U1981" s="1"/>
      <x:c r="V1981" s="1"/>
    </x:row>
    <x:row r="1982">
      <x:c r="A1982" s="1"/>
      <x:c r="B1982" s="1"/>
      <x:c r="C1982" s="1"/>
      <x:c r="D1982" s="1"/>
      <x:c r="E1982" s="1"/>
      <x:c r="F1982" s="1"/>
      <x:c r="G1982" s="1"/>
      <x:c r="H1982" s="1"/>
      <x:c r="I1982" s="1"/>
      <x:c r="J1982" s="1"/>
      <x:c r="K1982" s="1"/>
      <x:c r="L1982" s="1"/>
      <x:c r="M1982" s="1"/>
      <x:c r="N1982" s="1"/>
      <x:c r="O1982" s="1"/>
      <x:c r="P1982" s="1"/>
      <x:c r="Q1982" s="1"/>
      <x:c r="R1982" s="1"/>
      <x:c r="S1982" s="1"/>
      <x:c r="T1982" s="1"/>
      <x:c r="U1982" s="1"/>
      <x:c r="V1982" s="1"/>
    </x:row>
    <x:row r="1983">
      <x:c r="A1983" s="1"/>
      <x:c r="B1983" s="1"/>
      <x:c r="C1983" s="1"/>
      <x:c r="D1983" s="1"/>
      <x:c r="E1983" s="1"/>
      <x:c r="F1983" s="1"/>
      <x:c r="G1983" s="1"/>
      <x:c r="H1983" s="1"/>
      <x:c r="I1983" s="1"/>
      <x:c r="J1983" s="1"/>
      <x:c r="K1983" s="1"/>
      <x:c r="L1983" s="1"/>
      <x:c r="M1983" s="1"/>
      <x:c r="N1983" s="1"/>
      <x:c r="O1983" s="1"/>
      <x:c r="P1983" s="1"/>
      <x:c r="Q1983" s="1"/>
      <x:c r="R1983" s="1"/>
      <x:c r="S1983" s="1"/>
      <x:c r="T1983" s="1"/>
      <x:c r="U1983" s="1"/>
      <x:c r="V1983" s="1"/>
    </x:row>
    <x:row r="1984">
      <x:c r="A1984" s="1"/>
      <x:c r="B1984" s="1"/>
      <x:c r="C1984" s="1"/>
      <x:c r="D1984" s="1"/>
      <x:c r="E1984" s="1"/>
      <x:c r="F1984" s="1"/>
      <x:c r="G1984" s="1"/>
      <x:c r="H1984" s="1"/>
      <x:c r="I1984" s="1"/>
      <x:c r="J1984" s="1"/>
      <x:c r="K1984" s="1"/>
      <x:c r="L1984" s="1"/>
      <x:c r="M1984" s="1"/>
      <x:c r="N1984" s="1"/>
      <x:c r="O1984" s="1"/>
      <x:c r="P1984" s="1"/>
      <x:c r="Q1984" s="1"/>
      <x:c r="R1984" s="1"/>
      <x:c r="S1984" s="1"/>
      <x:c r="T1984" s="1"/>
      <x:c r="U1984" s="1"/>
      <x:c r="V1984" s="1"/>
    </x:row>
    <x:row r="1985">
      <x:c r="A1985" s="1"/>
      <x:c r="B1985" s="1"/>
      <x:c r="C1985" s="1"/>
      <x:c r="D1985" s="1"/>
      <x:c r="E1985" s="1"/>
      <x:c r="F1985" s="1"/>
      <x:c r="G1985" s="1"/>
      <x:c r="H1985" s="1"/>
      <x:c r="I1985" s="1"/>
      <x:c r="J1985" s="1"/>
      <x:c r="K1985" s="1"/>
      <x:c r="L1985" s="1"/>
      <x:c r="M1985" s="1"/>
      <x:c r="N1985" s="1"/>
      <x:c r="O1985" s="1"/>
      <x:c r="P1985" s="1"/>
      <x:c r="Q1985" s="1"/>
      <x:c r="R1985" s="1"/>
      <x:c r="S1985" s="1"/>
      <x:c r="T1985" s="1"/>
      <x:c r="U1985" s="1"/>
      <x:c r="V1985" s="1"/>
    </x:row>
    <x:row r="1986">
      <x:c r="A1986" s="1"/>
      <x:c r="B1986" s="1"/>
      <x:c r="C1986" s="1"/>
      <x:c r="D1986" s="1"/>
      <x:c r="E1986" s="1"/>
      <x:c r="F1986" s="1"/>
      <x:c r="G1986" s="1"/>
      <x:c r="H1986" s="1"/>
      <x:c r="I1986" s="1"/>
      <x:c r="J1986" s="1"/>
      <x:c r="K1986" s="1"/>
      <x:c r="L1986" s="1"/>
      <x:c r="M1986" s="1"/>
      <x:c r="N1986" s="1"/>
      <x:c r="O1986" s="1"/>
      <x:c r="P1986" s="1"/>
      <x:c r="Q1986" s="1"/>
      <x:c r="R1986" s="1"/>
      <x:c r="S1986" s="1"/>
      <x:c r="T1986" s="1"/>
      <x:c r="U1986" s="1"/>
      <x:c r="V1986" s="1"/>
    </x:row>
    <x:row r="1987">
      <x:c r="A1987" s="1"/>
      <x:c r="B1987" s="1"/>
      <x:c r="C1987" s="1"/>
      <x:c r="D1987" s="1"/>
      <x:c r="E1987" s="1"/>
      <x:c r="F1987" s="1"/>
      <x:c r="G1987" s="1"/>
      <x:c r="H1987" s="1"/>
      <x:c r="I1987" s="1"/>
      <x:c r="J1987" s="1"/>
      <x:c r="K1987" s="1"/>
      <x:c r="L1987" s="1"/>
      <x:c r="M1987" s="1"/>
      <x:c r="N1987" s="1"/>
      <x:c r="O1987" s="1"/>
      <x:c r="P1987" s="1"/>
      <x:c r="Q1987" s="1"/>
      <x:c r="R1987" s="1"/>
      <x:c r="S1987" s="1"/>
      <x:c r="T1987" s="1"/>
      <x:c r="U1987" s="1"/>
      <x:c r="V1987" s="1"/>
    </x:row>
    <x:row r="1988">
      <x:c r="A1988" s="1"/>
      <x:c r="B1988" s="1"/>
      <x:c r="C1988" s="1"/>
      <x:c r="D1988" s="1"/>
      <x:c r="E1988" s="1"/>
      <x:c r="F1988" s="1"/>
      <x:c r="G1988" s="1"/>
      <x:c r="H1988" s="1"/>
      <x:c r="I1988" s="1"/>
      <x:c r="J1988" s="1"/>
      <x:c r="K1988" s="1"/>
      <x:c r="L1988" s="1"/>
      <x:c r="M1988" s="1"/>
      <x:c r="N1988" s="1"/>
      <x:c r="O1988" s="1"/>
      <x:c r="P1988" s="1"/>
      <x:c r="Q1988" s="1"/>
      <x:c r="R1988" s="1"/>
      <x:c r="S1988" s="1"/>
      <x:c r="T1988" s="1"/>
      <x:c r="U1988" s="1"/>
      <x:c r="V1988" s="1"/>
    </x:row>
    <x:row r="1989">
      <x:c r="A1989" s="1"/>
      <x:c r="B1989" s="1"/>
      <x:c r="C1989" s="1"/>
      <x:c r="D1989" s="1"/>
      <x:c r="E1989" s="1"/>
      <x:c r="F1989" s="1"/>
      <x:c r="G1989" s="1"/>
      <x:c r="H1989" s="1"/>
      <x:c r="I1989" s="1"/>
      <x:c r="J1989" s="1"/>
      <x:c r="K1989" s="1"/>
      <x:c r="L1989" s="1"/>
      <x:c r="M1989" s="1"/>
      <x:c r="N1989" s="1"/>
      <x:c r="O1989" s="1"/>
      <x:c r="P1989" s="1"/>
      <x:c r="Q1989" s="1"/>
      <x:c r="R1989" s="1"/>
      <x:c r="S1989" s="1"/>
      <x:c r="T1989" s="1"/>
      <x:c r="U1989" s="1"/>
      <x:c r="V1989" s="1"/>
    </x:row>
    <x:row r="1990">
      <x:c r="A1990" s="1"/>
      <x:c r="B1990" s="1"/>
      <x:c r="C1990" s="1"/>
      <x:c r="D1990" s="1"/>
      <x:c r="E1990" s="1"/>
      <x:c r="F1990" s="1"/>
      <x:c r="G1990" s="1"/>
      <x:c r="H1990" s="1"/>
      <x:c r="I1990" s="1"/>
      <x:c r="J1990" s="1"/>
      <x:c r="K1990" s="1"/>
      <x:c r="L1990" s="1"/>
      <x:c r="M1990" s="1"/>
      <x:c r="N1990" s="1"/>
      <x:c r="O1990" s="1"/>
      <x:c r="P1990" s="1"/>
      <x:c r="Q1990" s="1"/>
      <x:c r="R1990" s="1"/>
      <x:c r="S1990" s="1"/>
      <x:c r="T1990" s="1"/>
      <x:c r="U1990" s="1"/>
      <x:c r="V1990" s="1"/>
    </x:row>
    <x:row r="1991">
      <x:c r="A1991" s="1"/>
      <x:c r="B1991" s="1"/>
      <x:c r="C1991" s="1"/>
      <x:c r="D1991" s="1"/>
      <x:c r="E1991" s="1"/>
      <x:c r="F1991" s="1"/>
      <x:c r="G1991" s="1"/>
      <x:c r="H1991" s="1"/>
      <x:c r="I1991" s="1"/>
      <x:c r="J1991" s="1"/>
      <x:c r="K1991" s="1"/>
      <x:c r="L1991" s="1"/>
      <x:c r="M1991" s="1"/>
      <x:c r="N1991" s="1"/>
      <x:c r="O1991" s="1"/>
      <x:c r="P1991" s="1"/>
      <x:c r="Q1991" s="1"/>
      <x:c r="R1991" s="1"/>
      <x:c r="S1991" s="1"/>
      <x:c r="T1991" s="1"/>
      <x:c r="U1991" s="1"/>
      <x:c r="V1991" s="1"/>
    </x:row>
    <x:row r="1992">
      <x:c r="A1992" s="1"/>
      <x:c r="B1992" s="1"/>
      <x:c r="C1992" s="1"/>
      <x:c r="D1992" s="1"/>
      <x:c r="E1992" s="1"/>
      <x:c r="F1992" s="1"/>
      <x:c r="G1992" s="1"/>
      <x:c r="H1992" s="1"/>
      <x:c r="I1992" s="1"/>
      <x:c r="J1992" s="1"/>
      <x:c r="K1992" s="1"/>
      <x:c r="L1992" s="1"/>
      <x:c r="M1992" s="1"/>
      <x:c r="N1992" s="1"/>
      <x:c r="O1992" s="1"/>
      <x:c r="P1992" s="1"/>
      <x:c r="Q1992" s="1"/>
      <x:c r="R1992" s="1"/>
      <x:c r="S1992" s="1"/>
      <x:c r="T1992" s="1"/>
      <x:c r="U1992" s="1"/>
      <x:c r="V1992" s="1"/>
    </x:row>
    <x:row r="1993">
      <x:c r="A1993" s="1"/>
      <x:c r="B1993" s="1"/>
      <x:c r="C1993" s="1"/>
      <x:c r="D1993" s="1"/>
      <x:c r="E1993" s="1"/>
      <x:c r="F1993" s="1"/>
      <x:c r="G1993" s="1"/>
      <x:c r="H1993" s="1"/>
      <x:c r="I1993" s="1"/>
      <x:c r="J1993" s="1"/>
      <x:c r="K1993" s="1"/>
      <x:c r="L1993" s="1"/>
      <x:c r="M1993" s="1"/>
      <x:c r="N1993" s="1"/>
      <x:c r="O1993" s="1"/>
      <x:c r="P1993" s="1"/>
      <x:c r="Q1993" s="1"/>
      <x:c r="R1993" s="1"/>
      <x:c r="S1993" s="1"/>
      <x:c r="T1993" s="1"/>
      <x:c r="U1993" s="1"/>
      <x:c r="V1993" s="1"/>
    </x:row>
    <x:row r="1994">
      <x:c r="A1994" s="1"/>
      <x:c r="B1994" s="1"/>
      <x:c r="C1994" s="1"/>
      <x:c r="D1994" s="1"/>
      <x:c r="E1994" s="1"/>
      <x:c r="F1994" s="1"/>
      <x:c r="G1994" s="1"/>
      <x:c r="H1994" s="1"/>
      <x:c r="I1994" s="1"/>
      <x:c r="J1994" s="1"/>
      <x:c r="K1994" s="1"/>
      <x:c r="L1994" s="1"/>
      <x:c r="M1994" s="1"/>
      <x:c r="N1994" s="1"/>
      <x:c r="O1994" s="1"/>
      <x:c r="P1994" s="1"/>
      <x:c r="Q1994" s="1"/>
      <x:c r="R1994" s="1"/>
      <x:c r="S1994" s="1"/>
      <x:c r="T1994" s="1"/>
      <x:c r="U1994" s="1"/>
      <x:c r="V1994" s="1"/>
    </x:row>
    <x:row r="1995">
      <x:c r="A1995" s="1"/>
      <x:c r="B1995" s="1"/>
      <x:c r="C1995" s="1"/>
      <x:c r="D1995" s="1"/>
      <x:c r="E1995" s="1"/>
      <x:c r="F1995" s="1"/>
      <x:c r="G1995" s="1"/>
      <x:c r="H1995" s="1"/>
      <x:c r="I1995" s="1"/>
      <x:c r="J1995" s="1"/>
      <x:c r="K1995" s="1"/>
      <x:c r="L1995" s="1"/>
      <x:c r="M1995" s="1"/>
      <x:c r="N1995" s="1"/>
      <x:c r="O1995" s="1"/>
      <x:c r="P1995" s="1"/>
      <x:c r="Q1995" s="1"/>
      <x:c r="R1995" s="1"/>
      <x:c r="S1995" s="1"/>
      <x:c r="T1995" s="1"/>
      <x:c r="U1995" s="1"/>
      <x:c r="V1995" s="1"/>
    </x:row>
    <x:row r="1996">
      <x:c r="A1996" s="1"/>
      <x:c r="B1996" s="1"/>
      <x:c r="C1996" s="1"/>
      <x:c r="D1996" s="1"/>
      <x:c r="E1996" s="1"/>
      <x:c r="F1996" s="1"/>
      <x:c r="G1996" s="1"/>
      <x:c r="H1996" s="1"/>
      <x:c r="I1996" s="1"/>
      <x:c r="J1996" s="1"/>
      <x:c r="K1996" s="1"/>
      <x:c r="L1996" s="1"/>
      <x:c r="M1996" s="1"/>
      <x:c r="N1996" s="1"/>
      <x:c r="O1996" s="1"/>
      <x:c r="P1996" s="1"/>
      <x:c r="Q1996" s="1"/>
      <x:c r="R1996" s="1"/>
      <x:c r="S1996" s="1"/>
      <x:c r="T1996" s="1"/>
      <x:c r="U1996" s="1"/>
      <x:c r="V1996" s="1"/>
    </x:row>
    <x:row r="1997">
      <x:c r="A1997" s="1"/>
      <x:c r="B1997" s="1"/>
      <x:c r="C1997" s="1"/>
      <x:c r="D1997" s="1"/>
      <x:c r="E1997" s="1"/>
      <x:c r="F1997" s="1"/>
      <x:c r="G1997" s="1"/>
      <x:c r="H1997" s="1"/>
      <x:c r="I1997" s="1"/>
      <x:c r="J1997" s="1"/>
      <x:c r="K1997" s="1"/>
      <x:c r="L1997" s="1"/>
      <x:c r="M1997" s="1"/>
      <x:c r="N1997" s="1"/>
      <x:c r="O1997" s="1"/>
      <x:c r="P1997" s="1"/>
      <x:c r="Q1997" s="1"/>
      <x:c r="R1997" s="1"/>
      <x:c r="S1997" s="1"/>
      <x:c r="T1997" s="1"/>
      <x:c r="U1997" s="1"/>
      <x:c r="V1997" s="1"/>
    </x:row>
    <x:row r="1998">
      <x:c r="A1998" s="1"/>
      <x:c r="B1998" s="1"/>
      <x:c r="C1998" s="1"/>
      <x:c r="D1998" s="1"/>
      <x:c r="E1998" s="1"/>
      <x:c r="F1998" s="1"/>
      <x:c r="G1998" s="1"/>
      <x:c r="H1998" s="1"/>
      <x:c r="I1998" s="1"/>
      <x:c r="J1998" s="1"/>
      <x:c r="K1998" s="1"/>
      <x:c r="L1998" s="1"/>
      <x:c r="M1998" s="1"/>
      <x:c r="N1998" s="1"/>
      <x:c r="O1998" s="1"/>
      <x:c r="P1998" s="1"/>
      <x:c r="Q1998" s="1"/>
      <x:c r="R1998" s="1"/>
      <x:c r="S1998" s="1"/>
      <x:c r="T1998" s="1"/>
      <x:c r="U1998" s="1"/>
      <x:c r="V1998" s="1"/>
    </x:row>
    <x:row r="1999">
      <x:c r="A1999" s="1"/>
      <x:c r="B1999" s="1"/>
      <x:c r="C1999" s="1"/>
      <x:c r="D1999" s="1"/>
      <x:c r="E1999" s="1"/>
      <x:c r="F1999" s="1"/>
      <x:c r="G1999" s="1"/>
      <x:c r="H1999" s="1"/>
      <x:c r="I1999" s="1"/>
      <x:c r="J1999" s="1"/>
      <x:c r="K1999" s="1"/>
      <x:c r="L1999" s="1"/>
      <x:c r="M1999" s="1"/>
      <x:c r="N1999" s="1"/>
      <x:c r="O1999" s="1"/>
      <x:c r="P1999" s="1"/>
      <x:c r="Q1999" s="1"/>
      <x:c r="R1999" s="1"/>
      <x:c r="S1999" s="1"/>
      <x:c r="T1999" s="1"/>
      <x:c r="U1999" s="1"/>
      <x:c r="V1999" s="1"/>
    </x:row>
    <x:row r="2000">
      <x:c r="A2000" s="1"/>
      <x:c r="B2000" s="1"/>
      <x:c r="C2000" s="1"/>
      <x:c r="D2000" s="1"/>
      <x:c r="E2000" s="1"/>
      <x:c r="F2000" s="1"/>
      <x:c r="G2000" s="1"/>
      <x:c r="H2000" s="1"/>
      <x:c r="I2000" s="1"/>
      <x:c r="J2000" s="1"/>
      <x:c r="K2000" s="1"/>
      <x:c r="L2000" s="1"/>
      <x:c r="M2000" s="1"/>
      <x:c r="N2000" s="1"/>
      <x:c r="O2000" s="1"/>
      <x:c r="P2000" s="1"/>
      <x:c r="Q2000" s="1"/>
      <x:c r="R2000" s="1"/>
      <x:c r="S2000" s="1"/>
      <x:c r="T2000" s="1"/>
      <x:c r="U2000" s="1"/>
      <x:c r="V2000" s="1"/>
    </x:row>
  </x:sheetData>
  <x:pageMargins left="0.7" right="0.7" top="0.75" bottom="0.75" header="0.3" footer="0.3"/>
  <x:tableParts count="1">
    <x:tablePart xmlns:r="http://schemas.openxmlformats.org/officeDocument/2006/relationships" r:id="Rd69e77943c714e6d"/>
  </x:tableParts>
</x:worksheet>
</file>