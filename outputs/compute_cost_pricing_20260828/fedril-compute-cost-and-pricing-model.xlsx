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b025ae3e0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fdc95b0f48436f"/>
    <x:sheet xmlns:r="http://schemas.openxmlformats.org/officeDocument/2006/relationships" name="Assumptions" sheetId="2" r:id="Rc1cd7d8cf5394f9e"/>
    <x:sheet xmlns:r="http://schemas.openxmlformats.org/officeDocument/2006/relationships" name="User Profiles" sheetId="3" r:id="R3be2d8f32d4a4914"/>
    <x:sheet xmlns:r="http://schemas.openxmlformats.org/officeDocument/2006/relationships" name="Unit Economics" sheetId="4" r:id="R963dd7e8a3d14b23"/>
    <x:sheet xmlns:r="http://schemas.openxmlformats.org/officeDocument/2006/relationships" name="Pricing" sheetId="5" r:id="R86e7119b394c4ecb"/>
    <x:sheet xmlns:r="http://schemas.openxmlformats.org/officeDocument/2006/relationships" name="Scale Scenarios" sheetId="6" r:id="R2e0db57680c04bbd"/>
    <x:sheet xmlns:r="http://schemas.openxmlformats.org/officeDocument/2006/relationships" name="Checks" sheetId="7" r:id="Rd0400962ab524918"/>
    <x:sheet xmlns:r="http://schemas.openxmlformats.org/officeDocument/2006/relationships" name="Sources" sheetId="8" r:id="R63d9075f0afb4675"/>
  </x:sheets>
</x:workbook>
</file>

<file path=xl/comments1.xml><?xml version="1.0" encoding="utf-8"?>
<x:comments xmlns:x="http://schemas.openxmlformats.org/spreadsheetml/2006/main">
  <x:authors>
    <x:author>tc={B56FDD1B-CA27-47DD-8401-383236AE5713}</x:author>
    <x:author>tc={8CCA6E5E-030B-4F8B-95ED-FC1A2E684E21}</x:author>
    <x:author>tc={130A1AB3-11C0-4EEB-835E-280E54520A83}</x:author>
    <x:author>tc={860C7FF7-86E1-469F-BCCA-2AF27ABFA23E}</x:author>
    <x:author>tc={AB7149FB-00AE-4547-A62B-9750CAB90DE9}</x:author>
  </x:authors>
  <x:commentList>
    <x:comment ref="C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Azure Retail Prices API; observed production P0v4 Linux plan. Rate as of 2026-08-28.</x:t>
        </x:r>
      </x:text>
    </x:comment>
    <x:comment ref="C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Azure Retail Prices API; observed PostgreSQL Flexible Server B2s. Rate as of 2026-08-28.</x:t>
        </x:r>
      </x:text>
    </x:comment>
    <x:comment ref="C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Azure Retail Prices API; Standard C1 two-node rate. Rate as of 2026-08-28.</x:t>
        </x:r>
      </x:text>
    </x:comment>
    <x:comment ref="B2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OpenAI GPT-5.4 mini announcement. Future-state only; FeDril does not currently call a metered LLM.</x:t>
        </x:r>
      </x:text>
    </x:comment>
    <x:comment ref="B3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Unproven capacity assumption. Replace after representative load tests and production telemetry.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[Red]($#,##0.00);-"/>
    <x:numFmt numFmtId="201" formatCode="0.0%;[Red](0.0%);-"/>
    <x:numFmt numFmtId="202" formatCode="$#,##0;[Red]($#,##0);-"/>
    <x:numFmt numFmtId="203" formatCode="yyyy-mm-dd"/>
    <x:numFmt numFmtId="204" formatCode="0.0x"/>
    <x:numFmt numFmtId="205" formatCode="#,##0;[Red](#,##0);-"/>
  </x:numFmts>
  <x:fonts count="18">
    <x:font>
      <x:sz val="11"/>
      <x:name val="Carlito"/>
    </x:font>
    <x:font>
      <x:sz val="10"/>
      <x:color rgb="FF111827"/>
      <x:name val="Aptos"/>
    </x:font>
    <x:font>
      <x:b/>
      <x:sz val="18"/>
      <x:color rgb="FFFFFFFF"/>
      <x:name val="Aptos"/>
    </x:font>
    <x:font>
      <x:i/>
      <x:sz val="10"/>
      <x:color rgb="FF4B5563"/>
      <x:name val="Aptos"/>
    </x:font>
    <x:font>
      <x:b/>
      <x:sz val="10"/>
      <x:color rgb="FFFFFFFF"/>
      <x:name val="Aptos"/>
    </x:font>
    <x:font>
      <x:b/>
      <x:sz val="10"/>
      <x:color rgb="FF000000"/>
      <x:name val="Aptos"/>
    </x:font>
    <x:font>
      <x:sz val="10"/>
      <x:color rgb="FF0000FF"/>
      <x:name val="Aptos"/>
    </x:font>
    <x:font>
      <x:sz val="10"/>
      <x:color rgb="FF000000"/>
      <x:name val="Aptos"/>
    </x:font>
    <x:font>
      <x:sz val="10"/>
      <x:color rgb="FF008000"/>
      <x:name val="Aptos"/>
    </x:font>
    <x:font>
      <x:i/>
      <x:sz val="10"/>
      <x:color rgb="FF111827"/>
      <x:name val="Aptos"/>
    </x:font>
    <x:font>
      <x:b/>
      <x:sz val="10"/>
      <x:color rgb="FF0F766E"/>
      <x:name val="Aptos"/>
    </x:font>
    <x:font>
      <x:b/>
      <x:sz val="10"/>
      <x:color rgb="FF111827"/>
      <x:name val="Aptos"/>
    </x:font>
    <x:font>
      <x:b/>
      <x:sz val="11"/>
      <x:color rgb="FFFFFFFF"/>
      <x:name val="Aptos"/>
    </x:font>
    <x:font>
      <x:b/>
      <x:sz val="14"/>
      <x:color rgb="FF0F766E"/>
      <x:name val="Aptos"/>
    </x:font>
    <x:font>
      <x:b/>
      <x:sz val="12"/>
      <x:color rgb="FF111827"/>
      <x:name val="Aptos"/>
    </x:font>
    <x:font>
      <x:b/>
      <x:sz val="14"/>
      <x:color rgb="FF92400E"/>
      <x:name val="Aptos"/>
    </x:font>
    <x:font>
      <x:b/>
      <x:sz val="10"/>
      <x:color rgb="FF17324D"/>
      <x:name val="Aptos"/>
    </x:font>
    <x:font>
      <x:b/>
      <x:sz val="13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EF3C7"/>
      </x:patternFill>
    </x:fill>
    <x:fill>
      <x:patternFill patternType="solid">
        <x:fgColor rgb="FFDFF4F1"/>
      </x:patternFill>
    </x:fill>
    <x:fill>
      <x:patternFill patternType="solid">
        <x:fgColor rgb="FFFFFBEB"/>
      </x:patternFill>
    </x:fill>
  </x:fills>
  <x:borders count="11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double">
        <x:color rgb="FF17324D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15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6" fillId="0" borderId="0" xfId="0" applyNumberFormat="1" applyFont="1" applyFill="1" applyBorder="1"/>
    <x:xf numFmtId="200" fontId="7" fillId="0" borderId="0" xfId="0" applyNumberFormat="1" applyFont="1" applyFill="1" applyBorder="1"/>
    <x:xf numFmtId="200" fontId="5" fillId="5" borderId="4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200" fontId="5" fillId="5" borderId="4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5" borderId="0" xfId="0" applyNumberFormat="1" applyFont="1" applyFill="1" applyBorder="1"/>
    <x:xf numFmtId="200" fontId="5" fillId="5" borderId="0" xfId="0" applyNumberFormat="1" applyFont="1" applyFill="1" applyBorder="1"/>
    <x:xf numFmtId="0" fontId="1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4" fillId="2" borderId="0" xfId="0" applyNumberFormat="1" applyFont="1" applyFill="1" applyBorder="1"/>
    <x:xf numFmtId="0" fontId="1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201" fontId="7" fillId="0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10" xfId="0" applyNumberFormat="1" applyFont="1" applyFill="1" applyBorder="1"/>
    <x:xf numFmtId="0" fontId="11" fillId="5" borderId="5" xfId="0" applyNumberFormat="1" applyFont="1" applyFill="1" applyBorder="1"/>
    <x:xf numFmtId="0" fontId="11" fillId="5" borderId="7" xfId="0" applyNumberFormat="1" applyFont="1" applyFill="1" applyBorder="1"/>
    <x:xf numFmtId="0" fontId="11" fillId="5" borderId="9" xfId="0" applyNumberFormat="1" applyFont="1" applyFill="1" applyBorder="1"/>
    <x:xf numFmtId="0" fontId="1" fillId="7" borderId="6" xfId="0" applyNumberFormat="1" applyFont="1" applyFill="1" applyBorder="1"/>
    <x:xf numFmtId="0" fontId="1" fillId="7" borderId="8" xfId="0" applyNumberFormat="1" applyFont="1" applyFill="1" applyBorder="1"/>
    <x:xf numFmtId="0" fontId="1" fillId="7" borderId="10" xfId="0" applyNumberFormat="1" applyFont="1" applyFill="1" applyBorder="1"/>
    <x:xf numFmtId="0" fontId="13" fillId="7" borderId="6" xfId="0" applyNumberFormat="1" applyFont="1" applyFill="1" applyBorder="1"/>
    <x:xf numFmtId="0" fontId="13" fillId="7" borderId="8" xfId="0" applyNumberFormat="1" applyFont="1" applyFill="1" applyBorder="1"/>
    <x:xf numFmtId="0" fontId="13" fillId="7" borderId="10" xfId="0" applyNumberFormat="1" applyFont="1" applyFill="1" applyBorder="1"/>
    <x:xf numFmtId="200" fontId="13" fillId="7" borderId="6" xfId="0" applyNumberFormat="1" applyFont="1" applyFill="1" applyBorder="1"/>
    <x:xf numFmtId="200" fontId="13" fillId="7" borderId="8" xfId="0" applyNumberFormat="1" applyFont="1" applyFill="1" applyBorder="1"/>
    <x:xf numFmtId="200" fontId="13" fillId="7" borderId="10" xfId="0" applyNumberFormat="1" applyFont="1" applyFill="1" applyBorder="1"/>
    <x:xf numFmtId="200" fontId="13" fillId="7" borderId="6" xfId="0" applyNumberFormat="1" applyFont="1" applyFill="1" applyBorder="1" applyAlignment="1">
      <x:alignment horizontal="right"/>
    </x:xf>
    <x:xf numFmtId="200" fontId="13" fillId="7" borderId="8" xfId="0" applyNumberFormat="1" applyFont="1" applyFill="1" applyBorder="1" applyAlignment="1">
      <x:alignment horizontal="right"/>
    </x:xf>
    <x:xf numFmtId="200" fontId="13" fillId="7" borderId="10" xfId="0" applyNumberFormat="1" applyFont="1" applyFill="1" applyBorder="1" applyAlignment="1">
      <x:alignment horizontal="right"/>
    </x:xf>
    <x:xf numFmtId="201" fontId="13" fillId="7" borderId="6" xfId="0" applyNumberFormat="1" applyFont="1" applyFill="1" applyBorder="1"/>
    <x:xf numFmtId="201" fontId="13" fillId="7" borderId="6" xfId="0" applyNumberFormat="1" applyFont="1" applyFill="1" applyBorder="1" applyAlignment="1">
      <x:alignment horizontal="right"/>
    </x:xf>
    <x:xf numFmtId="205" fontId="13" fillId="7" borderId="8" xfId="0" applyNumberFormat="1" applyFont="1" applyFill="1" applyBorder="1"/>
    <x:xf numFmtId="205" fontId="13" fillId="7" borderId="8" xfId="0" applyNumberFormat="1" applyFont="1" applyFill="1" applyBorder="1" applyAlignment="1">
      <x:alignment horizontal="right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/>
    <x:xf numFmtId="0" fontId="15" fillId="6" borderId="0" xfId="0" applyNumberFormat="1" applyFont="1" applyFill="1" applyBorder="1" applyAlignment="1">
      <x:alignment horizontal="center"/>
    </x:xf>
    <x:xf numFmtId="0" fontId="15" fillId="6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/>
    <x:xf numFmtId="205" fontId="1" fillId="0" borderId="0" xfId="0" applyNumberFormat="1" applyFont="1" applyFill="1" applyBorder="1"/>
    <x:xf numFmtId="201" fontId="1" fillId="0" borderId="0" xfId="0" applyNumberFormat="1" applyFont="1" applyFill="1" applyBorder="1"/>
    <x:xf numFmtId="205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7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1" fillId="5" borderId="5" xfId="0" applyNumberFormat="1" applyFont="1" applyFill="1" applyBorder="1" applyAlignment="1">
      <x:alignment vertical="center"/>
    </x:xf>
    <x:xf numFmtId="200" fontId="13" fillId="7" borderId="6" xfId="0" applyNumberFormat="1" applyFont="1" applyFill="1" applyBorder="1" applyAlignment="1">
      <x:alignment horizontal="right" vertical="center"/>
    </x:xf>
    <x:xf numFmtId="201" fontId="13" fillId="7" borderId="6" xfId="0" applyNumberFormat="1" applyFont="1" applyFill="1" applyBorder="1" applyAlignment="1">
      <x:alignment horizontal="right" vertical="center"/>
    </x:xf>
    <x:xf numFmtId="0" fontId="11" fillId="5" borderId="7" xfId="0" applyNumberFormat="1" applyFont="1" applyFill="1" applyBorder="1" applyAlignment="1">
      <x:alignment vertical="center"/>
    </x:xf>
    <x:xf numFmtId="200" fontId="13" fillId="7" borderId="8" xfId="0" applyNumberFormat="1" applyFont="1" applyFill="1" applyBorder="1" applyAlignment="1">
      <x:alignment horizontal="right" vertical="center"/>
    </x:xf>
    <x:xf numFmtId="205" fontId="13" fillId="7" borderId="8" xfId="0" applyNumberFormat="1" applyFont="1" applyFill="1" applyBorder="1" applyAlignment="1">
      <x:alignment horizontal="right" vertical="center"/>
    </x:xf>
    <x:xf numFmtId="0" fontId="11" fillId="5" borderId="9" xfId="0" applyNumberFormat="1" applyFont="1" applyFill="1" applyBorder="1" applyAlignment="1">
      <x:alignment vertical="center"/>
    </x:xf>
    <x:xf numFmtId="200" fontId="13" fillId="7" borderId="10" xfId="0" applyNumberFormat="1" applyFont="1" applyFill="1" applyBorder="1" applyAlignment="1">
      <x:alignment horizontal="right" vertical="center"/>
    </x:xf>
    <x:xf numFmtId="0" fontId="16" fillId="5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200" fontId="5" fillId="5" borderId="4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1d0c08f3b45ca" /><Relationship Type="http://schemas.openxmlformats.org/officeDocument/2006/relationships/theme" Target="/xl/theme/theme1.xml" Id="R0e04bc5534454b4f" /><Relationship Type="http://schemas.openxmlformats.org/officeDocument/2006/relationships/sharedStrings" Target="/xl/sharedStrings.xml" Id="R2c4acf1bedbd484e" /><Relationship Type="http://schemas.openxmlformats.org/officeDocument/2006/relationships/worksheet" Target="/xl/worksheets/sheet1.xml" Id="R97fdc95b0f48436f" /><Relationship Type="http://schemas.openxmlformats.org/officeDocument/2006/relationships/worksheet" Target="/xl/worksheets/sheet2.xml" Id="Rc1cd7d8cf5394f9e" /><Relationship Type="http://schemas.openxmlformats.org/officeDocument/2006/relationships/worksheet" Target="/xl/worksheets/sheet3.xml" Id="R3be2d8f32d4a4914" /><Relationship Type="http://schemas.openxmlformats.org/officeDocument/2006/relationships/worksheet" Target="/xl/worksheets/sheet4.xml" Id="R963dd7e8a3d14b23" /><Relationship Type="http://schemas.openxmlformats.org/officeDocument/2006/relationships/worksheet" Target="/xl/worksheets/sheet5.xml" Id="R86e7119b394c4ecb" /><Relationship Type="http://schemas.openxmlformats.org/officeDocument/2006/relationships/worksheet" Target="/xl/worksheets/sheet6.xml" Id="R2e0db57680c04bbd" /><Relationship Type="http://schemas.openxmlformats.org/officeDocument/2006/relationships/worksheet" Target="/xl/worksheets/sheet7.xml" Id="Rd0400962ab524918" /><Relationship Type="http://schemas.openxmlformats.org/officeDocument/2006/relationships/worksheet" Target="/xl/worksheets/sheet8.xml" Id="R63d9075f0afb4675" /><Relationship Type="http://schemas.microsoft.com/office/2017/10/relationships/person" Target="/xl/persons/person.xml" Id="Rc5905be9e4e844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78c30c88204c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Compute Gross Margin vs. Tenant Count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Current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'Scale Scenarios'!$A$6:$A$11</c:f>
              <c:strCache>
                <c:ptCount val="0"/>
              </c:strCache>
            </c:strRef>
          </c:cat>
          <c:val>
            <c:numRef>
              <c:f>'Scale Scenarios'!$I$6:$I$11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Future + AI</c:v>
          </c:tx>
          <c:spPr>
            <a:solidFill xmlns:a="http://schemas.openxmlformats.org/drawingml/2006/main">
              <a:srgbClr val="D97706"/>
            </a:solidFill>
          </c:spPr>
          <c:marker>
            <c:symbol val="none"/>
          </c:marker>
          <c:cat>
            <c:strRef>
              <c:f>'Scale Scenarios'!$A$6:$A$11</c:f>
              <c:strCache>
                <c:ptCount val="0"/>
              </c:strCache>
            </c:strRef>
          </c:cat>
          <c:val>
            <c:numRef>
              <c:f>'Scale Scenarios'!$J$6:$J$11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.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78c30c88204c0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9276C656-4F5B-476A-BB93-7E51C3AE416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6" dT="2026-08-28T20:25:28.148" personId="{9276C656-4F5B-476A-BB93-7E51C3AE416D}" id="{B56FDD1B-CA27-47DD-8401-383236AE5713}">
    <xltc:text>Source: Azure Retail Prices API; observed production P0v4 Linux plan. Rate as of 2026-08-28.</xltc:text>
  </xltc:threadedComment>
  <xltc:threadedComment ref="C7" dT="2026-08-28T20:25:28.148" personId="{9276C656-4F5B-476A-BB93-7E51C3AE416D}" id="{8CCA6E5E-030B-4F8B-95ED-FC1A2E684E21}">
    <xltc:text>Source: Azure Retail Prices API; observed PostgreSQL Flexible Server B2s. Rate as of 2026-08-28.</xltc:text>
  </xltc:threadedComment>
  <xltc:threadedComment ref="C9" dT="2026-08-28T20:25:28.148" personId="{9276C656-4F5B-476A-BB93-7E51C3AE416D}" id="{130A1AB3-11C0-4EEB-835E-280E54520A83}">
    <xltc:text>Source: Azure Retail Prices API; Standard C1 two-node rate. Rate as of 2026-08-28.</xltc:text>
  </xltc:threadedComment>
  <xltc:threadedComment ref="B24" dT="2026-08-28T20:25:28.148" personId="{9276C656-4F5B-476A-BB93-7E51C3AE416D}" id="{860C7FF7-86E1-469F-BCCA-2AF27ABFA23E}">
    <xltc:text>Source: OpenAI GPT-5.4 mini announcement. Future-state only; FeDril does not currently call a metered LLM.</xltc:text>
  </xltc:threadedComment>
  <xltc:threadedComment ref="B30" dT="2026-08-28T20:25:28.148" personId="{9276C656-4F5B-476A-BB93-7E51C3AE416D}" id="{AB7149FB-00AE-4547-A62B-9750CAB90DE9}">
    <xltc:text>Unproven capacity assumption. Replace after representative load tests and production telemetry.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c0047fb58b94de2" /><Relationship Type="http://schemas.openxmlformats.org/officeDocument/2006/relationships/vmlDrawing" Target="/xl/drawings/vmldrawing.vml" Id="Ra5f698e0598d4345" /><Relationship Type="http://schemas.microsoft.com/office/2017/10/relationships/threadedComment" Target="/xl/threadedcomments/threadedcomment.xml" Id="Rb1afcf6e62c842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4130f40a34a442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4" hidden="0" customWidth="1"/>
    <x:col min="4" max="4" width="30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4" t="str">
        <x:v>FeDril Compute Cost &amp; Pricing — Investor Summary</x:v>
      </x:c>
      <x:c r="B1" s="4" t="str">
        <x:v>FeDril Compute Cost &amp; Pricing — Investor Summary</x:v>
      </x:c>
      <x:c r="C1" s="4" t="str">
        <x:v>FeDril Compute Cost &amp; Pricing — Investor Summary</x:v>
      </x:c>
      <x:c r="D1" s="4" t="str">
        <x:v>FeDril Compute Cost &amp; Pricing — Investor Summary</x:v>
      </x:c>
      <x:c r="E1" s="4" t="str">
        <x:v>FeDril Compute Cost &amp; Pricing — Investor Summary</x:v>
      </x:c>
      <x:c r="F1" s="4" t="str">
        <x:v>FeDril Compute Cost &amp; Pricing — Investor Summary</x:v>
      </x:c>
      <x:c r="G1" s="4" t="str">
        <x:v>FeDril Compute Cost &amp; Pricing — Investor Summary</x:v>
      </x:c>
      <x:c r="H1" s="4" t="str">
        <x:v>FeDril Compute Cost &amp; Pricing — Investor Summary</x:v>
      </x:c>
      <x:c r="I1" s="4" t="str">
        <x:v>FeDril Compute Cost &amp; Pricing — Investor Summary</x:v>
      </x:c>
      <x:c r="J1" s="4" t="str">
        <x:v>FeDril Compute Cost &amp; Pricing — Investor Summary</x:v>
      </x:c>
    </x:row>
    <x:row r="2" ht="30" customHeight="1">
      <x:c r="A2" s="4" t="str">
        <x:v>FeDril Compute Cost &amp; Pricing — Investor Summary</x:v>
      </x:c>
      <x:c r="B2" s="4" t="str">
        <x:v>FeDril Compute Cost &amp; Pricing — Investor Summary</x:v>
      </x:c>
      <x:c r="C2" s="4" t="str">
        <x:v>FeDril Compute Cost &amp; Pricing — Investor Summary</x:v>
      </x:c>
      <x:c r="D2" s="4" t="str">
        <x:v>FeDril Compute Cost &amp; Pricing — Investor Summary</x:v>
      </x:c>
      <x:c r="E2" s="4" t="str">
        <x:v>FeDril Compute Cost &amp; Pricing — Investor Summary</x:v>
      </x:c>
      <x:c r="F2" s="4" t="str">
        <x:v>FeDril Compute Cost &amp; Pricing — Investor Summary</x:v>
      </x:c>
      <x:c r="G2" s="4" t="str">
        <x:v>FeDril Compute Cost &amp; Pricing — Investor Summary</x:v>
      </x:c>
      <x:c r="H2" s="4" t="str">
        <x:v>FeDril Compute Cost &amp; Pricing — Investor Summary</x:v>
      </x:c>
      <x:c r="I2" s="4" t="str">
        <x:v>FeDril Compute Cost &amp; Pricing — Investor Summary</x:v>
      </x:c>
      <x:c r="J2" s="4" t="str">
        <x:v>FeDril Compute Cost &amp; Pricing — Investor Summary</x:v>
      </x:c>
    </x:row>
    <x:row r="3" ht="15" hidden="0" customHeight="1">
      <x:c r="A3" s="113" t="str">
        <x:v>Version 1.0 | 2026-08-28 | USD/month | Current production footprint plus separately labeled future AI scenario</x:v>
      </x:c>
      <x:c r="B3" s="113" t="str">
        <x:v>Version 1.0 | 2026-08-28 | USD/month | Current production footprint plus separately labeled future AI scenario</x:v>
      </x:c>
      <x:c r="C3" s="113" t="str">
        <x:v>Version 1.0 | 2026-08-28 | USD/month | Current production footprint plus separately labeled future AI scenario</x:v>
      </x:c>
      <x:c r="D3" s="113" t="str">
        <x:v>Version 1.0 | 2026-08-28 | USD/month | Current production footprint plus separately labeled future AI scenario</x:v>
      </x:c>
      <x:c r="E3" s="113" t="str">
        <x:v>Version 1.0 | 2026-08-28 | USD/month | Current production footprint plus separately labeled future AI scenario</x:v>
      </x:c>
      <x:c r="F3" s="113" t="str">
        <x:v>Version 1.0 | 2026-08-28 | USD/month | Current production footprint plus separately labeled future AI scenario</x:v>
      </x:c>
      <x:c r="G3" s="113" t="str">
        <x:v>Version 1.0 | 2026-08-28 | USD/month | Current production footprint plus separately labeled future AI scenario</x:v>
      </x:c>
      <x:c r="H3" s="113" t="str">
        <x:v>Version 1.0 | 2026-08-28 | USD/month | Current production footprint plus separately labeled future AI scenario</x:v>
      </x:c>
      <x:c r="I3" s="113" t="str">
        <x:v>Version 1.0 | 2026-08-28 | USD/month | Current production footprint plus separately labeled future AI scenario</x:v>
      </x:c>
      <x:c r="J3" s="113" t="str">
        <x:v>Version 1.0 | 2026-08-28 | USD/month | Current production footprint plus separately labeled future AI scenario</x:v>
      </x:c>
    </x:row>
    <x:row r="4" ht="15" hidden="0" customHeight="1">
      <x:c r="A4" s="114"/>
      <x:c r="B4" s="114"/>
      <x:c r="C4" s="114"/>
      <x:c r="D4" s="114"/>
      <x:c r="E4" s="114"/>
      <x:c r="F4" s="114"/>
      <x:c r="G4" s="114"/>
      <x:c r="H4" s="114"/>
      <x:c r="I4" s="114"/>
      <x:c r="J4" s="114"/>
    </x:row>
    <x:row r="5" ht="15" hidden="0" customHeight="1">
      <x:c r="A5" s="70" t="str">
        <x:v>Headline economics at the 25-tenant reference mix</x:v>
      </x:c>
      <x:c r="B5" s="70" t="str">
        <x:v>Headline economics at the 25-tenant reference mix</x:v>
      </x:c>
      <x:c r="C5" s="70" t="str">
        <x:v>Headline economics at the 25-tenant reference mix</x:v>
      </x:c>
      <x:c r="D5" s="70" t="str">
        <x:v>Headline economics at the 25-tenant reference mix</x:v>
      </x:c>
      <x:c r="E5" s="70" t="str">
        <x:v>Headline economics at the 25-tenant reference mix</x:v>
      </x:c>
      <x:c r="F5" s="70" t="str">
        <x:v>Headline economics at the 25-tenant reference mix</x:v>
      </x:c>
      <x:c r="G5" s="70" t="str">
        <x:v>Headline economics at the 25-tenant reference mix</x:v>
      </x:c>
      <x:c r="H5" s="70" t="str">
        <x:v>Headline economics at the 25-tenant reference mix</x:v>
      </x:c>
      <x:c r="I5" s="70" t="str">
        <x:v>Headline economics at the 25-tenant reference mix</x:v>
      </x:c>
      <x:c r="J5" s="70" t="str">
        <x:v>Headline economics at the 25-tenant reference mix</x:v>
      </x:c>
    </x:row>
    <x:row r="6" ht="15" hidden="0" customHeight="1">
      <x:c r="A6" s="114"/>
      <x:c r="B6" s="114"/>
      <x:c r="C6" s="114"/>
      <x:c r="D6" s="114"/>
      <x:c r="E6" s="114"/>
      <x:c r="F6" s="114"/>
      <x:c r="G6" s="114"/>
      <x:c r="H6" s="114"/>
      <x:c r="I6" s="114"/>
      <x:c r="J6" s="114"/>
    </x:row>
    <x:row r="7" ht="16.799999237060547" hidden="0" customHeight="1">
      <x:c r="A7" s="115" t="str">
        <x:v>Fixed platform / month</x:v>
      </x:c>
      <x:c r="B7" s="116" t="n">
        <x:f>'Assumptions'!E15</x:f>
        <x:v>284.312</x:v>
      </x:c>
      <x:c r="C7" s="114"/>
      <x:c r="D7" s="115" t="str">
        <x:v>Blended current compute GM</x:v>
      </x:c>
      <x:c r="E7" s="117" t="n">
        <x:f>'Scale Scenarios'!I8</x:f>
        <x:v>0.9392163688442211</x:v>
      </x:c>
      <x:c r="F7" s="114"/>
      <x:c r="G7" s="114"/>
      <x:c r="H7" s="114"/>
      <x:c r="I7" s="114"/>
      <x:c r="J7" s="114"/>
    </x:row>
    <x:row r="8" ht="16.799999237060547" hidden="0" customHeight="1">
      <x:c r="A8" s="118" t="str">
        <x:v>Light tenant compute</x:v>
      </x:c>
      <x:c r="B8" s="119" t="n">
        <x:f>'Unit Economics'!B12</x:f>
        <x:v>5.8824795000000005</x:v>
      </x:c>
      <x:c r="C8" s="114"/>
      <x:c r="D8" s="118" t="str">
        <x:v>Tenants to ~85% compute GM</x:v>
      </x:c>
      <x:c r="E8" s="120" t="n">
        <x:f>'Scale Scenarios'!A7</x:f>
        <x:v>10</x:v>
      </x:c>
      <x:c r="F8" s="114"/>
      <x:c r="G8" s="114"/>
      <x:c r="H8" s="114"/>
      <x:c r="I8" s="114"/>
      <x:c r="J8" s="114"/>
    </x:row>
    <x:row r="9" ht="16.799999237060547" hidden="0" customHeight="1">
      <x:c r="A9" s="121" t="str">
        <x:v>Heavy tenant compute</x:v>
      </x:c>
      <x:c r="B9" s="122" t="n">
        <x:f>'Unit Economics'!C12</x:f>
        <x:v>36.949794999999995</x:v>
      </x:c>
      <x:c r="C9" s="114"/>
      <x:c r="D9" s="121" t="str">
        <x:v>Future AI uplift / heavy tenant</x:v>
      </x:c>
      <x:c r="E9" s="122" t="n">
        <x:f>'Unit Economics'!C13</x:f>
        <x:v>4.05</x:v>
      </x:c>
      <x:c r="F9" s="114"/>
      <x:c r="G9" s="114"/>
      <x:c r="H9" s="114"/>
      <x:c r="I9" s="114"/>
      <x:c r="J9" s="114"/>
    </x:row>
    <x:row r="10" ht="15" hidden="0" customHeight="1">
      <x:c r="A10" s="114"/>
      <x:c r="B10" s="114"/>
      <x:c r="C10" s="114"/>
      <x:c r="D10" s="114"/>
      <x:c r="E10" s="114"/>
      <x:c r="F10" s="114"/>
      <x:c r="G10" s="114"/>
      <x:c r="H10" s="114"/>
      <x:c r="I10" s="114"/>
      <x:c r="J10" s="114"/>
    </x:row>
    <x:row r="11" ht="15" hidden="0" customHeight="1">
      <x:c r="A11" s="114"/>
      <x:c r="B11" s="114"/>
      <x:c r="C11" s="114"/>
      <x:c r="D11" s="114"/>
      <x:c r="E11" s="114"/>
      <x:c r="F11" s="114"/>
      <x:c r="G11" s="114"/>
      <x:c r="H11" s="114"/>
      <x:c r="I11" s="114"/>
      <x:c r="J11" s="114"/>
    </x:row>
    <x:row r="12" ht="15" hidden="0" customHeight="1">
      <x:c r="A12" s="70" t="str">
        <x:v>Investor answer</x:v>
      </x:c>
      <x:c r="B12" s="70" t="str">
        <x:v>Investor answer</x:v>
      </x:c>
      <x:c r="C12" s="70" t="str">
        <x:v>Investor answer</x:v>
      </x:c>
      <x:c r="D12" s="70" t="str">
        <x:v>Investor answer</x:v>
      </x:c>
      <x:c r="E12" s="70" t="str">
        <x:v>Investor answer</x:v>
      </x:c>
      <x:c r="F12" s="70" t="str">
        <x:v>Investor answer</x:v>
      </x:c>
      <x:c r="G12" s="70" t="str">
        <x:v>Investor answer</x:v>
      </x:c>
      <x:c r="H12" s="70" t="str">
        <x:v>Investor answer</x:v>
      </x:c>
      <x:c r="I12" s="70" t="str">
        <x:v>Investor answer</x:v>
      </x:c>
      <x:c r="J12" s="70" t="str">
        <x:v>Investor answer</x:v>
      </x:c>
    </x:row>
    <x:row r="13" ht="30" customHeight="1">
      <x:c r="A13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B13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C13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D13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E13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F13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G13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H13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I13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J13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</x:row>
    <x:row r="14" ht="30" customHeight="1">
      <x:c r="A14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B14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C14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D14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E14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F14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G14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H14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I14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J14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</x:row>
    <x:row r="15" ht="30" customHeight="1">
      <x:c r="A15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B15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C15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D15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E15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F15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G15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H15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I15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J15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</x:row>
    <x:row r="16" ht="30" customHeight="1">
      <x:c r="A16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B16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C16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D16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E16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F16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G16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H16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I16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  <x:c r="J16" s="98" t="str">
        <x:v>FeDril is currently a fixed-capacity SaaS, not an AI-token business. The production stack is approximately $284/month before customer-success labor. At 25 tenants with an 80% lightweight / 20% heavy mix, modeled compute is roughly $6 for a light tenant and $36–$39 for a heavy tenant, producing about 94% blended compute gross margin at $149/$399 pricing. A future GPT-5.4-mini-style workflow adds about $0.21 per light tenant and $4.05 per heavy tenant under the explicit token assumptions. The largest near-term unit-economics risk is unmetered usage and unproven capacity—not model-token cost.</x:v>
      </x:c>
    </x:row>
    <x:row r="17" ht="15" hidden="0" customHeight="1">
      <x:c r="A17" s="114"/>
      <x:c r="B17" s="114"/>
      <x:c r="C17" s="114"/>
      <x:c r="D17" s="114"/>
      <x:c r="E17" s="114"/>
      <x:c r="F17" s="114"/>
      <x:c r="G17" s="114"/>
      <x:c r="H17" s="114"/>
      <x:c r="I17" s="114"/>
      <x:c r="J17" s="114"/>
    </x:row>
    <x:row r="18" ht="15" hidden="0" customHeight="1">
      <x:c r="A18" s="70" t="str">
        <x:v>Three reasons the naive pricing approach fails</x:v>
      </x:c>
      <x:c r="B18" s="70" t="str">
        <x:v>Three reasons the naive pricing approach fails</x:v>
      </x:c>
      <x:c r="C18" s="70" t="str">
        <x:v>Three reasons the naive pricing approach fails</x:v>
      </x:c>
      <x:c r="D18" s="70" t="str">
        <x:v>Three reasons the naive pricing approach fails</x:v>
      </x:c>
      <x:c r="E18" s="70" t="str">
        <x:v>Three reasons the naive pricing approach fails</x:v>
      </x:c>
      <x:c r="F18" s="70" t="str">
        <x:v>Three reasons the naive pricing approach fails</x:v>
      </x:c>
      <x:c r="G18" s="70" t="str">
        <x:v>Three reasons the naive pricing approach fails</x:v>
      </x:c>
      <x:c r="H18" s="70" t="str">
        <x:v>Three reasons the naive pricing approach fails</x:v>
      </x:c>
      <x:c r="I18" s="70" t="str">
        <x:v>Three reasons the naive pricing approach fails</x:v>
      </x:c>
      <x:c r="J18" s="70" t="str">
        <x:v>Three reasons the naive pricing approach fails</x:v>
      </x:c>
    </x:row>
    <x:row r="19" ht="34" hidden="0" customHeight="1">
      <x:c r="A19" s="101" t="str">
        <x:v>1</x:v>
      </x:c>
      <x:c r="B19" s="104" t="str">
        <x:v>A single $99 unlimited tier under-absorbs the always-on platform below roughly 10 customers and exposes margin to unmetered heavy usage.</x:v>
      </x:c>
      <x:c r="C19" s="104"/>
      <x:c r="D19" s="104"/>
      <x:c r="E19" s="104"/>
      <x:c r="F19" s="104"/>
      <x:c r="G19" s="104"/>
      <x:c r="H19" s="104"/>
      <x:c r="I19" s="104"/>
      <x:c r="J19" s="104"/>
    </x:row>
    <x:row r="20" ht="34" hidden="0" customHeight="1">
      <x:c r="A20" s="101" t="str">
        <x:v>2</x:v>
      </x:c>
      <x:c r="B20" s="104" t="str">
        <x:v>Seat-based pricing alone misprices cost: storage, malware scans, PDF exports, and future AI actions are more correlated with compute than named users.</x:v>
      </x:c>
      <x:c r="C20" s="104"/>
      <x:c r="D20" s="104"/>
      <x:c r="E20" s="104"/>
      <x:c r="F20" s="104"/>
      <x:c r="G20" s="104"/>
      <x:c r="H20" s="104"/>
      <x:c r="I20" s="104"/>
      <x:c r="J20" s="104"/>
    </x:row>
    <x:row r="21" ht="34" hidden="0" customHeight="1">
      <x:c r="A21" s="101" t="str">
        <x:v>3</x:v>
      </x:c>
      <x:c r="B21" s="104" t="str">
        <x:v>Quoting Advisor as available before multi-client packaging and usage enforcement are implemented creates operational, tenant-isolation, and margin risk.</x:v>
      </x:c>
      <x:c r="C21" s="104"/>
      <x:c r="D21" s="104"/>
      <x:c r="E21" s="104"/>
      <x:c r="F21" s="104"/>
      <x:c r="G21" s="104"/>
      <x:c r="H21" s="104"/>
      <x:c r="I21" s="104"/>
      <x:c r="J21" s="104"/>
    </x:row>
    <x:row r="22" ht="15" hidden="0" customHeight="1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</x:row>
    <x:row r="23" ht="15" hidden="0" customHeight="1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</x:row>
    <x:row r="24" ht="15" hidden="0" customHeight="1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</x:row>
    <x:row r="25" ht="15" hidden="0" customHeight="1">
      <x:c r="A25" s="114"/>
      <x:c r="B25" s="114"/>
      <x:c r="C25" s="114"/>
      <x:c r="D25" s="114"/>
      <x:c r="E25" s="114"/>
      <x:c r="F25" s="114"/>
      <x:c r="G25" s="114"/>
      <x:c r="H25" s="114"/>
      <x:c r="I25" s="114"/>
      <x:c r="J25" s="114"/>
    </x:row>
    <x:row r="26" ht="15" hidden="0" customHeight="1">
      <x:c r="A26" s="70" t="str">
        <x:v>Recommended actions before the next investor meeting</x:v>
      </x:c>
      <x:c r="B26" s="70" t="str">
        <x:v>Recommended actions before the next investor meeting</x:v>
      </x:c>
      <x:c r="C26" s="70" t="str">
        <x:v>Recommended actions before the next investor meeting</x:v>
      </x:c>
      <x:c r="D26" s="70" t="str">
        <x:v>Recommended actions before the next investor meeting</x:v>
      </x:c>
      <x:c r="E26" s="70" t="str">
        <x:v>Recommended actions before the next investor meeting</x:v>
      </x:c>
      <x:c r="F26" s="70" t="str">
        <x:v>Recommended actions before the next investor meeting</x:v>
      </x:c>
      <x:c r="G26" s="70" t="str">
        <x:v>Recommended actions before the next investor meeting</x:v>
      </x:c>
      <x:c r="H26" s="70" t="str">
        <x:v>Recommended actions before the next investor meeting</x:v>
      </x:c>
      <x:c r="I26" s="70" t="str">
        <x:v>Recommended actions before the next investor meeting</x:v>
      </x:c>
      <x:c r="J26" s="70" t="str">
        <x:v>Recommended actions before the next investor meeting</x:v>
      </x:c>
    </x:row>
    <x:row r="27" ht="15" hidden="0" customHeight="1">
      <x:c r="A27" s="123" t="str">
        <x:v>1</x:v>
      </x:c>
      <x:c r="B27" s="124" t="str">
        <x:v>Instrument per-tenant storage, uploads, scan duration, report/PDF generation, queue time, DB load, and egress.</x:v>
      </x:c>
      <x:c r="C27" s="124"/>
      <x:c r="D27" s="124"/>
      <x:c r="E27" s="124"/>
      <x:c r="F27" s="124"/>
      <x:c r="G27" s="124"/>
      <x:c r="H27" s="124"/>
      <x:c r="I27" s="124"/>
      <x:c r="J27" s="124"/>
    </x:row>
    <x:row r="28" ht="15" hidden="0" customHeight="1">
      <x:c r="A28" s="123" t="str">
        <x:v>2</x:v>
      </x:c>
      <x:c r="B28" s="124" t="str">
        <x:v>Run load tests to replace the 50-weight-unit capacity-block assumption with measured saturation and scale triggers.</x:v>
      </x:c>
      <x:c r="C28" s="124"/>
      <x:c r="D28" s="124"/>
      <x:c r="E28" s="124"/>
      <x:c r="F28" s="124"/>
      <x:c r="G28" s="124"/>
      <x:c r="H28" s="124"/>
      <x:c r="I28" s="124"/>
      <x:c r="J28" s="124"/>
    </x:row>
    <x:row r="29" ht="15" hidden="0" customHeight="1">
      <x:c r="A29" s="123" t="str">
        <x:v>3</x:v>
      </x:c>
      <x:c r="B29" s="124" t="str">
        <x:v>Separate production from the staging App Service plan or document a defensible COGS allocation and shared-failure tradeoff.</x:v>
      </x:c>
      <x:c r="C29" s="124"/>
      <x:c r="D29" s="124"/>
      <x:c r="E29" s="124"/>
      <x:c r="F29" s="124"/>
      <x:c r="G29" s="124"/>
      <x:c r="H29" s="124"/>
      <x:c r="I29" s="124"/>
      <x:c r="J29" s="124"/>
    </x:row>
    <x:row r="30" ht="15" hidden="0" customHeight="1">
      <x:c r="A30" s="123" t="str">
        <x:v>4</x:v>
      </x:c>
      <x:c r="B30" s="124" t="str">
        <x:v>Implement server-authoritative usage meters before advertising hard limits or overage billing.</x:v>
      </x:c>
      <x:c r="C30" s="124"/>
      <x:c r="D30" s="124"/>
      <x:c r="E30" s="124"/>
      <x:c r="F30" s="124"/>
      <x:c r="G30" s="124"/>
      <x:c r="H30" s="124"/>
      <x:c r="I30" s="124"/>
      <x:c r="J30" s="124"/>
    </x:row>
    <x:row r="31" ht="15" hidden="0" customHeight="1">
      <x:c r="A31" s="123" t="str">
        <x:v>5</x:v>
      </x:c>
      <x:c r="B31" s="124" t="str">
        <x:v>Track support, onboarding, and expert-review labor separately; compute GM is not total SaaS gross margin.</x:v>
      </x:c>
      <x:c r="C31" s="124"/>
      <x:c r="D31" s="124"/>
      <x:c r="E31" s="124"/>
      <x:c r="F31" s="124"/>
      <x:c r="G31" s="124"/>
      <x:c r="H31" s="124"/>
      <x:c r="I31" s="124"/>
      <x:c r="J31" s="124"/>
    </x:row>
    <x:row r="32" ht="15" hidden="0" customHeight="1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</x:row>
    <x:row r="33" ht="15" hidden="0" customHeight="1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</x:row>
    <x:row r="34" ht="15" hidden="0" customHeight="1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</x:row>
    <x:row r="35" ht="15" hidden="0" customHeight="1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</x:row>
  </x:sheetData>
  <x:mergeCells>
    <x:mergeCell ref="A1:J2"/>
    <x:mergeCell ref="A3:J3"/>
    <x:mergeCell ref="A5:J5"/>
    <x:mergeCell ref="A12:J12"/>
    <x:mergeCell ref="A13:J16"/>
    <x:mergeCell ref="A18:J18"/>
    <x:mergeCell ref="B19:J19"/>
    <x:mergeCell ref="B20:J20"/>
    <x:mergeCell ref="B21:J21"/>
    <x:mergeCell ref="A26:J26"/>
    <x:mergeCell ref="B27:J27"/>
    <x:mergeCell ref="B28:J28"/>
    <x:mergeCell ref="B29:J29"/>
    <x:mergeCell ref="B30:J30"/>
    <x:mergeCell ref="B31:J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2" hidden="0" customWidth="1"/>
    <x:col min="8" max="8" width="48" hidden="0" customWidth="1"/>
  </x:cols>
  <x:sheetData>
    <x:row r="1" ht="30" customHeight="1">
      <x:c r="A1" s="4" t="str">
        <x:v>FeDril Compute Cost Model — Assumptions</x:v>
      </x:c>
      <x:c r="B1" s="4" t="str">
        <x:v>FeDril Compute Cost Model — Assumptions</x:v>
      </x:c>
      <x:c r="C1" s="4" t="str">
        <x:v>FeDril Compute Cost Model — Assumptions</x:v>
      </x:c>
      <x:c r="D1" s="4" t="str">
        <x:v>FeDril Compute Cost Model — Assumptions</x:v>
      </x:c>
      <x:c r="E1" s="4" t="str">
        <x:v>FeDril Compute Cost Model — Assumptions</x:v>
      </x:c>
      <x:c r="F1" s="4" t="str">
        <x:v>FeDril Compute Cost Model — Assumptions</x:v>
      </x:c>
      <x:c r="G1" s="4" t="str">
        <x:v>FeDril Compute Cost Model — Assumptions</x:v>
      </x:c>
      <x:c r="H1" s="4" t="str">
        <x:v>FeDril Compute Cost Model — Assumptions</x:v>
      </x:c>
    </x:row>
    <x:row r="2" ht="30" customHeight="1">
      <x:c r="A2" s="4" t="str">
        <x:v>FeDril Compute Cost Model — Assumptions</x:v>
      </x:c>
      <x:c r="B2" s="4" t="str">
        <x:v>FeDril Compute Cost Model — Assumptions</x:v>
      </x:c>
      <x:c r="C2" s="4" t="str">
        <x:v>FeDril Compute Cost Model — Assumptions</x:v>
      </x:c>
      <x:c r="D2" s="4" t="str">
        <x:v>FeDril Compute Cost Model — Assumptions</x:v>
      </x:c>
      <x:c r="E2" s="4" t="str">
        <x:v>FeDril Compute Cost Model — Assumptions</x:v>
      </x:c>
      <x:c r="F2" s="4" t="str">
        <x:v>FeDril Compute Cost Model — Assumptions</x:v>
      </x:c>
      <x:c r="G2" s="4" t="str">
        <x:v>FeDril Compute Cost Model — Assumptions</x:v>
      </x:c>
      <x:c r="H2" s="4" t="str">
        <x:v>FeDril Compute Cost Model — Assumptions</x:v>
      </x:c>
    </x:row>
    <x:row r="3" ht="15" hidden="0" customHeight="1">
      <x:c r="A3" s="113" t="str">
        <x:v>Blue values are editable assumptions. Green values are linked from other sheets. All pricing is USD, pay-as-you-go, and excludes tax/support labor.</x:v>
      </x:c>
      <x:c r="B3" s="113" t="str">
        <x:v>Blue values are editable assumptions. Green values are linked from other sheets. All pricing is USD, pay-as-you-go, and excludes tax/support labor.</x:v>
      </x:c>
      <x:c r="C3" s="113" t="str">
        <x:v>Blue values are editable assumptions. Green values are linked from other sheets. All pricing is USD, pay-as-you-go, and excludes tax/support labor.</x:v>
      </x:c>
      <x:c r="D3" s="113" t="str">
        <x:v>Blue values are editable assumptions. Green values are linked from other sheets. All pricing is USD, pay-as-you-go, and excludes tax/support labor.</x:v>
      </x:c>
      <x:c r="E3" s="113" t="str">
        <x:v>Blue values are editable assumptions. Green values are linked from other sheets. All pricing is USD, pay-as-you-go, and excludes tax/support labor.</x:v>
      </x:c>
      <x:c r="F3" s="113" t="str">
        <x:v>Blue values are editable assumptions. Green values are linked from other sheets. All pricing is USD, pay-as-you-go, and excludes tax/support labor.</x:v>
      </x:c>
      <x:c r="G3" s="113" t="str">
        <x:v>Blue values are editable assumptions. Green values are linked from other sheets. All pricing is USD, pay-as-you-go, and excludes tax/support labor.</x:v>
      </x:c>
      <x:c r="H3" s="113" t="str">
        <x:v>Blue values are editable assumptions. Green values are linked from other sheets. All pricing is USD, pay-as-you-go, and excludes tax/support labor.</x:v>
      </x:c>
    </x:row>
    <x:row r="4" ht="15" hidden="0" customHeight="1">
      <x:c r="A4" s="114"/>
      <x:c r="B4" s="114"/>
      <x:c r="C4" s="114"/>
      <x:c r="D4" s="114"/>
      <x:c r="E4" s="114"/>
      <x:c r="F4" s="114"/>
      <x:c r="G4" s="114"/>
      <x:c r="H4" s="114"/>
    </x:row>
    <x:row r="5" ht="15" hidden="0" customHeight="1">
      <x:c r="A5" s="17" t="str">
        <x:v>Current Azure fixed platform</x:v>
      </x:c>
      <x:c r="B5" s="18" t="str">
        <x:v>Units</x:v>
      </x:c>
      <x:c r="C5" s="18" t="str">
        <x:v>Unit rate</x:v>
      </x:c>
      <x:c r="D5" s="18" t="str">
        <x:v>Billing units/mo</x:v>
      </x:c>
      <x:c r="E5" s="18" t="str">
        <x:v>Monthly cost</x:v>
      </x:c>
      <x:c r="F5" s="18" t="str">
        <x:v>Evidence status</x:v>
      </x:c>
      <x:c r="G5" s="18" t="str">
        <x:v>Source ID</x:v>
      </x:c>
      <x:c r="H5" s="19" t="str">
        <x:v>Notes</x:v>
      </x:c>
    </x:row>
    <x:row r="6" ht="24" hidden="0" customHeight="1">
      <x:c r="A6" s="125" t="str">
        <x:v>Linux App Service P0v4</x:v>
      </x:c>
      <x:c r="B6" s="126" t="n">
        <x:v>1</x:v>
      </x:c>
      <x:c r="C6" s="127" t="n">
        <x:v>0.073</x:v>
      </x:c>
      <x:c r="D6" s="126" t="n">
        <x:v>730</x:v>
      </x:c>
      <x:c r="E6" s="128" t="n">
        <x:f>B6*C6*D6</x:f>
        <x:v>53.29</x:v>
      </x:c>
      <x:c r="F6" s="125" t="str">
        <x:v>Observed SKU + retail rate</x:v>
      </x:c>
      <x:c r="G6" s="125" t="str">
        <x:v>S1/S9</x:v>
      </x:c>
      <x:c r="H6" s="125" t="str">
        <x:v>Production app runs on the same App Service plan as staging; model allocates the full plan conservatively.</x:v>
      </x:c>
    </x:row>
    <x:row r="7" ht="15" hidden="0" customHeight="1">
      <x:c r="A7" s="125" t="str">
        <x:v>PostgreSQL Flexible Server B2s compute</x:v>
      </x:c>
      <x:c r="B7" s="126" t="n">
        <x:v>1</x:v>
      </x:c>
      <x:c r="C7" s="127" t="n">
        <x:v>0.068</x:v>
      </x:c>
      <x:c r="D7" s="126" t="n">
        <x:v>730</x:v>
      </x:c>
      <x:c r="E7" s="128" t="n">
        <x:f>B7*C7*D7</x:f>
        <x:v>49.64</x:v>
      </x:c>
      <x:c r="F7" s="125" t="str">
        <x:v>Observed SKU + retail rate</x:v>
      </x:c>
      <x:c r="G7" s="125" t="str">
        <x:v>S2/S9</x:v>
      </x:c>
      <x:c r="H7" s="125" t="str">
        <x:v>Compute only; storage is separate.</x:v>
      </x:c>
    </x:row>
    <x:row r="8" ht="15" hidden="0" customHeight="1">
      <x:c r="A8" s="125" t="str">
        <x:v>PostgreSQL provisioned storage</x:v>
      </x:c>
      <x:c r="B8" s="126" t="n">
        <x:v>32</x:v>
      </x:c>
      <x:c r="C8" s="127" t="n">
        <x:v>0.115</x:v>
      </x:c>
      <x:c r="D8" s="126" t="n">
        <x:v>1</x:v>
      </x:c>
      <x:c r="E8" s="128" t="n">
        <x:f>B8*C8*D8</x:f>
        <x:v>3.68</x:v>
      </x:c>
      <x:c r="F8" s="125" t="str">
        <x:v>Observed SKU + retail rate</x:v>
      </x:c>
      <x:c r="G8" s="125" t="str">
        <x:v>S2/S9</x:v>
      </x:c>
      <x:c r="H8" s="125" t="str">
        <x:v>32 GB provisioned P4 storage.</x:v>
      </x:c>
    </x:row>
    <x:row r="9" ht="15" hidden="0" customHeight="1">
      <x:c r="A9" s="125" t="str">
        <x:v>Azure Cache for Redis Standard C1</x:v>
      </x:c>
      <x:c r="B9" s="126" t="n">
        <x:v>1</x:v>
      </x:c>
      <x:c r="C9" s="127" t="n">
        <x:v>0.138</x:v>
      </x:c>
      <x:c r="D9" s="126" t="n">
        <x:v>730</x:v>
      </x:c>
      <x:c r="E9" s="128" t="n">
        <x:f>B9*C9*D9</x:f>
        <x:v>100.74000000000001</x:v>
      </x:c>
      <x:c r="F9" s="125" t="str">
        <x:v>Observed SKU + retail rate</x:v>
      </x:c>
      <x:c r="G9" s="125" t="str">
        <x:v>S3/S9</x:v>
      </x:c>
      <x:c r="H9" s="125" t="str">
        <x:v>Standard C1 is a replicated two-node cache.</x:v>
      </x:c>
    </x:row>
    <x:row r="10" ht="15" hidden="0" customHeight="1">
      <x:c r="A10" s="125" t="str">
        <x:v>ClamAV container — vCPU</x:v>
      </x:c>
      <x:c r="B10" s="126" t="n">
        <x:v>1</x:v>
      </x:c>
      <x:c r="C10" s="127" t="n">
        <x:v>0.0405</x:v>
      </x:c>
      <x:c r="D10" s="126" t="n">
        <x:v>730</x:v>
      </x:c>
      <x:c r="E10" s="128" t="n">
        <x:f>B10*C10*D10</x:f>
        <x:v>29.565</x:v>
      </x:c>
      <x:c r="F10" s="125" t="str">
        <x:v>Observed resources + retail rate</x:v>
      </x:c>
      <x:c r="G10" s="125" t="str">
        <x:v>S4/S9</x:v>
      </x:c>
      <x:c r="H10" s="125" t="str">
        <x:v>1 vCPU requested continuously.</x:v>
      </x:c>
    </x:row>
    <x:row r="11" ht="15" hidden="0" customHeight="1">
      <x:c r="A11" s="125" t="str">
        <x:v>ClamAV container — memory GB</x:v>
      </x:c>
      <x:c r="B11" s="126" t="n">
        <x:v>2</x:v>
      </x:c>
      <x:c r="C11" s="127" t="n">
        <x:v>0.00445</x:v>
      </x:c>
      <x:c r="D11" s="126" t="n">
        <x:v>730</x:v>
      </x:c>
      <x:c r="E11" s="128" t="n">
        <x:f>B11*C11*D11</x:f>
        <x:v>6.497</x:v>
      </x:c>
      <x:c r="F11" s="125" t="str">
        <x:v>Observed resources + retail rate</x:v>
      </x:c>
      <x:c r="G11" s="125" t="str">
        <x:v>S4/S9</x:v>
      </x:c>
      <x:c r="H11" s="125" t="str">
        <x:v>2 GB requested continuously.</x:v>
      </x:c>
    </x:row>
    <x:row r="12" ht="15" hidden="0" customHeight="1">
      <x:c r="A12" s="125" t="str">
        <x:v>Static Web Apps Standard</x:v>
      </x:c>
      <x:c r="B12" s="126" t="n">
        <x:v>1</x:v>
      </x:c>
      <x:c r="C12" s="127" t="n">
        <x:v>9</x:v>
      </x:c>
      <x:c r="D12" s="126" t="n">
        <x:v>1</x:v>
      </x:c>
      <x:c r="E12" s="128" t="n">
        <x:f>B12*C12*D12</x:f>
        <x:v>9</x:v>
      </x:c>
      <x:c r="F12" s="125" t="str">
        <x:v>Observed SKU + retail rate</x:v>
      </x:c>
      <x:c r="G12" s="125" t="str">
        <x:v>S5/S9</x:v>
      </x:c>
      <x:c r="H12" s="125" t="str">
        <x:v>Standard app base fee.</x:v>
      </x:c>
    </x:row>
    <x:row r="13" ht="15" hidden="0" customHeight="1">
      <x:c r="A13" s="125" t="str">
        <x:v>Private endpoints</x:v>
      </x:c>
      <x:c r="B13" s="126" t="n">
        <x:v>3</x:v>
      </x:c>
      <x:c r="C13" s="127" t="n">
        <x:v>0.01</x:v>
      </x:c>
      <x:c r="D13" s="126" t="n">
        <x:v>730</x:v>
      </x:c>
      <x:c r="E13" s="128" t="n">
        <x:f>B13*C13*D13</x:f>
        <x:v>21.9</x:v>
      </x:c>
      <x:c r="F13" s="125" t="str">
        <x:v>Observed count + assumption</x:v>
      </x:c>
      <x:c r="G13" s="125" t="str">
        <x:v>S6</x:v>
      </x:c>
      <x:c r="H13" s="125" t="str">
        <x:v>$0.01/hour is an explicit planning assumption; replace with invoice rate.</x:v>
      </x:c>
    </x:row>
    <x:row r="14" ht="24" hidden="0" customHeight="1">
      <x:c r="A14" s="125" t="str">
        <x:v>Monitoring/logging reserve</x:v>
      </x:c>
      <x:c r="B14" s="126" t="n">
        <x:v>1</x:v>
      </x:c>
      <x:c r="C14" s="127" t="n">
        <x:v>10</x:v>
      </x:c>
      <x:c r="D14" s="126" t="n">
        <x:v>1</x:v>
      </x:c>
      <x:c r="E14" s="128" t="n">
        <x:f>B14*C14*D14</x:f>
        <x:v>10</x:v>
      </x:c>
      <x:c r="F14" s="125" t="str">
        <x:v>Planning reserve</x:v>
      </x:c>
      <x:c r="G14" s="125" t="str">
        <x:v>S8</x:v>
      </x:c>
      <x:c r="H14" s="125" t="str">
        <x:v>Cost Management actual-cost query returned HTTP 429 during model preparation.</x:v>
      </x:c>
    </x:row>
    <x:row r="15" ht="15" hidden="0" customHeight="1">
      <x:c r="A15" s="129" t="str">
        <x:v>Total fixed platform cost / month</x:v>
      </x:c>
      <x:c r="B15" s="129" t="str">
        <x:v>Total fixed platform cost / month</x:v>
      </x:c>
      <x:c r="C15" s="129" t="str">
        <x:v>Total fixed platform cost / month</x:v>
      </x:c>
      <x:c r="D15" s="129" t="str">
        <x:v>Total fixed platform cost / month</x:v>
      </x:c>
      <x:c r="E15" s="130" t="n">
        <x:f>SUM(E6:E14)</x:f>
        <x:v>284.312</x:v>
      </x:c>
      <x:c r="F15" s="125"/>
      <x:c r="G15" s="125"/>
      <x:c r="H15" s="125"/>
    </x:row>
    <x:row r="16" ht="15" hidden="0" customHeight="1">
      <x:c r="A16" s="125"/>
      <x:c r="B16" s="125"/>
      <x:c r="C16" s="125"/>
      <x:c r="D16" s="125"/>
      <x:c r="E16" s="125"/>
      <x:c r="F16" s="125"/>
      <x:c r="G16" s="125"/>
      <x:c r="H16" s="125"/>
    </x:row>
    <x:row r="17" ht="15" hidden="0" customHeight="1">
      <x:c r="A17" s="125"/>
      <x:c r="B17" s="125"/>
      <x:c r="C17" s="125"/>
      <x:c r="D17" s="125"/>
      <x:c r="E17" s="125"/>
      <x:c r="F17" s="125"/>
      <x:c r="G17" s="125"/>
      <x:c r="H17" s="125"/>
    </x:row>
    <x:row r="18" ht="15" hidden="0" customHeight="1">
      <x:c r="A18" s="17" t="str">
        <x:v>Variable and scenario drivers</x:v>
      </x:c>
      <x:c r="B18" s="18" t="str">
        <x:v>Value</x:v>
      </x:c>
      <x:c r="C18" s="18" t="str">
        <x:v>Units</x:v>
      </x:c>
      <x:c r="D18" s="18" t="str">
        <x:v>Evidence status</x:v>
      </x:c>
      <x:c r="E18" s="18" t="str">
        <x:v>Source ID</x:v>
      </x:c>
      <x:c r="F18" s="18" t="str">
        <x:v>Notes</x:v>
      </x:c>
      <x:c r="G18" s="18" t="str">
        <x:v>Owner</x:v>
      </x:c>
      <x:c r="H18" s="19" t="str">
        <x:v>As of</x:v>
      </x:c>
    </x:row>
    <x:row r="19" ht="24" hidden="0" customHeight="1">
      <x:c r="A19" s="125" t="str">
        <x:v>Blob storage</x:v>
      </x:c>
      <x:c r="B19" s="127" t="n">
        <x:v>0.0208</x:v>
      </x:c>
      <x:c r="C19" s="125" t="str">
        <x:v>$/GB-month</x:v>
      </x:c>
      <x:c r="D19" s="125" t="str">
        <x:v>Retail rate</x:v>
      </x:c>
      <x:c r="E19" s="125" t="str">
        <x:v>S7/S9</x:v>
      </x:c>
      <x:c r="F19" s="125" t="str">
        <x:v>Hot LRS first tier; conservative high point from returned rates.</x:v>
      </x:c>
      <x:c r="G19" s="125" t="str">
        <x:v>Finance</x:v>
      </x:c>
      <x:c r="H19" s="131" t="n">
        <x:v>46262</x:v>
      </x:c>
    </x:row>
    <x:row r="20" ht="24" hidden="0" customHeight="1">
      <x:c r="A20" s="125" t="str">
        <x:v>Internet egress</x:v>
      </x:c>
      <x:c r="B20" s="127" t="n">
        <x:v>0.087</x:v>
      </x:c>
      <x:c r="C20" s="125" t="str">
        <x:v>$/GB</x:v>
      </x:c>
      <x:c r="D20" s="125" t="str">
        <x:v>Retail rate</x:v>
      </x:c>
      <x:c r="E20" s="125" t="str">
        <x:v>S9</x:v>
      </x:c>
      <x:c r="F20" s="125" t="str">
        <x:v>Planning rate; actual tier/free allowance can reduce cost.</x:v>
      </x:c>
      <x:c r="G20" s="125" t="str">
        <x:v>Finance</x:v>
      </x:c>
      <x:c r="H20" s="131" t="n">
        <x:v>46262</x:v>
      </x:c>
    </x:row>
    <x:row r="21" ht="15" hidden="0" customHeight="1">
      <x:c r="A21" s="125" t="str">
        <x:v>Email delivery</x:v>
      </x:c>
      <x:c r="B21" s="127" t="n">
        <x:v>0.00025</x:v>
      </x:c>
      <x:c r="C21" s="125" t="str">
        <x:v>$/email</x:v>
      </x:c>
      <x:c r="D21" s="125" t="str">
        <x:v>Planning assumption</x:v>
      </x:c>
      <x:c r="E21" s="125" t="str">
        <x:v>S8</x:v>
      </x:c>
      <x:c r="F21" s="125" t="str">
        <x:v>Replace with ACS invoice rate.</x:v>
      </x:c>
      <x:c r="G21" s="125" t="str">
        <x:v>Finance</x:v>
      </x:c>
      <x:c r="H21" s="131" t="n">
        <x:v>46262</x:v>
      </x:c>
    </x:row>
    <x:row r="22" ht="15" hidden="0" customHeight="1">
      <x:c r="A22" s="125" t="str">
        <x:v>Blob write operations</x:v>
      </x:c>
      <x:c r="B22" s="127" t="n">
        <x:v>0.065</x:v>
      </x:c>
      <x:c r="C22" s="125" t="str">
        <x:v>$/10k ops</x:v>
      </x:c>
      <x:c r="D22" s="125" t="str">
        <x:v>Planning assumption</x:v>
      </x:c>
      <x:c r="E22" s="125" t="str">
        <x:v>S7</x:v>
      </x:c>
      <x:c r="F22" s="125" t="str">
        <x:v>Immaterial at modeled volumes.</x:v>
      </x:c>
      <x:c r="G22" s="125" t="str">
        <x:v>Finance</x:v>
      </x:c>
      <x:c r="H22" s="131" t="n">
        <x:v>46262</x:v>
      </x:c>
    </x:row>
    <x:row r="23" ht="15" hidden="0" customHeight="1">
      <x:c r="A23" s="125" t="str">
        <x:v>Blob read operations</x:v>
      </x:c>
      <x:c r="B23" s="127" t="n">
        <x:v>0.004</x:v>
      </x:c>
      <x:c r="C23" s="125" t="str">
        <x:v>$/10k ops</x:v>
      </x:c>
      <x:c r="D23" s="125" t="str">
        <x:v>Retail rate</x:v>
      </x:c>
      <x:c r="E23" s="125" t="str">
        <x:v>S7/S9</x:v>
      </x:c>
      <x:c r="F23" s="125" t="str">
        <x:v>Hot LRS read operations.</x:v>
      </x:c>
      <x:c r="G23" s="125" t="str">
        <x:v>Finance</x:v>
      </x:c>
      <x:c r="H23" s="131" t="n">
        <x:v>46262</x:v>
      </x:c>
    </x:row>
    <x:row r="24" ht="36" hidden="0" customHeight="1">
      <x:c r="A24" s="125" t="str">
        <x:v>Future AI input</x:v>
      </x:c>
      <x:c r="B24" s="127" t="n">
        <x:v>0.75</x:v>
      </x:c>
      <x:c r="C24" s="125" t="str">
        <x:v>$/1M tokens</x:v>
      </x:c>
      <x:c r="D24" s="125" t="str">
        <x:v>Future-state rate</x:v>
      </x:c>
      <x:c r="E24" s="125" t="str">
        <x:v>S10</x:v>
      </x:c>
      <x:c r="F24" s="125" t="str">
        <x:v>GPT-5.4 mini standard API pricing; no metered LLM is implemented today.</x:v>
      </x:c>
      <x:c r="G24" s="125" t="str">
        <x:v>Product</x:v>
      </x:c>
      <x:c r="H24" s="131" t="n">
        <x:v>46262</x:v>
      </x:c>
    </x:row>
    <x:row r="25" ht="36" hidden="0" customHeight="1">
      <x:c r="A25" s="125" t="str">
        <x:v>Future AI output</x:v>
      </x:c>
      <x:c r="B25" s="127" t="n">
        <x:v>4.5</x:v>
      </x:c>
      <x:c r="C25" s="125" t="str">
        <x:v>$/1M tokens</x:v>
      </x:c>
      <x:c r="D25" s="125" t="str">
        <x:v>Future-state rate</x:v>
      </x:c>
      <x:c r="E25" s="125" t="str">
        <x:v>S10</x:v>
      </x:c>
      <x:c r="F25" s="125" t="str">
        <x:v>GPT-5.4 mini standard API pricing; no metered LLM is implemented today.</x:v>
      </x:c>
      <x:c r="G25" s="125" t="str">
        <x:v>Product</x:v>
      </x:c>
      <x:c r="H25" s="131" t="n">
        <x:v>46262</x:v>
      </x:c>
    </x:row>
    <x:row r="26" ht="24" hidden="0" customHeight="1">
      <x:c r="A26" s="125" t="str">
        <x:v>Baseline tenant count</x:v>
      </x:c>
      <x:c r="B26" s="126" t="n">
        <x:v>25</x:v>
      </x:c>
      <x:c r="C26" s="125" t="str">
        <x:v>tenants</x:v>
      </x:c>
      <x:c r="D26" s="125" t="str">
        <x:v>Planning assumption</x:v>
      </x:c>
      <x:c r="E26" s="125" t="str">
        <x:v>S8</x:v>
      </x:c>
      <x:c r="F26" s="125" t="str">
        <x:v>Reference point for allocating fixed capacity.</x:v>
      </x:c>
      <x:c r="G26" s="125" t="str">
        <x:v>Finance</x:v>
      </x:c>
      <x:c r="H26" s="131" t="n">
        <x:v>46262</x:v>
      </x:c>
    </x:row>
    <x:row r="27" ht="15" hidden="0" customHeight="1">
      <x:c r="A27" s="125" t="str">
        <x:v>Heavy tenant share</x:v>
      </x:c>
      <x:c r="B27" s="132" t="n">
        <x:v>0.2</x:v>
      </x:c>
      <x:c r="C27" s="125" t="str">
        <x:v>% of tenants</x:v>
      </x:c>
      <x:c r="D27" s="125" t="str">
        <x:v>Planning assumption</x:v>
      </x:c>
      <x:c r="E27" s="125" t="str">
        <x:v>S8</x:v>
      </x:c>
      <x:c r="F27" s="125" t="str">
        <x:v>Sensitivity driver.</x:v>
      </x:c>
      <x:c r="G27" s="125" t="str">
        <x:v>Finance</x:v>
      </x:c>
      <x:c r="H27" s="131" t="n">
        <x:v>46262</x:v>
      </x:c>
    </x:row>
    <x:row r="28" ht="24" hidden="0" customHeight="1">
      <x:c r="A28" s="125" t="str">
        <x:v>Light compute weight</x:v>
      </x:c>
      <x:c r="B28" s="126" t="n">
        <x:v>1</x:v>
      </x:c>
      <x:c r="C28" s="125" t="str">
        <x:v>weight units</x:v>
      </x:c>
      <x:c r="D28" s="125" t="str">
        <x:v>Planning assumption</x:v>
      </x:c>
      <x:c r="E28" s="125" t="str">
        <x:v>S8</x:v>
      </x:c>
      <x:c r="F28" s="125" t="str">
        <x:v>Relative capacity allocation, not a measured CPU ratio.</x:v>
      </x:c>
      <x:c r="G28" s="125" t="str">
        <x:v>Engineering</x:v>
      </x:c>
      <x:c r="H28" s="131" t="n">
        <x:v>46262</x:v>
      </x:c>
    </x:row>
    <x:row r="29" ht="24" hidden="0" customHeight="1">
      <x:c r="A29" s="125" t="str">
        <x:v>Heavy compute weight</x:v>
      </x:c>
      <x:c r="B29" s="126" t="n">
        <x:v>6</x:v>
      </x:c>
      <x:c r="C29" s="125" t="str">
        <x:v>weight units</x:v>
      </x:c>
      <x:c r="D29" s="125" t="str">
        <x:v>Planning assumption</x:v>
      </x:c>
      <x:c r="E29" s="125" t="str">
        <x:v>S8</x:v>
      </x:c>
      <x:c r="F29" s="125" t="str">
        <x:v>Relative capacity allocation, not a measured CPU ratio.</x:v>
      </x:c>
      <x:c r="G29" s="125" t="str">
        <x:v>Engineering</x:v>
      </x:c>
      <x:c r="H29" s="131" t="n">
        <x:v>46262</x:v>
      </x:c>
    </x:row>
    <x:row r="30" ht="24" hidden="0" customHeight="1">
      <x:c r="A30" s="125" t="str">
        <x:v>Capacity per block</x:v>
      </x:c>
      <x:c r="B30" s="126" t="n">
        <x:v>50</x:v>
      </x:c>
      <x:c r="C30" s="125" t="str">
        <x:v>weight units</x:v>
      </x:c>
      <x:c r="D30" s="125" t="str">
        <x:v>Unproven planning assumption</x:v>
      </x:c>
      <x:c r="E30" s="125" t="str">
        <x:v>S8</x:v>
      </x:c>
      <x:c r="F30" s="125" t="str">
        <x:v>Must be replaced after production load testing.</x:v>
      </x:c>
      <x:c r="G30" s="125" t="str">
        <x:v>Engineering</x:v>
      </x:c>
      <x:c r="H30" s="131" t="n">
        <x:v>46262</x:v>
      </x:c>
    </x:row>
    <x:row r="31" ht="24" hidden="0" customHeight="1">
      <x:c r="A31" s="125" t="str">
        <x:v>Incremental capacity block</x:v>
      </x:c>
      <x:c r="B31" s="126" t="n">
        <x:v>175</x:v>
      </x:c>
      <x:c r="C31" s="125" t="str">
        <x:v>$/month</x:v>
      </x:c>
      <x:c r="D31" s="125" t="str">
        <x:v>Planning assumption</x:v>
      </x:c>
      <x:c r="E31" s="125" t="str">
        <x:v>S8</x:v>
      </x:c>
      <x:c r="F31" s="125" t="str">
        <x:v>Conservative blended scale-up reserve after the baseline block.</x:v>
      </x:c>
      <x:c r="G31" s="125" t="str">
        <x:v>Finance</x:v>
      </x:c>
      <x:c r="H31" s="131" t="n">
        <x:v>46262</x:v>
      </x:c>
    </x:row>
    <x:row r="32" ht="36" hidden="0" customHeight="1">
      <x:c r="A32" s="125" t="str">
        <x:v>Target compute gross margin</x:v>
      </x:c>
      <x:c r="B32" s="132" t="n">
        <x:v>0.85</x:v>
      </x:c>
      <x:c r="C32" s="125" t="str">
        <x:v>%</x:v>
      </x:c>
      <x:c r="D32" s="125" t="str">
        <x:v>Management target</x:v>
      </x:c>
      <x:c r="E32" s="125" t="str">
        <x:v>S8</x:v>
      </x:c>
      <x:c r="F32" s="125" t="str">
        <x:v>Compute-only; excludes onboarding, support, expert review, and sales costs.</x:v>
      </x:c>
      <x:c r="G32" s="125" t="str">
        <x:v>Finance</x:v>
      </x:c>
      <x:c r="H32" s="131" t="n">
        <x:v>46262</x:v>
      </x:c>
    </x:row>
    <x:row r="33" ht="24" hidden="0" customHeight="1">
      <x:c r="A33" s="125" t="str">
        <x:v>Starter monthly price</x:v>
      </x:c>
      <x:c r="B33" s="133" t="n">
        <x:v>149</x:v>
      </x:c>
      <x:c r="C33" s="125" t="str">
        <x:v>$/tenant-month</x:v>
      </x:c>
      <x:c r="D33" s="125" t="str">
        <x:v>Recommended hypothesis</x:v>
      </x:c>
      <x:c r="E33" s="125" t="str">
        <x:v>S11</x:v>
      </x:c>
      <x:c r="F33" s="125" t="str">
        <x:v>Commercial target; not configured in payment code.</x:v>
      </x:c>
      <x:c r="G33" s="125" t="str">
        <x:v>Founder</x:v>
      </x:c>
      <x:c r="H33" s="131" t="n">
        <x:v>46262</x:v>
      </x:c>
    </x:row>
    <x:row r="34" ht="24" hidden="0" customHeight="1">
      <x:c r="A34" s="125" t="str">
        <x:v>Team monthly price</x:v>
      </x:c>
      <x:c r="B34" s="133" t="n">
        <x:v>399</x:v>
      </x:c>
      <x:c r="C34" s="125" t="str">
        <x:v>$/tenant-month</x:v>
      </x:c>
      <x:c r="D34" s="125" t="str">
        <x:v>Recommended hypothesis</x:v>
      </x:c>
      <x:c r="E34" s="125" t="str">
        <x:v>S11</x:v>
      </x:c>
      <x:c r="F34" s="125" t="str">
        <x:v>Commercial target; not configured in payment code.</x:v>
      </x:c>
      <x:c r="G34" s="125" t="str">
        <x:v>Founder</x:v>
      </x:c>
      <x:c r="H34" s="131" t="n">
        <x:v>46262</x:v>
      </x:c>
    </x:row>
    <x:row r="35" ht="15" hidden="0" customHeight="1">
      <x:c r="A35" s="114"/>
      <x:c r="B35" s="114"/>
      <x:c r="C35" s="114"/>
      <x:c r="D35" s="114"/>
      <x:c r="E35" s="114"/>
      <x:c r="F35" s="114"/>
      <x:c r="G35" s="114"/>
      <x:c r="H35" s="114"/>
    </x:row>
    <x:row r="36" ht="15" hidden="0" customHeight="1">
      <x:c r="A36" s="114"/>
      <x:c r="B36" s="114"/>
      <x:c r="C36" s="114"/>
      <x:c r="D36" s="114"/>
      <x:c r="E36" s="114"/>
      <x:c r="F36" s="114"/>
      <x:c r="G36" s="114"/>
      <x:c r="H36" s="114"/>
    </x:row>
    <x:row r="37" ht="15" hidden="0" customHeight="1">
      <x:c r="A37" s="114"/>
      <x:c r="B37" s="114"/>
      <x:c r="C37" s="114"/>
      <x:c r="D37" s="114"/>
      <x:c r="E37" s="114"/>
      <x:c r="F37" s="114"/>
      <x:c r="G37" s="114"/>
      <x:c r="H37" s="114"/>
    </x:row>
    <x:row r="38" ht="15" hidden="0" customHeight="1">
      <x:c r="A38" s="114"/>
      <x:c r="B38" s="114"/>
      <x:c r="C38" s="114"/>
      <x:c r="D38" s="114"/>
      <x:c r="E38" s="114"/>
      <x:c r="F38" s="114"/>
      <x:c r="G38" s="114"/>
      <x:c r="H38" s="114"/>
    </x:row>
    <x:row r="39" ht="15" hidden="0" customHeight="1">
      <x:c r="A39" s="114"/>
      <x:c r="B39" s="114"/>
      <x:c r="C39" s="114"/>
      <x:c r="D39" s="114"/>
      <x:c r="E39" s="114"/>
      <x:c r="F39" s="114"/>
      <x:c r="G39" s="114"/>
      <x:c r="H39" s="114"/>
    </x:row>
    <x:row r="40" ht="15" hidden="0" customHeight="1">
      <x:c r="A40" s="114"/>
      <x:c r="B40" s="114"/>
      <x:c r="C40" s="114"/>
      <x:c r="D40" s="114"/>
      <x:c r="E40" s="114"/>
      <x:c r="F40" s="114"/>
      <x:c r="G40" s="114"/>
      <x:c r="H40" s="114"/>
    </x:row>
  </x:sheetData>
  <x:mergeCells>
    <x:mergeCell ref="A1:H2"/>
    <x:mergeCell ref="A3:H3"/>
    <x:mergeCell ref="A15:D15"/>
  </x:mergeCells>
  <x:pageMargins left="0.7" right="0.7" top="0.75" bottom="0.75" header="0.3" footer="0.3"/>
  <x:legacyDrawing xmlns:r="http://schemas.openxmlformats.org/officeDocument/2006/relationships" r:id="Ra5f698e0598d434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50" hidden="0" customWidth="1"/>
  </x:cols>
  <x:sheetData>
    <x:row r="1" ht="30" customHeight="1">
      <x:c r="A1" s="4" t="str">
        <x:v>Lightweight vs. Heavy Tenant Profiles</x:v>
      </x:c>
      <x:c r="B1" s="4" t="str">
        <x:v>Lightweight vs. Heavy Tenant Profiles</x:v>
      </x:c>
      <x:c r="C1" s="4" t="str">
        <x:v>Lightweight vs. Heavy Tenant Profiles</x:v>
      </x:c>
      <x:c r="D1" s="4" t="str">
        <x:v>Lightweight vs. Heavy Tenant Profiles</x:v>
      </x:c>
      <x:c r="E1" s="4" t="str">
        <x:v>Lightweight vs. Heavy Tenant Profiles</x:v>
      </x:c>
      <x:c r="F1" s="4" t="str">
        <x:v>Lightweight vs. Heavy Tenant Profiles</x:v>
      </x:c>
    </x:row>
    <x:row r="2" ht="30" customHeight="1">
      <x:c r="A2" s="4" t="str">
        <x:v>Lightweight vs. Heavy Tenant Profiles</x:v>
      </x:c>
      <x:c r="B2" s="4" t="str">
        <x:v>Lightweight vs. Heavy Tenant Profiles</x:v>
      </x:c>
      <x:c r="C2" s="4" t="str">
        <x:v>Lightweight vs. Heavy Tenant Profiles</x:v>
      </x:c>
      <x:c r="D2" s="4" t="str">
        <x:v>Lightweight vs. Heavy Tenant Profiles</x:v>
      </x:c>
      <x:c r="E2" s="4" t="str">
        <x:v>Lightweight vs. Heavy Tenant Profiles</x:v>
      </x:c>
      <x:c r="F2" s="4" t="str">
        <x:v>Lightweight vs. Heavy Tenant Profiles</x:v>
      </x:c>
    </x:row>
    <x:row r="3" ht="15" hidden="0" customHeight="1">
      <x:c r="A3" s="113" t="str">
        <x:v>Profiles are explicit planning assumptions for sensitivity analysis. They are not current contractual limits or measured production averages.</x:v>
      </x:c>
      <x:c r="B3" s="113" t="str">
        <x:v>Profiles are explicit planning assumptions for sensitivity analysis. They are not current contractual limits or measured production averages.</x:v>
      </x:c>
      <x:c r="C3" s="113" t="str">
        <x:v>Profiles are explicit planning assumptions for sensitivity analysis. They are not current contractual limits or measured production averages.</x:v>
      </x:c>
      <x:c r="D3" s="113" t="str">
        <x:v>Profiles are explicit planning assumptions for sensitivity analysis. They are not current contractual limits or measured production averages.</x:v>
      </x:c>
      <x:c r="E3" s="113" t="str">
        <x:v>Profiles are explicit planning assumptions for sensitivity analysis. They are not current contractual limits or measured production averages.</x:v>
      </x:c>
      <x:c r="F3" s="113" t="str">
        <x:v>Profiles are explicit planning assumptions for sensitivity analysis. They are not current contractual limits or measured production averages.</x:v>
      </x:c>
    </x:row>
    <x:row r="4" ht="15" hidden="0" customHeight="1">
      <x:c r="A4" s="114"/>
      <x:c r="B4" s="114"/>
      <x:c r="C4" s="114"/>
      <x:c r="D4" s="114"/>
      <x:c r="E4" s="114"/>
      <x:c r="F4" s="114"/>
    </x:row>
    <x:row r="5" ht="15" hidden="0" customHeight="1">
      <x:c r="A5" s="17" t="str">
        <x:v>Monthly profile metric</x:v>
      </x:c>
      <x:c r="B5" s="18" t="str">
        <x:v>Lightweight</x:v>
      </x:c>
      <x:c r="C5" s="18" t="str">
        <x:v>Heavy</x:v>
      </x:c>
      <x:c r="D5" s="18" t="str">
        <x:v>Units</x:v>
      </x:c>
      <x:c r="E5" s="18" t="str">
        <x:v>Cost driver</x:v>
      </x:c>
      <x:c r="F5" s="19" t="str">
        <x:v>Risk / interpretation</x:v>
      </x:c>
    </x:row>
    <x:row r="6" ht="15" hidden="0" customHeight="1">
      <x:c r="A6" s="125" t="str">
        <x:v>Users</x:v>
      </x:c>
      <x:c r="B6" s="126" t="n">
        <x:v>3</x:v>
      </x:c>
      <x:c r="C6" s="126" t="n">
        <x:v>15</x:v>
      </x:c>
      <x:c r="D6" s="125" t="str">
        <x:v>seats</x:v>
      </x:c>
      <x:c r="E6" s="125" t="str">
        <x:v>Shared API/DB</x:v>
      </x:c>
      <x:c r="F6" s="125" t="str">
        <x:v>Seat count is a weak compute proxy; activity matters more.</x:v>
      </x:c>
    </x:row>
    <x:row r="7" ht="15" hidden="0" customHeight="1">
      <x:c r="A7" s="125" t="str">
        <x:v>Active contracts</x:v>
      </x:c>
      <x:c r="B7" s="126" t="n">
        <x:v>5</x:v>
      </x:c>
      <x:c r="C7" s="126" t="n">
        <x:v>30</x:v>
      </x:c>
      <x:c r="D7" s="125" t="str">
        <x:v>contracts</x:v>
      </x:c>
      <x:c r="E7" s="125" t="str">
        <x:v>DB/reporting</x:v>
      </x:c>
      <x:c r="F7" s="125" t="str">
        <x:v>No measured production distribution yet.</x:v>
      </x:c>
    </x:row>
    <x:row r="8" ht="15" hidden="0" customHeight="1">
      <x:c r="A8" s="125" t="str">
        <x:v>Stored data</x:v>
      </x:c>
      <x:c r="B8" s="126" t="n">
        <x:v>5</x:v>
      </x:c>
      <x:c r="C8" s="126" t="n">
        <x:v>50</x:v>
      </x:c>
      <x:c r="D8" s="125" t="str">
        <x:v>GB</x:v>
      </x:c>
      <x:c r="E8" s="125" t="str">
        <x:v>Blob storage</x:v>
      </x:c>
      <x:c r="F8" s="125" t="str">
        <x:v>Includes evidence, contract files, and exports.</x:v>
      </x:c>
    </x:row>
    <x:row r="9" ht="15" hidden="0" customHeight="1">
      <x:c r="A9" s="125" t="str">
        <x:v>Uploaded files</x:v>
      </x:c>
      <x:c r="B9" s="126" t="n">
        <x:v>25</x:v>
      </x:c>
      <x:c r="C9" s="126" t="n">
        <x:v>250</x:v>
      </x:c>
      <x:c r="D9" s="125" t="str">
        <x:v>files</x:v>
      </x:c>
      <x:c r="E9" s="125" t="str">
        <x:v>ClamAV/storage</x:v>
      </x:c>
      <x:c r="F9" s="125" t="str">
        <x:v>Each accepted upload is scanned and stored.</x:v>
      </x:c>
    </x:row>
    <x:row r="10" ht="15" hidden="0" customHeight="1">
      <x:c r="A10" s="125" t="str">
        <x:v>Average upload size</x:v>
      </x:c>
      <x:c r="B10" s="126" t="n">
        <x:v>5</x:v>
      </x:c>
      <x:c r="C10" s="126" t="n">
        <x:v>10</x:v>
      </x:c>
      <x:c r="D10" s="125" t="str">
        <x:v>MB</x:v>
      </x:c>
      <x:c r="E10" s="125" t="str">
        <x:v>Network/scanning</x:v>
      </x:c>
      <x:c r="F10" s="125" t="str">
        <x:v>App limit is 25 MB per file.</x:v>
      </x:c>
    </x:row>
    <x:row r="11" ht="15" hidden="0" customHeight="1">
      <x:c r="A11" s="125" t="str">
        <x:v>Report generations</x:v>
      </x:c>
      <x:c r="B11" s="126" t="n">
        <x:v>20</x:v>
      </x:c>
      <x:c r="C11" s="126" t="n">
        <x:v>100</x:v>
      </x:c>
      <x:c r="D11" s="125" t="str">
        <x:v>reports</x:v>
      </x:c>
      <x:c r="E11" s="125" t="str">
        <x:v>API/DB</x:v>
      </x:c>
      <x:c r="F11" s="125" t="str">
        <x:v>Report snapshots are DB-heavy but not separately metered.</x:v>
      </x:c>
    </x:row>
    <x:row r="12" ht="15" hidden="0" customHeight="1">
      <x:c r="A12" s="125" t="str">
        <x:v>PDF exports</x:v>
      </x:c>
      <x:c r="B12" s="126" t="n">
        <x:v>10</x:v>
      </x:c>
      <x:c r="C12" s="126" t="n">
        <x:v>100</x:v>
      </x:c>
      <x:c r="D12" s="125" t="str">
        <x:v>exports</x:v>
      </x:c>
      <x:c r="E12" s="125" t="str">
        <x:v>CPU/storage</x:v>
      </x:c>
      <x:c r="F12" s="125" t="str">
        <x:v>Rendered locally and stored in Blob Storage.</x:v>
      </x:c>
    </x:row>
    <x:row r="13" ht="15" hidden="0" customHeight="1">
      <x:c r="A13" s="125" t="str">
        <x:v>Internet egress</x:v>
      </x:c>
      <x:c r="B13" s="126" t="n">
        <x:v>1</x:v>
      </x:c>
      <x:c r="C13" s="126" t="n">
        <x:v>20</x:v>
      </x:c>
      <x:c r="D13" s="125" t="str">
        <x:v>GB</x:v>
      </x:c>
      <x:c r="E13" s="125" t="str">
        <x:v>Bandwidth</x:v>
      </x:c>
      <x:c r="F13" s="125" t="str">
        <x:v>Planning estimate.</x:v>
      </x:c>
    </x:row>
    <x:row r="14" ht="15" hidden="0" customHeight="1">
      <x:c r="A14" s="125" t="str">
        <x:v>Emails</x:v>
      </x:c>
      <x:c r="B14" s="126" t="n">
        <x:v>20</x:v>
      </x:c>
      <x:c r="C14" s="126" t="n">
        <x:v>200</x:v>
      </x:c>
      <x:c r="D14" s="125" t="str">
        <x:v>messages</x:v>
      </x:c>
      <x:c r="E14" s="125" t="str">
        <x:v>ACS</x:v>
      </x:c>
      <x:c r="F14" s="125" t="str">
        <x:v>Invitations, reminders, and workflow messages.</x:v>
      </x:c>
    </x:row>
    <x:row r="15" ht="15" hidden="0" customHeight="1">
      <x:c r="A15" s="125" t="str">
        <x:v>Future AI actions</x:v>
      </x:c>
      <x:c r="B15" s="126" t="n">
        <x:v>20</x:v>
      </x:c>
      <x:c r="C15" s="126" t="n">
        <x:v>200</x:v>
      </x:c>
      <x:c r="D15" s="125" t="str">
        <x:v>actions</x:v>
      </x:c>
      <x:c r="E15" s="125" t="str">
        <x:v>LLM tokens</x:v>
      </x:c>
      <x:c r="F15" s="125" t="str">
        <x:v>Future-state only; current implementation uses no metered LLM.</x:v>
      </x:c>
    </x:row>
    <x:row r="16" ht="15" hidden="0" customHeight="1">
      <x:c r="A16" s="125" t="str">
        <x:v>Input tokens / AI action</x:v>
      </x:c>
      <x:c r="B16" s="126" t="n">
        <x:v>8000</x:v>
      </x:c>
      <x:c r="C16" s="126" t="n">
        <x:v>15000</x:v>
      </x:c>
      <x:c r="D16" s="125" t="str">
        <x:v>tokens</x:v>
      </x:c>
      <x:c r="E16" s="125" t="str">
        <x:v>LLM input</x:v>
      </x:c>
      <x:c r="F16" s="125" t="str">
        <x:v>Future-state assumption.</x:v>
      </x:c>
    </x:row>
    <x:row r="17" ht="15" hidden="0" customHeight="1">
      <x:c r="A17" s="125" t="str">
        <x:v>Output tokens / AI action</x:v>
      </x:c>
      <x:c r="B17" s="126" t="n">
        <x:v>1000</x:v>
      </x:c>
      <x:c r="C17" s="126" t="n">
        <x:v>2000</x:v>
      </x:c>
      <x:c r="D17" s="125" t="str">
        <x:v>tokens</x:v>
      </x:c>
      <x:c r="E17" s="125" t="str">
        <x:v>LLM output</x:v>
      </x:c>
      <x:c r="F17" s="125" t="str">
        <x:v>Future-state assumption.</x:v>
      </x:c>
    </x:row>
    <x:row r="18" ht="15" hidden="0" customHeight="1">
      <x:c r="A18" s="134" t="str">
        <x:v>Compute allocation weight</x:v>
      </x:c>
      <x:c r="B18" s="135" t="n">
        <x:f>'Assumptions'!B28</x:f>
        <x:v>1</x:v>
      </x:c>
      <x:c r="C18" s="135" t="n">
        <x:f>'Assumptions'!B29</x:f>
        <x:v>6</x:v>
      </x:c>
      <x:c r="D18" s="134" t="str">
        <x:v>weight units</x:v>
      </x:c>
      <x:c r="E18" s="134" t="str">
        <x:v>Fixed-capacity allocation</x:v>
      </x:c>
      <x:c r="F18" s="134" t="str">
        <x:v>Unproven until load testing and telemetry establish actual ratios.</x:v>
      </x:c>
    </x:row>
    <x:row r="19" ht="15" hidden="0" customHeight="1">
      <x:c r="A19" s="114"/>
      <x:c r="B19" s="114"/>
      <x:c r="C19" s="114"/>
      <x:c r="D19" s="114"/>
      <x:c r="E19" s="114"/>
      <x:c r="F19" s="114"/>
    </x:row>
    <x:row r="20" ht="15" hidden="0" customHeight="1">
      <x:c r="A20" s="114"/>
      <x:c r="B20" s="114"/>
      <x:c r="C20" s="114"/>
      <x:c r="D20" s="114"/>
      <x:c r="E20" s="114"/>
      <x:c r="F20" s="114"/>
    </x:row>
    <x:row r="21" ht="15" hidden="0" customHeight="1">
      <x:c r="A21" s="114"/>
      <x:c r="B21" s="114"/>
      <x:c r="C21" s="114"/>
      <x:c r="D21" s="114"/>
      <x:c r="E21" s="114"/>
      <x:c r="F21" s="114"/>
    </x:row>
    <x:row r="22" ht="15" hidden="0" customHeight="1">
      <x:c r="A22" s="114"/>
      <x:c r="B22" s="114"/>
      <x:c r="C22" s="114"/>
      <x:c r="D22" s="114"/>
      <x:c r="E22" s="114"/>
      <x:c r="F22" s="114"/>
    </x:row>
    <x:row r="23" ht="15" hidden="0" customHeight="1">
      <x:c r="A23" s="114"/>
      <x:c r="B23" s="114"/>
      <x:c r="C23" s="114"/>
      <x:c r="D23" s="114"/>
      <x:c r="E23" s="114"/>
      <x:c r="F23" s="114"/>
    </x:row>
    <x:row r="24" ht="15" hidden="0" customHeight="1">
      <x:c r="A24" s="114"/>
      <x:c r="B24" s="114"/>
      <x:c r="C24" s="114"/>
      <x:c r="D24" s="114"/>
      <x:c r="E24" s="114"/>
      <x:c r="F24" s="114"/>
    </x:row>
    <x:row r="25" ht="15" hidden="0" customHeight="1">
      <x:c r="A25" s="114"/>
      <x:c r="B25" s="114"/>
      <x:c r="C25" s="114"/>
      <x:c r="D25" s="114"/>
      <x:c r="E25" s="114"/>
      <x:c r="F25" s="114"/>
    </x:row>
    <x:row r="26" ht="15" hidden="0" customHeight="1">
      <x:c r="A26" s="114"/>
      <x:c r="B26" s="114"/>
      <x:c r="C26" s="114"/>
      <x:c r="D26" s="114"/>
      <x:c r="E26" s="114"/>
      <x:c r="F26" s="114"/>
    </x:row>
    <x:row r="27" ht="15" hidden="0" customHeight="1">
      <x:c r="A27" s="114"/>
      <x:c r="B27" s="114"/>
      <x:c r="C27" s="114"/>
      <x:c r="D27" s="114"/>
      <x:c r="E27" s="114"/>
      <x:c r="F27" s="114"/>
    </x:row>
    <x:row r="28" ht="15" hidden="0" customHeight="1">
      <x:c r="A28" s="114"/>
      <x:c r="B28" s="114"/>
      <x:c r="C28" s="114"/>
      <x:c r="D28" s="114"/>
      <x:c r="E28" s="114"/>
      <x:c r="F28" s="114"/>
    </x:row>
    <x:row r="29" ht="15" hidden="0" customHeight="1">
      <x:c r="A29" s="114"/>
      <x:c r="B29" s="114"/>
      <x:c r="C29" s="114"/>
      <x:c r="D29" s="114"/>
      <x:c r="E29" s="114"/>
      <x:c r="F29" s="114"/>
    </x:row>
    <x:row r="30" ht="15" hidden="0" customHeight="1">
      <x:c r="A30" s="114"/>
      <x:c r="B30" s="114"/>
      <x:c r="C30" s="114"/>
      <x:c r="D30" s="114"/>
      <x:c r="E30" s="114"/>
      <x:c r="F30" s="114"/>
    </x:row>
    <x:row r="31" ht="15" hidden="0" customHeight="1">
      <x:c r="A31" s="114"/>
      <x:c r="B31" s="114"/>
      <x:c r="C31" s="114"/>
      <x:c r="D31" s="114"/>
      <x:c r="E31" s="114"/>
      <x:c r="F31" s="114"/>
    </x:row>
    <x:row r="32" ht="15" hidden="0" customHeight="1">
      <x:c r="A32" s="114"/>
      <x:c r="B32" s="114"/>
      <x:c r="C32" s="114"/>
      <x:c r="D32" s="114"/>
      <x:c r="E32" s="114"/>
      <x:c r="F32" s="114"/>
    </x:row>
  </x:sheetData>
  <x:mergeCells>
    <x:mergeCell ref="A1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</x:cols>
  <x:sheetData>
    <x:row r="1" ht="30" customHeight="1">
      <x:c r="A1" s="4" t="str">
        <x:v>Per-Tenant Compute Unit Economics</x:v>
      </x:c>
      <x:c r="B1" s="4" t="str">
        <x:v>Per-Tenant Compute Unit Economics</x:v>
      </x:c>
      <x:c r="C1" s="4" t="str">
        <x:v>Per-Tenant Compute Unit Economics</x:v>
      </x:c>
      <x:c r="D1" s="4" t="str">
        <x:v>Per-Tenant Compute Unit Economics</x:v>
      </x:c>
      <x:c r="E1" s="4" t="str">
        <x:v>Per-Tenant Compute Unit Economics</x:v>
      </x:c>
    </x:row>
    <x:row r="2" ht="30" customHeight="1">
      <x:c r="A2" s="4" t="str">
        <x:v>Per-Tenant Compute Unit Economics</x:v>
      </x:c>
      <x:c r="B2" s="4" t="str">
        <x:v>Per-Tenant Compute Unit Economics</x:v>
      </x:c>
      <x:c r="C2" s="4" t="str">
        <x:v>Per-Tenant Compute Unit Economics</x:v>
      </x:c>
      <x:c r="D2" s="4" t="str">
        <x:v>Per-Tenant Compute Unit Economics</x:v>
      </x:c>
      <x:c r="E2" s="4" t="str">
        <x:v>Per-Tenant Compute Unit Economics</x:v>
      </x:c>
    </x:row>
    <x:row r="3" ht="15" hidden="0" customHeight="1">
      <x:c r="A3" s="113" t="str">
        <x:v>Reference allocation: 25 tenants, 20% heavy. Fixed infrastructure is allocated by relative compute weight; marginal cloud costs are activity-based.</x:v>
      </x:c>
      <x:c r="B3" s="113" t="str">
        <x:v>Reference allocation: 25 tenants, 20% heavy. Fixed infrastructure is allocated by relative compute weight; marginal cloud costs are activity-based.</x:v>
      </x:c>
      <x:c r="C3" s="113" t="str">
        <x:v>Reference allocation: 25 tenants, 20% heavy. Fixed infrastructure is allocated by relative compute weight; marginal cloud costs are activity-based.</x:v>
      </x:c>
      <x:c r="D3" s="113" t="str">
        <x:v>Reference allocation: 25 tenants, 20% heavy. Fixed infrastructure is allocated by relative compute weight; marginal cloud costs are activity-based.</x:v>
      </x:c>
      <x:c r="E3" s="113" t="str">
        <x:v>Reference allocation: 25 tenants, 20% heavy. Fixed infrastructure is allocated by relative compute weight; marginal cloud costs are activity-based.</x:v>
      </x:c>
    </x:row>
    <x:row r="4" ht="15" hidden="0" customHeight="1">
      <x:c r="A4" s="114"/>
      <x:c r="B4" s="114"/>
      <x:c r="C4" s="114"/>
      <x:c r="D4" s="114"/>
      <x:c r="E4" s="114"/>
    </x:row>
    <x:row r="5" ht="15" hidden="0" customHeight="1">
      <x:c r="A5" s="17" t="str">
        <x:v>Cost component</x:v>
      </x:c>
      <x:c r="B5" s="18" t="str">
        <x:v>Lightweight</x:v>
      </x:c>
      <x:c r="C5" s="18" t="str">
        <x:v>Heavy</x:v>
      </x:c>
      <x:c r="D5" s="18" t="str">
        <x:v>Formula basis</x:v>
      </x:c>
      <x:c r="E5" s="19" t="str">
        <x:v>Current / future</x:v>
      </x:c>
    </x:row>
    <x:row r="6" ht="15" hidden="0" customHeight="1">
      <x:c r="A6" s="125" t="str">
        <x:v>Fixed platform allocation</x:v>
      </x:c>
      <x:c r="B6" s="136" t="n">
        <x:f>'Assumptions'!$E$15/('Assumptions'!$B$26*((1-'Assumptions'!$B$27)*'Assumptions'!$B$28+'Assumptions'!$B$27*'Assumptions'!$B$29))*'User Profiles'!B18</x:f>
        <x:v>5.686240000000001</x:v>
      </x:c>
      <x:c r="C6" s="136" t="n">
        <x:f>'Assumptions'!$E$15/('Assumptions'!$B$26*((1-'Assumptions'!$B$27)*'Assumptions'!$B$28+'Assumptions'!$B$27*'Assumptions'!$B$29))*'User Profiles'!C18</x:f>
        <x:v>34.11744</x:v>
      </x:c>
      <x:c r="D6" s="125" t="str">
        <x:v>Fixed cost ÷ weighted capacity</x:v>
      </x:c>
      <x:c r="E6" s="125" t="str">
        <x:v>Current</x:v>
      </x:c>
    </x:row>
    <x:row r="7" ht="15" hidden="0" customHeight="1">
      <x:c r="A7" s="125" t="str">
        <x:v>Blob storage</x:v>
      </x:c>
      <x:c r="B7" s="136" t="n">
        <x:f>'User Profiles'!B8*'Assumptions'!$B$19</x:f>
        <x:v>0.104</x:v>
      </x:c>
      <x:c r="C7" s="136" t="n">
        <x:f>'User Profiles'!C8*'Assumptions'!$B$19</x:f>
        <x:v>1.04</x:v>
      </x:c>
      <x:c r="D7" s="125" t="str">
        <x:v>Stored GB × Blob rate</x:v>
      </x:c>
      <x:c r="E7" s="125" t="str">
        <x:v>Current</x:v>
      </x:c>
    </x:row>
    <x:row r="8" ht="15" hidden="0" customHeight="1">
      <x:c r="A8" s="125" t="str">
        <x:v>Internet egress</x:v>
      </x:c>
      <x:c r="B8" s="136" t="n">
        <x:f>'User Profiles'!B13*'Assumptions'!$B$20</x:f>
        <x:v>0.087</x:v>
      </x:c>
      <x:c r="C8" s="136" t="n">
        <x:f>'User Profiles'!C13*'Assumptions'!$B$20</x:f>
        <x:v>1.7399999999999998</x:v>
      </x:c>
      <x:c r="D8" s="125" t="str">
        <x:v>Egress GB × rate</x:v>
      </x:c>
      <x:c r="E8" s="125" t="str">
        <x:v>Current</x:v>
      </x:c>
    </x:row>
    <x:row r="9" ht="15" hidden="0" customHeight="1">
      <x:c r="A9" s="125" t="str">
        <x:v>Email delivery</x:v>
      </x:c>
      <x:c r="B9" s="136" t="n">
        <x:f>'User Profiles'!B14*'Assumptions'!$B$21</x:f>
        <x:v>0.005</x:v>
      </x:c>
      <x:c r="C9" s="136" t="n">
        <x:f>'User Profiles'!C14*'Assumptions'!$B$21</x:f>
        <x:v>0.05</x:v>
      </x:c>
      <x:c r="D9" s="125" t="str">
        <x:v>Messages × assumed rate</x:v>
      </x:c>
      <x:c r="E9" s="125" t="str">
        <x:v>Current</x:v>
      </x:c>
    </x:row>
    <x:row r="10" ht="15" hidden="0" customHeight="1">
      <x:c r="A10" s="125" t="str">
        <x:v>Blob write operations</x:v>
      </x:c>
      <x:c r="B10" s="136" t="n">
        <x:f>('User Profiles'!B9+'User Profiles'!B12)*'Assumptions'!$B$22/10000</x:f>
        <x:v>0.0002275</x:v>
      </x:c>
      <x:c r="C10" s="136" t="n">
        <x:f>('User Profiles'!C9+'User Profiles'!C12)*'Assumptions'!$B$22/10000</x:f>
        <x:v>0.002275</x:v>
      </x:c>
      <x:c r="D10" s="125" t="str">
        <x:v>Writes ÷ 10k × rate</x:v>
      </x:c>
      <x:c r="E10" s="125" t="str">
        <x:v>Current</x:v>
      </x:c>
    </x:row>
    <x:row r="11" ht="15" hidden="0" customHeight="1">
      <x:c r="A11" s="125" t="str">
        <x:v>Blob read operations</x:v>
      </x:c>
      <x:c r="B11" s="136" t="n">
        <x:f>('User Profiles'!B11+'User Profiles'!B12)*'Assumptions'!$B$23/10000</x:f>
        <x:v>0.000012</x:v>
      </x:c>
      <x:c r="C11" s="136" t="n">
        <x:f>('User Profiles'!C11+'User Profiles'!C12)*'Assumptions'!$B$23/10000</x:f>
        <x:v>0.00008</x:v>
      </x:c>
      <x:c r="D11" s="125" t="str">
        <x:v>Reads ÷ 10k × rate</x:v>
      </x:c>
      <x:c r="E11" s="125" t="str">
        <x:v>Current</x:v>
      </x:c>
    </x:row>
    <x:row r="12" ht="15" hidden="0" customHeight="1">
      <x:c r="A12" s="137" t="str">
        <x:v>Current compute cost / tenant</x:v>
      </x:c>
      <x:c r="B12" s="138" t="n">
        <x:f>SUM(B6:B11)</x:f>
        <x:v>5.8824795000000005</x:v>
      </x:c>
      <x:c r="C12" s="138" t="n">
        <x:f>SUM(C6:C11)</x:f>
        <x:v>36.949794999999995</x:v>
      </x:c>
      <x:c r="D12" s="137" t="str">
        <x:v>Sum current components</x:v>
      </x:c>
      <x:c r="E12" s="137" t="str">
        <x:v>Current</x:v>
      </x:c>
    </x:row>
    <x:row r="13" ht="15" hidden="0" customHeight="1">
      <x:c r="A13" s="137" t="str">
        <x:v>Future AI token cost</x:v>
      </x:c>
      <x:c r="B13" s="138" t="n">
        <x:f>'User Profiles'!B15*(('User Profiles'!B16*'Assumptions'!$B$24)+('User Profiles'!B17*'Assumptions'!$B$25))/1000000</x:f>
        <x:v>0.21</x:v>
      </x:c>
      <x:c r="C13" s="138" t="n">
        <x:f>'User Profiles'!C15*(('User Profiles'!C16*'Assumptions'!$B$24)+('User Profiles'!C17*'Assumptions'!$B$25))/1000000</x:f>
        <x:v>4.05</x:v>
      </x:c>
      <x:c r="D13" s="137" t="str">
        <x:v>Actions × input/output tokens</x:v>
      </x:c>
      <x:c r="E13" s="137" t="str">
        <x:v>Future</x:v>
      </x:c>
    </x:row>
    <x:row r="14" ht="15" hidden="0" customHeight="1">
      <x:c r="A14" s="137" t="str">
        <x:v>Future compute cost / tenant</x:v>
      </x:c>
      <x:c r="B14" s="138" t="n">
        <x:f>B12+B13</x:f>
        <x:v>6.0924795000000005</x:v>
      </x:c>
      <x:c r="C14" s="138" t="n">
        <x:f>C12+C13</x:f>
        <x:v>40.99979499999999</x:v>
      </x:c>
      <x:c r="D14" s="137" t="str">
        <x:v>Current + future AI</x:v>
      </x:c>
      <x:c r="E14" s="137" t="str">
        <x:v>Future</x:v>
      </x:c>
    </x:row>
    <x:row r="15" ht="15" hidden="0" customHeight="1">
      <x:c r="A15" s="125" t="str">
        <x:v>Compute cost multiple (heavy/light)</x:v>
      </x:c>
      <x:c r="B15" s="139" t="n">
        <x:f>1</x:f>
        <x:v>1</x:v>
      </x:c>
      <x:c r="C15" s="139" t="n">
        <x:f>C14/B14</x:f>
        <x:v>6.729574551707558</x:v>
      </x:c>
      <x:c r="D15" s="125" t="str">
        <x:v>Future heavy ÷ light</x:v>
      </x:c>
      <x:c r="E15" s="125" t="str">
        <x:v>Sensitivity</x:v>
      </x:c>
    </x:row>
    <x:row r="16" ht="24" hidden="0" customHeight="1">
      <x:c r="A16" s="140" t="str">
        <x:v>Modeling note</x:v>
      </x:c>
      <x:c r="B16" s="140" t="str">
        <x:v>Current clause extraction is deterministic local processing. AI cost is shown only as a future scenario and must not be represented as implemented.</x:v>
      </x:c>
      <x:c r="C16" s="140" t="str">
        <x:v>Current clause extraction is deterministic local processing. AI cost is shown only as a future scenario and must not be represented as implemented.</x:v>
      </x:c>
      <x:c r="D16" s="140" t="str">
        <x:v>Current clause extraction is deterministic local processing. AI cost is shown only as a future scenario and must not be represented as implemented.</x:v>
      </x:c>
      <x:c r="E16" s="140" t="str">
        <x:v>Current clause extraction is deterministic local processing. AI cost is shown only as a future scenario and must not be represented as implemented.</x:v>
      </x:c>
    </x:row>
    <x:row r="17" ht="15" hidden="0" customHeight="1">
      <x:c r="A17" s="114"/>
      <x:c r="B17" s="114"/>
      <x:c r="C17" s="114"/>
      <x:c r="D17" s="114"/>
      <x:c r="E17" s="114"/>
    </x:row>
    <x:row r="18" ht="15" hidden="0" customHeight="1">
      <x:c r="A18" s="114"/>
      <x:c r="B18" s="114"/>
      <x:c r="C18" s="114"/>
      <x:c r="D18" s="114"/>
      <x:c r="E18" s="114"/>
    </x:row>
    <x:row r="19" ht="15" hidden="0" customHeight="1">
      <x:c r="A19" s="114"/>
      <x:c r="B19" s="114"/>
      <x:c r="C19" s="114"/>
      <x:c r="D19" s="114"/>
      <x:c r="E19" s="114"/>
    </x:row>
    <x:row r="20" ht="15" hidden="0" customHeight="1">
      <x:c r="A20" s="114"/>
      <x:c r="B20" s="114"/>
      <x:c r="C20" s="114"/>
      <x:c r="D20" s="114"/>
      <x:c r="E20" s="114"/>
    </x:row>
    <x:row r="21" ht="15" hidden="0" customHeight="1">
      <x:c r="A21" s="114"/>
      <x:c r="B21" s="114"/>
      <x:c r="C21" s="114"/>
      <x:c r="D21" s="114"/>
      <x:c r="E21" s="114"/>
    </x:row>
    <x:row r="22" ht="15" hidden="0" customHeight="1">
      <x:c r="A22" s="114"/>
      <x:c r="B22" s="114"/>
      <x:c r="C22" s="114"/>
      <x:c r="D22" s="114"/>
      <x:c r="E22" s="114"/>
    </x:row>
    <x:row r="23" ht="15" hidden="0" customHeight="1">
      <x:c r="A23" s="114"/>
      <x:c r="B23" s="114"/>
      <x:c r="C23" s="114"/>
      <x:c r="D23" s="114"/>
      <x:c r="E23" s="114"/>
    </x:row>
    <x:row r="24" ht="15" hidden="0" customHeight="1">
      <x:c r="A24" s="114"/>
      <x:c r="B24" s="114"/>
      <x:c r="C24" s="114"/>
      <x:c r="D24" s="114"/>
      <x:c r="E24" s="114"/>
    </x:row>
    <x:row r="25" ht="15" hidden="0" customHeight="1">
      <x:c r="A25" s="114"/>
      <x:c r="B25" s="114"/>
      <x:c r="C25" s="114"/>
      <x:c r="D25" s="114"/>
      <x:c r="E25" s="114"/>
    </x:row>
    <x:row r="26" ht="15" hidden="0" customHeight="1">
      <x:c r="A26" s="114"/>
      <x:c r="B26" s="114"/>
      <x:c r="C26" s="114"/>
      <x:c r="D26" s="114"/>
      <x:c r="E26" s="114"/>
    </x:row>
    <x:row r="27" ht="15" hidden="0" customHeight="1">
      <x:c r="A27" s="114"/>
      <x:c r="B27" s="114"/>
      <x:c r="C27" s="114"/>
      <x:c r="D27" s="114"/>
      <x:c r="E27" s="114"/>
    </x:row>
    <x:row r="28" ht="15" hidden="0" customHeight="1">
      <x:c r="A28" s="114"/>
      <x:c r="B28" s="114"/>
      <x:c r="C28" s="114"/>
      <x:c r="D28" s="114"/>
      <x:c r="E28" s="114"/>
    </x:row>
    <x:row r="29" ht="15" hidden="0" customHeight="1">
      <x:c r="A29" s="114"/>
      <x:c r="B29" s="114"/>
      <x:c r="C29" s="114"/>
      <x:c r="D29" s="114"/>
      <x:c r="E29" s="114"/>
    </x:row>
    <x:row r="30" ht="15" hidden="0" customHeight="1">
      <x:c r="A30" s="114"/>
      <x:c r="B30" s="114"/>
      <x:c r="C30" s="114"/>
      <x:c r="D30" s="114"/>
      <x:c r="E30" s="114"/>
    </x:row>
  </x:sheetData>
  <x:mergeCells>
    <x:mergeCell ref="A1:E2"/>
    <x:mergeCell ref="A3:E3"/>
    <x:mergeCell ref="B16:E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12" hidden="0" customWidth="1"/>
    <x:col min="4" max="4" width="12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4" t="str">
        <x:v>Recommended Pricing Tiers — Compute-Aware, Value-Based</x:v>
      </x:c>
      <x:c r="B1" s="4" t="str">
        <x:v>Recommended Pricing Tiers — Compute-Aware, Value-Based</x:v>
      </x:c>
      <x:c r="C1" s="4" t="str">
        <x:v>Recommended Pricing Tiers — Compute-Aware, Value-Based</x:v>
      </x:c>
      <x:c r="D1" s="4" t="str">
        <x:v>Recommended Pricing Tiers — Compute-Aware, Value-Based</x:v>
      </x:c>
      <x:c r="E1" s="4" t="str">
        <x:v>Recommended Pricing Tiers — Compute-Aware, Value-Based</x:v>
      </x:c>
      <x:c r="F1" s="4" t="str">
        <x:v>Recommended Pricing Tiers — Compute-Aware, Value-Based</x:v>
      </x:c>
      <x:c r="G1" s="4" t="str">
        <x:v>Recommended Pricing Tiers — Compute-Aware, Value-Based</x:v>
      </x:c>
      <x:c r="H1" s="4" t="str">
        <x:v>Recommended Pricing Tiers — Compute-Aware, Value-Based</x:v>
      </x:c>
      <x:c r="I1" s="4" t="str">
        <x:v>Recommended Pricing Tiers — Compute-Aware, Value-Based</x:v>
      </x:c>
      <x:c r="J1" s="4" t="str">
        <x:v>Recommended Pricing Tiers — Compute-Aware, Value-Based</x:v>
      </x:c>
      <x:c r="K1" s="4" t="str">
        <x:v>Recommended Pricing Tiers — Compute-Aware, Value-Based</x:v>
      </x:c>
      <x:c r="L1" s="4" t="str">
        <x:v>Recommended Pricing Tiers — Compute-Aware, Value-Based</x:v>
      </x:c>
      <x:c r="M1" s="4" t="str">
        <x:v>Recommended Pricing Tiers — Compute-Aware, Value-Based</x:v>
      </x:c>
    </x:row>
    <x:row r="2" ht="30" customHeight="1">
      <x:c r="A2" s="4" t="str">
        <x:v>Recommended Pricing Tiers — Compute-Aware, Value-Based</x:v>
      </x:c>
      <x:c r="B2" s="4" t="str">
        <x:v>Recommended Pricing Tiers — Compute-Aware, Value-Based</x:v>
      </x:c>
      <x:c r="C2" s="4" t="str">
        <x:v>Recommended Pricing Tiers — Compute-Aware, Value-Based</x:v>
      </x:c>
      <x:c r="D2" s="4" t="str">
        <x:v>Recommended Pricing Tiers — Compute-Aware, Value-Based</x:v>
      </x:c>
      <x:c r="E2" s="4" t="str">
        <x:v>Recommended Pricing Tiers — Compute-Aware, Value-Based</x:v>
      </x:c>
      <x:c r="F2" s="4" t="str">
        <x:v>Recommended Pricing Tiers — Compute-Aware, Value-Based</x:v>
      </x:c>
      <x:c r="G2" s="4" t="str">
        <x:v>Recommended Pricing Tiers — Compute-Aware, Value-Based</x:v>
      </x:c>
      <x:c r="H2" s="4" t="str">
        <x:v>Recommended Pricing Tiers — Compute-Aware, Value-Based</x:v>
      </x:c>
      <x:c r="I2" s="4" t="str">
        <x:v>Recommended Pricing Tiers — Compute-Aware, Value-Based</x:v>
      </x:c>
      <x:c r="J2" s="4" t="str">
        <x:v>Recommended Pricing Tiers — Compute-Aware, Value-Based</x:v>
      </x:c>
      <x:c r="K2" s="4" t="str">
        <x:v>Recommended Pricing Tiers — Compute-Aware, Value-Based</x:v>
      </x:c>
      <x:c r="L2" s="4" t="str">
        <x:v>Recommended Pricing Tiers — Compute-Aware, Value-Based</x:v>
      </x:c>
      <x:c r="M2" s="4" t="str">
        <x:v>Recommended Pricing Tiers — Compute-Aware, Value-Based</x:v>
      </x:c>
    </x:row>
    <x:row r="3" ht="15" hidden="0" customHeight="1">
      <x:c r="A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B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C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D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E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F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G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H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I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J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K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L3" s="113" t="str">
        <x:v>All tier limits below are commercial packaging targets. The current app has subscription lifecycle controls but no payment processing, usage metering, overage billing, or server-side enforcement of these quantities.</x:v>
      </x:c>
      <x:c r="M3" s="113" t="str">
        <x:v>All tier limits below are commercial packaging targets. The current app has subscription lifecycle controls but no payment processing, usage metering, overage billing, or server-side enforcement of these quantities.</x:v>
      </x:c>
    </x:row>
    <x:row r="4" ht="15" hidden="0" customHeight="1">
      <x:c r="A4" s="114"/>
      <x:c r="B4" s="114"/>
      <x:c r="C4" s="114"/>
      <x:c r="D4" s="114"/>
      <x:c r="E4" s="114"/>
      <x:c r="F4" s="114"/>
      <x:c r="G4" s="114"/>
      <x:c r="H4" s="114"/>
      <x:c r="I4" s="114"/>
      <x:c r="J4" s="114"/>
      <x:c r="K4" s="114"/>
      <x:c r="L4" s="114"/>
      <x:c r="M4" s="114"/>
    </x:row>
    <x:row r="5" ht="15" hidden="0" customHeight="1">
      <x:c r="A5" s="17" t="str">
        <x:v>Tier</x:v>
      </x:c>
      <x:c r="B5" s="18" t="str">
        <x:v>Implementation status</x:v>
      </x:c>
      <x:c r="C5" s="18" t="str">
        <x:v>Monthly</x:v>
      </x:c>
      <x:c r="D5" s="18" t="str">
        <x:v>Annual</x:v>
      </x:c>
      <x:c r="E5" s="18" t="str">
        <x:v>Profile</x:v>
      </x:c>
      <x:c r="F5" s="18" t="str">
        <x:v>Users target</x:v>
      </x:c>
      <x:c r="G5" s="18" t="str">
        <x:v>Active contracts</x:v>
      </x:c>
      <x:c r="H5" s="18" t="str">
        <x:v>Storage GB</x:v>
      </x:c>
      <x:c r="I5" s="18" t="str">
        <x:v>Uploads/mo</x:v>
      </x:c>
      <x:c r="J5" s="18" t="str">
        <x:v>Reports/mo</x:v>
      </x:c>
      <x:c r="K5" s="18" t="str">
        <x:v>Current compute cost</x:v>
      </x:c>
      <x:c r="L5" s="18" t="str">
        <x:v>Future AI compute</x:v>
      </x:c>
      <x:c r="M5" s="19" t="str">
        <x:v>Future compute GM</x:v>
      </x:c>
    </x:row>
    <x:row r="6" ht="15" hidden="0" customHeight="1">
      <x:c r="A6" s="125" t="str">
        <x:v>Starter</x:v>
      </x:c>
      <x:c r="B6" s="125" t="str">
        <x:v>Planned commercial packaging</x:v>
      </x:c>
      <x:c r="C6" s="133" t="n">
        <x:v>149</x:v>
      </x:c>
      <x:c r="D6" s="133" t="n">
        <x:v>1490</x:v>
      </x:c>
      <x:c r="E6" s="125" t="str">
        <x:v>Lightweight</x:v>
      </x:c>
      <x:c r="F6" s="126" t="n">
        <x:v>3</x:v>
      </x:c>
      <x:c r="G6" s="126" t="n">
        <x:v>5</x:v>
      </x:c>
      <x:c r="H6" s="126" t="n">
        <x:v>5</x:v>
      </x:c>
      <x:c r="I6" s="126" t="n">
        <x:v>25</x:v>
      </x:c>
      <x:c r="J6" s="126" t="n">
        <x:v>20</x:v>
      </x:c>
      <x:c r="K6" s="141" t="n">
        <x:f>'Unit Economics'!B12</x:f>
        <x:v>5.8824795000000005</x:v>
      </x:c>
      <x:c r="L6" s="141" t="n">
        <x:f>'Unit Economics'!B13</x:f>
        <x:v>0.21</x:v>
      </x:c>
      <x:c r="M6" s="142" t="n">
        <x:f>1-((K6+L6)/C6)</x:f>
        <x:v>0.9591108758389262</x:v>
      </x:c>
    </x:row>
    <x:row r="7" ht="15" hidden="0" customHeight="1">
      <x:c r="A7" s="125" t="str">
        <x:v>Team</x:v>
      </x:c>
      <x:c r="B7" s="125" t="str">
        <x:v>Planned commercial packaging</x:v>
      </x:c>
      <x:c r="C7" s="133" t="n">
        <x:v>399</x:v>
      </x:c>
      <x:c r="D7" s="133" t="n">
        <x:v>3990</x:v>
      </x:c>
      <x:c r="E7" s="125" t="str">
        <x:v>Heavy</x:v>
      </x:c>
      <x:c r="F7" s="126" t="n">
        <x:v>15</x:v>
      </x:c>
      <x:c r="G7" s="126" t="n">
        <x:v>30</x:v>
      </x:c>
      <x:c r="H7" s="126" t="n">
        <x:v>50</x:v>
      </x:c>
      <x:c r="I7" s="126" t="n">
        <x:v>250</x:v>
      </x:c>
      <x:c r="J7" s="126" t="n">
        <x:v>100</x:v>
      </x:c>
      <x:c r="K7" s="141" t="n">
        <x:f>'Unit Economics'!C12</x:f>
        <x:v>36.949794999999995</x:v>
      </x:c>
      <x:c r="L7" s="141" t="n">
        <x:f>'Unit Economics'!C13</x:f>
        <x:v>4.05</x:v>
      </x:c>
      <x:c r="M7" s="142" t="n">
        <x:f>1-((K7+L7)/C7)</x:f>
        <x:v>0.8972436215538847</x:v>
      </x:c>
    </x:row>
    <x:row r="8" ht="24" hidden="0" customHeight="1">
      <x:c r="A8" s="125" t="str">
        <x:v>Advisor</x:v>
      </x:c>
      <x:c r="B8" s="125" t="str">
        <x:v>Planned; multi-client packaging not implemented</x:v>
      </x:c>
      <x:c r="C8" s="133" t="n">
        <x:v>999</x:v>
      </x:c>
      <x:c r="D8" s="133" t="n">
        <x:v>9990</x:v>
      </x:c>
      <x:c r="E8" s="125" t="str">
        <x:v>3 × Heavy</x:v>
      </x:c>
      <x:c r="F8" s="126" t="n">
        <x:v>45</x:v>
      </x:c>
      <x:c r="G8" s="126" t="n">
        <x:v>90</x:v>
      </x:c>
      <x:c r="H8" s="126" t="n">
        <x:v>150</x:v>
      </x:c>
      <x:c r="I8" s="126" t="n">
        <x:v>750</x:v>
      </x:c>
      <x:c r="J8" s="126" t="n">
        <x:v>300</x:v>
      </x:c>
      <x:c r="K8" s="141" t="n">
        <x:f>'Unit Economics'!C12*3</x:f>
        <x:v>110.84938499999998</x:v>
      </x:c>
      <x:c r="L8" s="141" t="n">
        <x:f>'Unit Economics'!C13*3</x:f>
        <x:v>12.149999999999999</x:v>
      </x:c>
      <x:c r="M8" s="142" t="n">
        <x:f>1-((K8+L8)/C8)</x:f>
        <x:v>0.8768774924924925</x:v>
      </x:c>
    </x:row>
    <x:row r="9" ht="15" hidden="0" customHeight="1">
      <x:c r="A9" s="125"/>
      <x:c r="B9" s="125"/>
      <x:c r="C9" s="125"/>
      <x:c r="D9" s="125"/>
      <x:c r="E9" s="125"/>
      <x:c r="F9" s="125"/>
      <x:c r="G9" s="125"/>
      <x:c r="H9" s="125"/>
      <x:c r="I9" s="125"/>
      <x:c r="J9" s="125"/>
      <x:c r="K9" s="125"/>
      <x:c r="L9" s="125"/>
      <x:c r="M9" s="125"/>
    </x:row>
    <x:row r="10" ht="15" hidden="0" customHeight="1">
      <x:c r="A10" s="143" t="str">
        <x:v>Commercial recommendation</x:v>
      </x:c>
      <x:c r="B10" s="143" t="str">
        <x:v>Commercial recommendation</x:v>
      </x:c>
      <x:c r="C10" s="143" t="str">
        <x:v>Commercial recommendation</x:v>
      </x:c>
      <x:c r="D10" s="143" t="str">
        <x:v>Commercial recommendation</x:v>
      </x:c>
      <x:c r="E10" s="143" t="str">
        <x:v>Commercial recommendation</x:v>
      </x:c>
      <x:c r="F10" s="143" t="str">
        <x:v>Commercial recommendation</x:v>
      </x:c>
      <x:c r="G10" s="143" t="str">
        <x:v>Commercial recommendation</x:v>
      </x:c>
      <x:c r="H10" s="143" t="str">
        <x:v>Commercial recommendation</x:v>
      </x:c>
      <x:c r="I10" s="143" t="str">
        <x:v>Commercial recommendation</x:v>
      </x:c>
      <x:c r="J10" s="143" t="str">
        <x:v>Commercial recommendation</x:v>
      </x:c>
      <x:c r="K10" s="143" t="str">
        <x:v>Commercial recommendation</x:v>
      </x:c>
      <x:c r="L10" s="143" t="str">
        <x:v>Commercial recommendation</x:v>
      </x:c>
      <x:c r="M10" s="143" t="str">
        <x:v>Commercial recommendation</x:v>
      </x:c>
    </x:row>
    <x:row r="11" ht="28" hidden="0" customHeight="1">
      <x:c r="A11" s="144" t="str">
        <x:v>1</x:v>
      </x:c>
      <x:c r="B11" s="124" t="str">
        <x:v>Do not price per API request or seat for compute recovery.</x:v>
      </x:c>
      <x:c r="C11" s="124" t="str"/>
      <x:c r="D11" s="124" t="str"/>
      <x:c r="E11" s="124" t="str"/>
      <x:c r="F11" s="124" t="str"/>
      <x:c r="G11" s="124" t="str"/>
      <x:c r="H11" s="124" t="str"/>
      <x:c r="I11" s="124" t="str"/>
      <x:c r="J11" s="124" t="str"/>
      <x:c r="K11" s="124" t="str"/>
      <x:c r="L11" s="124" t="str"/>
      <x:c r="M11" s="124" t="str"/>
    </x:row>
    <x:row r="12" ht="28" hidden="0" customHeight="1">
      <x:c r="A12" s="144" t="str">
        <x:v>2</x:v>
      </x:c>
      <x:c r="B12" s="124" t="str">
        <x:v>Use limits as anti-abuse and qualification guardrails, not as a claim that the app enforces billing today.</x:v>
      </x:c>
      <x:c r="C12" s="124" t="str"/>
      <x:c r="D12" s="124" t="str"/>
      <x:c r="E12" s="124" t="str"/>
      <x:c r="F12" s="124" t="str"/>
      <x:c r="G12" s="124" t="str"/>
      <x:c r="H12" s="124" t="str"/>
      <x:c r="I12" s="124" t="str"/>
      <x:c r="J12" s="124" t="str"/>
      <x:c r="K12" s="124" t="str"/>
      <x:c r="L12" s="124" t="str"/>
      <x:c r="M12" s="124" t="str"/>
    </x:row>
    <x:row r="13" ht="28" hidden="0" customHeight="1">
      <x:c r="A13" s="144" t="str">
        <x:v>3</x:v>
      </x:c>
      <x:c r="B13" s="124" t="str">
        <x:v>Keep the $750 guided pilot as a validated-sales hypothesis; its economics are driven by founder labor, not cloud compute.</x:v>
      </x:c>
      <x:c r="C13" s="124" t="str"/>
      <x:c r="D13" s="124" t="str"/>
      <x:c r="E13" s="124" t="str"/>
      <x:c r="F13" s="124" t="str"/>
      <x:c r="G13" s="124" t="str"/>
      <x:c r="H13" s="124" t="str"/>
      <x:c r="I13" s="124" t="str"/>
      <x:c r="J13" s="124" t="str"/>
      <x:c r="K13" s="124" t="str"/>
      <x:c r="L13" s="124" t="str"/>
      <x:c r="M13" s="124" t="str"/>
    </x:row>
    <x:row r="14" ht="28" hidden="0" customHeight="1">
      <x:c r="A14" s="144" t="str">
        <x:v>4</x:v>
      </x:c>
      <x:c r="B14" s="124" t="str">
        <x:v>Sell Advisor only after multi-client workflow and server-authoritative tenant boundaries are proven; until then quote manual advisor support separately.</x:v>
      </x:c>
      <x:c r="C14" s="124" t="str"/>
      <x:c r="D14" s="124" t="str"/>
      <x:c r="E14" s="124" t="str"/>
      <x:c r="F14" s="124" t="str"/>
      <x:c r="G14" s="124" t="str"/>
      <x:c r="H14" s="124" t="str"/>
      <x:c r="I14" s="124" t="str"/>
      <x:c r="J14" s="124" t="str"/>
      <x:c r="K14" s="124" t="str"/>
      <x:c r="L14" s="124" t="str"/>
      <x:c r="M14" s="124" t="str"/>
    </x:row>
    <x:row r="15" ht="28" hidden="0" customHeight="1">
      <x:c r="A15" s="144" t="str">
        <x:v>5</x:v>
      </x:c>
      <x:c r="B15" s="124" t="str">
        <x:v>Reprice or require a custom plan when sustained usage exceeds 3× a tier guardrail or requires dedicated capacity.</x:v>
      </x:c>
      <x:c r="C15" s="124" t="str"/>
      <x:c r="D15" s="124" t="str"/>
      <x:c r="E15" s="124" t="str"/>
      <x:c r="F15" s="124" t="str"/>
      <x:c r="G15" s="124" t="str"/>
      <x:c r="H15" s="124" t="str"/>
      <x:c r="I15" s="124" t="str"/>
      <x:c r="J15" s="124" t="str"/>
      <x:c r="K15" s="124" t="str"/>
      <x:c r="L15" s="124" t="str"/>
      <x:c r="M15" s="124" t="str"/>
    </x:row>
    <x:row r="16" ht="15" hidden="0" customHeight="1">
      <x:c r="A16" s="114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</x:row>
    <x:row r="17" ht="15" hidden="0" customHeight="1">
      <x:c r="A17" s="114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</x:row>
    <x:row r="18" ht="15" hidden="0" customHeight="1">
      <x:c r="A18" s="114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</x:row>
    <x:row r="19" ht="15" hidden="0" customHeight="1">
      <x:c r="A19" s="114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</x:row>
    <x:row r="20" ht="15" hidden="0" customHeight="1">
      <x:c r="A20" s="114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</x:row>
    <x:row r="21" ht="15" hidden="0" customHeight="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</x:row>
    <x:row r="22" ht="15" hidden="0" customHeight="1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</x:row>
    <x:row r="23" ht="15" hidden="0" customHeight="1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</x:row>
    <x:row r="24" ht="15" hidden="0" customHeight="1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</x:row>
  </x:sheetData>
  <x:mergeCells>
    <x:mergeCell ref="A1:M2"/>
    <x:mergeCell ref="A3:M3"/>
    <x:mergeCell ref="A10:M10"/>
    <x:mergeCell ref="B11:M11"/>
    <x:mergeCell ref="B12:M12"/>
    <x:mergeCell ref="B13:M13"/>
    <x:mergeCell ref="B14:M14"/>
    <x:mergeCell ref="B15:M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4" t="str">
        <x:v>Blended Scale Scenarios</x:v>
      </x:c>
      <x:c r="B1" s="4" t="str">
        <x:v>Blended Scale Scenarios</x:v>
      </x:c>
      <x:c r="C1" s="4" t="str">
        <x:v>Blended Scale Scenarios</x:v>
      </x:c>
      <x:c r="D1" s="4" t="str">
        <x:v>Blended Scale Scenarios</x:v>
      </x:c>
      <x:c r="E1" s="4" t="str">
        <x:v>Blended Scale Scenarios</x:v>
      </x:c>
      <x:c r="F1" s="4" t="str">
        <x:v>Blended Scale Scenarios</x:v>
      </x:c>
      <x:c r="G1" s="4" t="str">
        <x:v>Blended Scale Scenarios</x:v>
      </x:c>
      <x:c r="H1" s="4" t="str">
        <x:v>Blended Scale Scenarios</x:v>
      </x:c>
      <x:c r="I1" s="4" t="str">
        <x:v>Blended Scale Scenarios</x:v>
      </x:c>
      <x:c r="J1" s="4" t="str">
        <x:v>Blended Scale Scenarios</x:v>
      </x:c>
      <x:c r="K1" s="4" t="str">
        <x:v>Blended Scale Scenarios</x:v>
      </x:c>
    </x:row>
    <x:row r="2" ht="30" customHeight="1">
      <x:c r="A2" s="4" t="str">
        <x:v>Blended Scale Scenarios</x:v>
      </x:c>
      <x:c r="B2" s="4" t="str">
        <x:v>Blended Scale Scenarios</x:v>
      </x:c>
      <x:c r="C2" s="4" t="str">
        <x:v>Blended Scale Scenarios</x:v>
      </x:c>
      <x:c r="D2" s="4" t="str">
        <x:v>Blended Scale Scenarios</x:v>
      </x:c>
      <x:c r="E2" s="4" t="str">
        <x:v>Blended Scale Scenarios</x:v>
      </x:c>
      <x:c r="F2" s="4" t="str">
        <x:v>Blended Scale Scenarios</x:v>
      </x:c>
      <x:c r="G2" s="4" t="str">
        <x:v>Blended Scale Scenarios</x:v>
      </x:c>
      <x:c r="H2" s="4" t="str">
        <x:v>Blended Scale Scenarios</x:v>
      </x:c>
      <x:c r="I2" s="4" t="str">
        <x:v>Blended Scale Scenarios</x:v>
      </x:c>
      <x:c r="J2" s="4" t="str">
        <x:v>Blended Scale Scenarios</x:v>
      </x:c>
      <x:c r="K2" s="4" t="str">
        <x:v>Blended Scale Scenarios</x:v>
      </x:c>
    </x:row>
    <x:row r="3" ht="15" hidden="0" customHeight="1">
      <x:c r="A3" s="113" t="str">
        <x:v>Mix: 80% Starter/lightweight and 20% Team/heavy. Advisor revenue is excluded. Capacity-block assumptions are deliberately visible and must be replaced by load-test evidence.</x:v>
      </x:c>
      <x:c r="B3" s="113" t="str">
        <x:v>Mix: 80% Starter/lightweight and 20% Team/heavy. Advisor revenue is excluded. Capacity-block assumptions are deliberately visible and must be replaced by load-test evidence.</x:v>
      </x:c>
      <x:c r="C3" s="113" t="str">
        <x:v>Mix: 80% Starter/lightweight and 20% Team/heavy. Advisor revenue is excluded. Capacity-block assumptions are deliberately visible and must be replaced by load-test evidence.</x:v>
      </x:c>
      <x:c r="D3" s="113" t="str">
        <x:v>Mix: 80% Starter/lightweight and 20% Team/heavy. Advisor revenue is excluded. Capacity-block assumptions are deliberately visible and must be replaced by load-test evidence.</x:v>
      </x:c>
      <x:c r="E3" s="113" t="str">
        <x:v>Mix: 80% Starter/lightweight and 20% Team/heavy. Advisor revenue is excluded. Capacity-block assumptions are deliberately visible and must be replaced by load-test evidence.</x:v>
      </x:c>
      <x:c r="F3" s="113" t="str">
        <x:v>Mix: 80% Starter/lightweight and 20% Team/heavy. Advisor revenue is excluded. Capacity-block assumptions are deliberately visible and must be replaced by load-test evidence.</x:v>
      </x:c>
      <x:c r="G3" s="113" t="str">
        <x:v>Mix: 80% Starter/lightweight and 20% Team/heavy. Advisor revenue is excluded. Capacity-block assumptions are deliberately visible and must be replaced by load-test evidence.</x:v>
      </x:c>
      <x:c r="H3" s="113" t="str">
        <x:v>Mix: 80% Starter/lightweight and 20% Team/heavy. Advisor revenue is excluded. Capacity-block assumptions are deliberately visible and must be replaced by load-test evidence.</x:v>
      </x:c>
      <x:c r="I3" s="113" t="str">
        <x:v>Mix: 80% Starter/lightweight and 20% Team/heavy. Advisor revenue is excluded. Capacity-block assumptions are deliberately visible and must be replaced by load-test evidence.</x:v>
      </x:c>
      <x:c r="J3" s="113" t="str">
        <x:v>Mix: 80% Starter/lightweight and 20% Team/heavy. Advisor revenue is excluded. Capacity-block assumptions are deliberately visible and must be replaced by load-test evidence.</x:v>
      </x:c>
      <x:c r="K3" s="113" t="str">
        <x:v>Mix: 80% Starter/lightweight and 20% Team/heavy. Advisor revenue is excluded. Capacity-block assumptions are deliberately visible and must be replaced by load-test evidence.</x:v>
      </x:c>
    </x:row>
    <x:row r="4" ht="15" hidden="0" customHeight="1">
      <x:c r="A4" s="114"/>
      <x:c r="B4" s="114"/>
      <x:c r="C4" s="114"/>
      <x:c r="D4" s="114"/>
      <x:c r="E4" s="114"/>
      <x:c r="F4" s="114"/>
      <x:c r="G4" s="114"/>
      <x:c r="H4" s="114"/>
      <x:c r="I4" s="114"/>
      <x:c r="J4" s="114"/>
      <x:c r="K4" s="114"/>
    </x:row>
    <x:row r="5" ht="24" hidden="0" customHeight="1">
      <x:c r="A5" s="17" t="str">
        <x:v>Tenants</x:v>
      </x:c>
      <x:c r="B5" s="18" t="str">
        <x:v>Weighted units</x:v>
      </x:c>
      <x:c r="C5" s="18" t="str">
        <x:v>Capacity blocks</x:v>
      </x:c>
      <x:c r="D5" s="18" t="str">
        <x:v>Platform fixed cost</x:v>
      </x:c>
      <x:c r="E5" s="18" t="str">
        <x:v>Blended ARPU</x:v>
      </x:c>
      <x:c r="F5" s="18" t="str">
        <x:v>MRR</x:v>
      </x:c>
      <x:c r="G5" s="18" t="str">
        <x:v>Current variable cost</x:v>
      </x:c>
      <x:c r="H5" s="18" t="str">
        <x:v>Future AI cost</x:v>
      </x:c>
      <x:c r="I5" s="18" t="str">
        <x:v>Current compute GM</x:v>
      </x:c>
      <x:c r="J5" s="18" t="str">
        <x:v>Future compute GM</x:v>
      </x:c>
      <x:c r="K5" s="19" t="str">
        <x:v>Current compute $/tenant</x:v>
      </x:c>
    </x:row>
    <x:row r="6" ht="15" hidden="0" customHeight="1">
      <x:c r="A6" s="145" t="n">
        <x:v>5</x:v>
      </x:c>
      <x:c r="B6" s="146" t="n">
        <x:f>A6*((1-'Assumptions'!$B$27)*'Assumptions'!$B$28+'Assumptions'!$B$27*'Assumptions'!$B$29)</x:f>
        <x:v>10</x:v>
      </x:c>
      <x:c r="C6" s="146" t="n">
        <x:f>MAX(1,ROUNDUP(B6/'Assumptions'!$B$30,0))</x:f>
        <x:v>1</x:v>
      </x:c>
      <x:c r="D6" s="147" t="n">
        <x:f>'Assumptions'!$E$15+(C6-1)*'Assumptions'!$B$31</x:f>
        <x:v>284.312</x:v>
      </x:c>
      <x:c r="E6" s="147" t="n">
        <x:f>(1-'Assumptions'!$B$27)*'Assumptions'!$B$33+'Assumptions'!$B$27*'Assumptions'!$B$34</x:f>
        <x:v>199</x:v>
      </x:c>
      <x:c r="F6" s="147" t="n">
        <x:f>A6*E6</x:f>
        <x:v>995</x:v>
      </x:c>
      <x:c r="G6" s="147" t="n">
        <x:f>A6*((1-'Assumptions'!$B$27)*('Unit Economics'!B12-'Unit Economics'!B6)+'Assumptions'!$B$27*('Unit Economics'!C12-'Unit Economics'!C6))</x:f>
        <x:v>3.6173129999999922</x:v>
      </x:c>
      <x:c r="H6" s="147" t="n">
        <x:f>A6*((1-'Assumptions'!$B$27)*'Unit Economics'!B13+'Assumptions'!$B$27*'Unit Economics'!C13)</x:f>
        <x:v>4.890000000000001</x:v>
      </x:c>
      <x:c r="I6" s="148" t="n">
        <x:f>1-((D6+G6)/F6)</x:f>
        <x:v>0.7106238060301509</x:v>
      </x:c>
      <x:c r="J6" s="148" t="n">
        <x:f>1-((D6+G6+H6)/F6)</x:f>
        <x:v>0.7057092331658292</x:v>
      </x:c>
      <x:c r="K6" s="147" t="n">
        <x:f>(D6+G6)/A6</x:f>
        <x:v>57.5858626</x:v>
      </x:c>
    </x:row>
    <x:row r="7" ht="15" hidden="0" customHeight="1">
      <x:c r="A7" s="145" t="n">
        <x:v>10</x:v>
      </x:c>
      <x:c r="B7" s="146" t="n">
        <x:f>A7*((1-'Assumptions'!$B$27)*'Assumptions'!$B$28+'Assumptions'!$B$27*'Assumptions'!$B$29)</x:f>
        <x:v>20</x:v>
      </x:c>
      <x:c r="C7" s="146" t="n">
        <x:f>MAX(1,ROUNDUP(B7/'Assumptions'!$B$30,0))</x:f>
        <x:v>1</x:v>
      </x:c>
      <x:c r="D7" s="147" t="n">
        <x:f>'Assumptions'!$E$15+(C7-1)*'Assumptions'!$B$31</x:f>
        <x:v>284.312</x:v>
      </x:c>
      <x:c r="E7" s="147" t="n">
        <x:f>(1-'Assumptions'!$B$27)*'Assumptions'!$B$33+'Assumptions'!$B$27*'Assumptions'!$B$34</x:f>
        <x:v>199</x:v>
      </x:c>
      <x:c r="F7" s="147" t="n">
        <x:f>A7*E7</x:f>
        <x:v>1990</x:v>
      </x:c>
      <x:c r="G7" s="147" t="n">
        <x:f>A7*((1-'Assumptions'!$B$27)*('Unit Economics'!B12-'Unit Economics'!B6)+'Assumptions'!$B$27*('Unit Economics'!C12-'Unit Economics'!C6))</x:f>
        <x:v>7.2346259999999845</x:v>
      </x:c>
      <x:c r="H7" s="147" t="n">
        <x:f>A7*((1-'Assumptions'!$B$27)*'Unit Economics'!B13+'Assumptions'!$B$27*'Unit Economics'!C13)</x:f>
        <x:v>9.780000000000001</x:v>
      </x:c>
      <x:c r="I7" s="148" t="n">
        <x:f>1-((D7+G7)/F7)</x:f>
        <x:v>0.8534941577889448</x:v>
      </x:c>
      <x:c r="J7" s="148" t="n">
        <x:f>1-((D7+G7+H7)/F7)</x:f>
        <x:v>0.8485795849246232</x:v>
      </x:c>
      <x:c r="K7" s="147" t="n">
        <x:f>(D7+G7)/A7</x:f>
        <x:v>29.1546626</x:v>
      </x:c>
    </x:row>
    <x:row r="8" ht="15" hidden="0" customHeight="1">
      <x:c r="A8" s="145" t="n">
        <x:v>25</x:v>
      </x:c>
      <x:c r="B8" s="146" t="n">
        <x:f>A8*((1-'Assumptions'!$B$27)*'Assumptions'!$B$28+'Assumptions'!$B$27*'Assumptions'!$B$29)</x:f>
        <x:v>50</x:v>
      </x:c>
      <x:c r="C8" s="146" t="n">
        <x:f>MAX(1,ROUNDUP(B8/'Assumptions'!$B$30,0))</x:f>
        <x:v>1</x:v>
      </x:c>
      <x:c r="D8" s="147" t="n">
        <x:f>'Assumptions'!$E$15+(C8-1)*'Assumptions'!$B$31</x:f>
        <x:v>284.312</x:v>
      </x:c>
      <x:c r="E8" s="147" t="n">
        <x:f>(1-'Assumptions'!$B$27)*'Assumptions'!$B$33+'Assumptions'!$B$27*'Assumptions'!$B$34</x:f>
        <x:v>199</x:v>
      </x:c>
      <x:c r="F8" s="147" t="n">
        <x:f>A8*E8</x:f>
        <x:v>4975</x:v>
      </x:c>
      <x:c r="G8" s="147" t="n">
        <x:f>A8*((1-'Assumptions'!$B$27)*('Unit Economics'!B12-'Unit Economics'!B6)+'Assumptions'!$B$27*('Unit Economics'!C12-'Unit Economics'!C6))</x:f>
        <x:v>18.08656499999996</x:v>
      </x:c>
      <x:c r="H8" s="147" t="n">
        <x:f>A8*((1-'Assumptions'!$B$27)*'Unit Economics'!B13+'Assumptions'!$B$27*'Unit Economics'!C13)</x:f>
        <x:v>24.450000000000003</x:v>
      </x:c>
      <x:c r="I8" s="148" t="n">
        <x:f>1-((D8+G8)/F8)</x:f>
        <x:v>0.9392163688442211</x:v>
      </x:c>
      <x:c r="J8" s="148" t="n">
        <x:f>1-((D8+G8+H8)/F8)</x:f>
        <x:v>0.9343017959798995</x:v>
      </x:c>
      <x:c r="K8" s="147" t="n">
        <x:f>(D8+G8)/A8</x:f>
        <x:v>12.095942599999999</x:v>
      </x:c>
    </x:row>
    <x:row r="9" ht="15" hidden="0" customHeight="1">
      <x:c r="A9" s="145" t="n">
        <x:v>50</x:v>
      </x:c>
      <x:c r="B9" s="146" t="n">
        <x:f>A9*((1-'Assumptions'!$B$27)*'Assumptions'!$B$28+'Assumptions'!$B$27*'Assumptions'!$B$29)</x:f>
        <x:v>100</x:v>
      </x:c>
      <x:c r="C9" s="146" t="n">
        <x:f>MAX(1,ROUNDUP(B9/'Assumptions'!$B$30,0))</x:f>
        <x:v>2</x:v>
      </x:c>
      <x:c r="D9" s="147" t="n">
        <x:f>'Assumptions'!$E$15+(C9-1)*'Assumptions'!$B$31</x:f>
        <x:v>459.312</x:v>
      </x:c>
      <x:c r="E9" s="147" t="n">
        <x:f>(1-'Assumptions'!$B$27)*'Assumptions'!$B$33+'Assumptions'!$B$27*'Assumptions'!$B$34</x:f>
        <x:v>199</x:v>
      </x:c>
      <x:c r="F9" s="147" t="n">
        <x:f>A9*E9</x:f>
        <x:v>9950</x:v>
      </x:c>
      <x:c r="G9" s="147" t="n">
        <x:f>A9*((1-'Assumptions'!$B$27)*('Unit Economics'!B12-'Unit Economics'!B6)+'Assumptions'!$B$27*('Unit Economics'!C12-'Unit Economics'!C6))</x:f>
        <x:v>36.17312999999992</x:v>
      </x:c>
      <x:c r="H9" s="147" t="n">
        <x:f>A9*((1-'Assumptions'!$B$27)*'Unit Economics'!B13+'Assumptions'!$B$27*'Unit Economics'!C13)</x:f>
        <x:v>48.900000000000006</x:v>
      </x:c>
      <x:c r="I9" s="148" t="n">
        <x:f>1-((D9+G9)/F9)</x:f>
        <x:v>0.9502024994974875</x:v>
      </x:c>
      <x:c r="J9" s="148" t="n">
        <x:f>1-((D9+G9+H9)/F9)</x:f>
        <x:v>0.9452879266331659</x:v>
      </x:c>
      <x:c r="K9" s="147" t="n">
        <x:f>(D9+G9)/A9</x:f>
        <x:v>9.909702599999997</x:v>
      </x:c>
    </x:row>
    <x:row r="10" ht="15" hidden="0" customHeight="1">
      <x:c r="A10" s="145" t="n">
        <x:v>100</x:v>
      </x:c>
      <x:c r="B10" s="146" t="n">
        <x:f>A10*((1-'Assumptions'!$B$27)*'Assumptions'!$B$28+'Assumptions'!$B$27*'Assumptions'!$B$29)</x:f>
        <x:v>200</x:v>
      </x:c>
      <x:c r="C10" s="146" t="n">
        <x:f>MAX(1,ROUNDUP(B10/'Assumptions'!$B$30,0))</x:f>
        <x:v>4</x:v>
      </x:c>
      <x:c r="D10" s="147" t="n">
        <x:f>'Assumptions'!$E$15+(C10-1)*'Assumptions'!$B$31</x:f>
        <x:v>809.312</x:v>
      </x:c>
      <x:c r="E10" s="147" t="n">
        <x:f>(1-'Assumptions'!$B$27)*'Assumptions'!$B$33+'Assumptions'!$B$27*'Assumptions'!$B$34</x:f>
        <x:v>199</x:v>
      </x:c>
      <x:c r="F10" s="147" t="n">
        <x:f>A10*E10</x:f>
        <x:v>19900</x:v>
      </x:c>
      <x:c r="G10" s="147" t="n">
        <x:f>A10*((1-'Assumptions'!$B$27)*('Unit Economics'!B12-'Unit Economics'!B6)+'Assumptions'!$B$27*('Unit Economics'!C12-'Unit Economics'!C6))</x:f>
        <x:v>72.34625999999984</x:v>
      </x:c>
      <x:c r="H10" s="147" t="n">
        <x:f>A10*((1-'Assumptions'!$B$27)*'Unit Economics'!B13+'Assumptions'!$B$27*'Unit Economics'!C13)</x:f>
        <x:v>97.80000000000001</x:v>
      </x:c>
      <x:c r="I10" s="148" t="n">
        <x:f>1-((D10+G10)/F10)</x:f>
        <x:v>0.9556955648241207</x:v>
      </x:c>
      <x:c r="J10" s="148" t="n">
        <x:f>1-((D10+G10+H10)/F10)</x:f>
        <x:v>0.950780991959799</x:v>
      </x:c>
      <x:c r="K10" s="147" t="n">
        <x:f>(D10+G10)/A10</x:f>
        <x:v>8.816582599999998</x:v>
      </x:c>
    </x:row>
    <x:row r="11" ht="15" hidden="0" customHeight="1">
      <x:c r="A11" s="145" t="n">
        <x:v>250</x:v>
      </x:c>
      <x:c r="B11" s="146" t="n">
        <x:f>A11*((1-'Assumptions'!$B$27)*'Assumptions'!$B$28+'Assumptions'!$B$27*'Assumptions'!$B$29)</x:f>
        <x:v>500</x:v>
      </x:c>
      <x:c r="C11" s="146" t="n">
        <x:f>MAX(1,ROUNDUP(B11/'Assumptions'!$B$30,0))</x:f>
        <x:v>10</x:v>
      </x:c>
      <x:c r="D11" s="147" t="n">
        <x:f>'Assumptions'!$E$15+(C11-1)*'Assumptions'!$B$31</x:f>
        <x:v>1859.312</x:v>
      </x:c>
      <x:c r="E11" s="147" t="n">
        <x:f>(1-'Assumptions'!$B$27)*'Assumptions'!$B$33+'Assumptions'!$B$27*'Assumptions'!$B$34</x:f>
        <x:v>199</x:v>
      </x:c>
      <x:c r="F11" s="147" t="n">
        <x:f>A11*E11</x:f>
        <x:v>49750</x:v>
      </x:c>
      <x:c r="G11" s="147" t="n">
        <x:f>A11*((1-'Assumptions'!$B$27)*('Unit Economics'!B12-'Unit Economics'!B6)+'Assumptions'!$B$27*('Unit Economics'!C12-'Unit Economics'!C6))</x:f>
        <x:v>180.8656499999996</x:v>
      </x:c>
      <x:c r="H11" s="147" t="n">
        <x:f>A11*((1-'Assumptions'!$B$27)*'Unit Economics'!B13+'Assumptions'!$B$27*'Unit Economics'!C13)</x:f>
        <x:v>244.50000000000003</x:v>
      </x:c>
      <x:c r="I11" s="148" t="n">
        <x:f>1-((D11+G11)/F11)</x:f>
        <x:v>0.9589914040201005</x:v>
      </x:c>
      <x:c r="J11" s="148" t="n">
        <x:f>1-((D11+G11+H11)/F11)</x:f>
        <x:v>0.9540768311557789</x:v>
      </x:c>
      <x:c r="K11" s="147" t="n">
        <x:f>(D11+G11)/A11</x:f>
        <x:v>8.160710599999998</x:v>
      </x:c>
    </x:row>
    <x:row r="12" ht="15" hidden="0" customHeight="1">
      <x:c r="A12" s="114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</x:row>
    <x:row r="13" ht="15" hidden="0" customHeight="1">
      <x:c r="A13" s="149" t="str">
        <x:v>Interpretation: compute-only gross margin crosses the 85% target at roughly 10 tenants under the modeled mix. This is not total gross margin; customer success, expert review, founder delivery, and support are excluded.</x:v>
      </x:c>
      <x:c r="B13" s="149" t="str">
        <x:v>Interpretation: compute-only gross margin crosses the 85% target at roughly 10 tenants under the modeled mix. This is not total gross margin; customer success, expert review, founder delivery, and support are excluded.</x:v>
      </x:c>
      <x:c r="C13" s="149" t="str">
        <x:v>Interpretation: compute-only gross margin crosses the 85% target at roughly 10 tenants under the modeled mix. This is not total gross margin; customer success, expert review, founder delivery, and support are excluded.</x:v>
      </x:c>
      <x:c r="D13" s="149" t="str">
        <x:v>Interpretation: compute-only gross margin crosses the 85% target at roughly 10 tenants under the modeled mix. This is not total gross margin; customer success, expert review, founder delivery, and support are excluded.</x:v>
      </x:c>
      <x:c r="E13" s="149" t="str">
        <x:v>Interpretation: compute-only gross margin crosses the 85% target at roughly 10 tenants under the modeled mix. This is not total gross margin; customer success, expert review, founder delivery, and support are excluded.</x:v>
      </x:c>
      <x:c r="F13" s="149" t="str">
        <x:v>Interpretation: compute-only gross margin crosses the 85% target at roughly 10 tenants under the modeled mix. This is not total gross margin; customer success, expert review, founder delivery, and support are excluded.</x:v>
      </x:c>
      <x:c r="G13" s="149" t="str">
        <x:v>Interpretation: compute-only gross margin crosses the 85% target at roughly 10 tenants under the modeled mix. This is not total gross margin; customer success, expert review, founder delivery, and support are excluded.</x:v>
      </x:c>
      <x:c r="H13" s="149" t="str">
        <x:v>Interpretation: compute-only gross margin crosses the 85% target at roughly 10 tenants under the modeled mix. This is not total gross margin; customer success, expert review, founder delivery, and support are excluded.</x:v>
      </x:c>
      <x:c r="I13" s="149" t="str">
        <x:v>Interpretation: compute-only gross margin crosses the 85% target at roughly 10 tenants under the modeled mix. This is not total gross margin; customer success, expert review, founder delivery, and support are excluded.</x:v>
      </x:c>
      <x:c r="J13" s="149" t="str">
        <x:v>Interpretation: compute-only gross margin crosses the 85% target at roughly 10 tenants under the modeled mix. This is not total gross margin; customer success, expert review, founder delivery, and support are excluded.</x:v>
      </x:c>
      <x:c r="K13" s="149" t="str">
        <x:v>Interpretation: compute-only gross margin crosses the 85% target at roughly 10 tenants under the modeled mix. This is not total gross margin; customer success, expert review, founder delivery, and support are excluded.</x:v>
      </x:c>
    </x:row>
    <x:row r="14" ht="15" hidden="0" customHeight="1">
      <x:c r="A14" s="114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</x:row>
    <x:row r="15" ht="15" hidden="0" customHeight="1">
      <x:c r="A15" s="114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</x:row>
    <x:row r="16" ht="15" hidden="0" customHeight="1">
      <x:c r="A16" s="114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</x:row>
    <x:row r="17" ht="15" hidden="0" customHeight="1">
      <x:c r="A17" s="114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</x:row>
    <x:row r="18" ht="15" hidden="0" customHeight="1">
      <x:c r="A18" s="114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</x:row>
    <x:row r="19" ht="15" hidden="0" customHeight="1">
      <x:c r="A19" s="114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</x:row>
    <x:row r="20" ht="15" hidden="0" customHeight="1">
      <x:c r="A20" s="114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</x:row>
    <x:row r="21" ht="15" hidden="0" customHeight="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</x:row>
    <x:row r="22" ht="15" hidden="0" customHeight="1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</x:row>
    <x:row r="23" ht="15" hidden="0" customHeight="1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</x:row>
    <x:row r="24" ht="15" hidden="0" customHeight="1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</x:row>
  </x:sheetData>
  <x:mergeCells>
    <x:mergeCell ref="A1:K2"/>
    <x:mergeCell ref="A3:K3"/>
    <x:mergeCell ref="A13:K13"/>
  </x:mergeCells>
  <x:pageMargins left="0.7" right="0.7" top="0.75" bottom="0.75" header="0.3" footer="0.3"/>
  <x:drawing xmlns:r="http://schemas.openxmlformats.org/officeDocument/2006/relationships" r:id="R4130f40a34a442e4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2" hidden="0" customWidth="1"/>
    <x:col min="7" max="7" width="30" hidden="0" customWidth="1"/>
  </x:cols>
  <x:sheetData>
    <x:row r="1" ht="30" customHeight="1">
      <x:c r="A1" s="4" t="str">
        <x:v>Model Checks</x:v>
      </x:c>
      <x:c r="B1" s="4" t="str">
        <x:v>Model Checks</x:v>
      </x:c>
      <x:c r="C1" s="4" t="str">
        <x:v>Model Checks</x:v>
      </x:c>
      <x:c r="D1" s="4" t="str">
        <x:v>Model Checks</x:v>
      </x:c>
      <x:c r="E1" s="4" t="str">
        <x:v>Model Checks</x:v>
      </x:c>
      <x:c r="F1" s="4" t="str">
        <x:v>Model Checks</x:v>
      </x:c>
      <x:c r="G1" s="4" t="str">
        <x:v>Model Checks</x:v>
      </x:c>
    </x:row>
    <x:row r="2" ht="30" customHeight="1">
      <x:c r="A2" s="4" t="str">
        <x:v>Model Checks</x:v>
      </x:c>
      <x:c r="B2" s="4" t="str">
        <x:v>Model Checks</x:v>
      </x:c>
      <x:c r="C2" s="4" t="str">
        <x:v>Model Checks</x:v>
      </x:c>
      <x:c r="D2" s="4" t="str">
        <x:v>Model Checks</x:v>
      </x:c>
      <x:c r="E2" s="4" t="str">
        <x:v>Model Checks</x:v>
      </x:c>
      <x:c r="F2" s="4" t="str">
        <x:v>Model Checks</x:v>
      </x:c>
      <x:c r="G2" s="4" t="str">
        <x:v>Model Checks</x:v>
      </x:c>
    </x:row>
    <x:row r="3" ht="15" hidden="0" customHeight="1">
      <x:c r="A3" s="114"/>
      <x:c r="B3" s="114"/>
      <x:c r="C3" s="114"/>
      <x:c r="D3" s="114"/>
      <x:c r="E3" s="114"/>
      <x:c r="F3" s="114"/>
      <x:c r="G3" s="114"/>
    </x:row>
    <x:row r="4" ht="15" hidden="0" customHeight="1">
      <x:c r="A4" s="17" t="str">
        <x:v>Check</x:v>
      </x:c>
      <x:c r="B4" s="18" t="str">
        <x:v>Actual</x:v>
      </x:c>
      <x:c r="C4" s="18" t="str">
        <x:v>Expected</x:v>
      </x:c>
      <x:c r="D4" s="18" t="str">
        <x:v>Difference</x:v>
      </x:c>
      <x:c r="E4" s="18" t="str">
        <x:v>Tolerance</x:v>
      </x:c>
      <x:c r="F4" s="18" t="str">
        <x:v>Status</x:v>
      </x:c>
      <x:c r="G4" s="19" t="str">
        <x:v>Where to fix</x:v>
      </x:c>
    </x:row>
    <x:row r="5" ht="15" hidden="0" customHeight="1">
      <x:c r="A5" s="125" t="str">
        <x:v>Fixed cost total ties</x:v>
      </x:c>
      <x:c r="B5" s="136" t="n">
        <x:f>'Assumptions'!E15</x:f>
        <x:v>284.312</x:v>
      </x:c>
      <x:c r="C5" s="136" t="n">
        <x:f>SUM('Assumptions'!E6:E14)</x:f>
        <x:v>284.312</x:v>
      </x:c>
      <x:c r="D5" s="136" t="n">
        <x:f>B5-C5</x:f>
        <x:v>0</x:v>
      </x:c>
      <x:c r="E5" s="136" t="n">
        <x:f>0.01</x:f>
        <x:v>0.01</x:v>
      </x:c>
      <x:c r="F5" s="125" t="str">
        <x:f>IF(ABS(D5)&lt;=E5,"OK","FAIL")</x:f>
        <x:v>OK</x:v>
      </x:c>
      <x:c r="G5" s="125" t="str">
        <x:v>Assumptions!E6:E15</x:v>
      </x:c>
    </x:row>
    <x:row r="6" ht="15" hidden="0" customHeight="1">
      <x:c r="A6" s="125" t="str">
        <x:v>Reference weighted units equals one capacity block</x:v>
      </x:c>
      <x:c r="B6" s="150" t="n">
        <x:f>'Assumptions'!B26*((1-'Assumptions'!B27)*'Assumptions'!B28+'Assumptions'!B27*'Assumptions'!B29)</x:f>
        <x:v>50</x:v>
      </x:c>
      <x:c r="C6" s="150" t="n">
        <x:f>'Assumptions'!B30</x:f>
        <x:v>50</x:v>
      </x:c>
      <x:c r="D6" s="150" t="n">
        <x:f>B6-C6</x:f>
        <x:v>0</x:v>
      </x:c>
      <x:c r="E6" s="150" t="n">
        <x:f>0</x:f>
        <x:v>0</x:v>
      </x:c>
      <x:c r="F6" s="125" t="str">
        <x:f>IF(ABS(D6)&lt;=E6,"OK","FAIL")</x:f>
        <x:v>OK</x:v>
      </x:c>
      <x:c r="G6" s="125" t="str">
        <x:v>Assumptions!B26:B30</x:v>
      </x:c>
    </x:row>
    <x:row r="7" ht="15" hidden="0" customHeight="1">
      <x:c r="A7" s="125" t="str">
        <x:v>Pricing exceeds future compute cost</x:v>
      </x:c>
      <x:c r="B7" s="136" t="n">
        <x:f>MIN('Pricing'!C6-('Pricing'!K6+'Pricing'!L6),'Pricing'!C7-('Pricing'!K7+'Pricing'!L7),'Pricing'!C8-('Pricing'!K8+'Pricing'!L8))</x:f>
        <x:v>142.9075205</x:v>
      </x:c>
      <x:c r="C7" s="136" t="n">
        <x:f>0</x:f>
        <x:v>0</x:v>
      </x:c>
      <x:c r="D7" s="136" t="n">
        <x:f>B7-C7</x:f>
        <x:v>142.9075205</x:v>
      </x:c>
      <x:c r="E7" s="136" t="n">
        <x:f>0</x:f>
        <x:v>0</x:v>
      </x:c>
      <x:c r="F7" s="125" t="str">
        <x:f>IF(B7&gt;C7,"OK","FAIL")</x:f>
        <x:v>OK</x:v>
      </x:c>
      <x:c r="G7" s="125" t="str">
        <x:v>Pricing!C6:M8</x:v>
      </x:c>
    </x:row>
    <x:row r="8" ht="15" hidden="0" customHeight="1">
      <x:c r="A8" s="125" t="str">
        <x:v>Current gross margins are within 0%–100%</x:v>
      </x:c>
      <x:c r="B8" s="151" t="n">
        <x:f>MIN('Scale Scenarios'!I6:I11)</x:f>
        <x:v>0.7106238060301509</x:v>
      </x:c>
      <x:c r="C8" s="151" t="n">
        <x:f>0</x:f>
        <x:v>0</x:v>
      </x:c>
      <x:c r="D8" s="151" t="n">
        <x:f>B8-C8</x:f>
        <x:v>0.7106238060301509</x:v>
      </x:c>
      <x:c r="E8" s="136" t="n">
        <x:f>0</x:f>
        <x:v>0</x:v>
      </x:c>
      <x:c r="F8" s="125" t="str">
        <x:f>IF(AND(B8&gt;=0,MAX('Scale Scenarios'!I6:I11)&lt;=1),"OK","FAIL")</x:f>
        <x:v>OK</x:v>
      </x:c>
      <x:c r="G8" s="125" t="str">
        <x:v>Scale Scenarios!I6:I11</x:v>
      </x:c>
    </x:row>
    <x:row r="9" ht="15" hidden="0" customHeight="1">
      <x:c r="A9" s="125" t="str">
        <x:v>Future gross margins are within 0%–100%</x:v>
      </x:c>
      <x:c r="B9" s="151" t="n">
        <x:f>MIN('Scale Scenarios'!J6:J11)</x:f>
        <x:v>0.7057092331658292</x:v>
      </x:c>
      <x:c r="C9" s="151" t="n">
        <x:f>0</x:f>
        <x:v>0</x:v>
      </x:c>
      <x:c r="D9" s="151" t="n">
        <x:f>B9-C9</x:f>
        <x:v>0.7057092331658292</x:v>
      </x:c>
      <x:c r="E9" s="136" t="n">
        <x:f>0</x:f>
        <x:v>0</x:v>
      </x:c>
      <x:c r="F9" s="125" t="str">
        <x:f>IF(AND(B9&gt;=0,MAX('Scale Scenarios'!J6:J11)&lt;=1),"OK","FAIL")</x:f>
        <x:v>OK</x:v>
      </x:c>
      <x:c r="G9" s="125" t="str">
        <x:v>Scale Scenarios!J6:J11</x:v>
      </x:c>
    </x:row>
    <x:row r="10" ht="15" hidden="0" customHeight="1">
      <x:c r="A10" s="125" t="str">
        <x:v>Heavy compute cost exceeds light</x:v>
      </x:c>
      <x:c r="B10" s="136" t="n">
        <x:f>'Unit Economics'!C14</x:f>
        <x:v>40.99979499999999</x:v>
      </x:c>
      <x:c r="C10" s="136" t="n">
        <x:f>'Unit Economics'!B14</x:f>
        <x:v>6.0924795000000005</x:v>
      </x:c>
      <x:c r="D10" s="136" t="n">
        <x:f>B10-C10</x:f>
        <x:v>34.90731549999999</x:v>
      </x:c>
      <x:c r="E10" s="136" t="n">
        <x:f>0</x:f>
        <x:v>0</x:v>
      </x:c>
      <x:c r="F10" s="125" t="str">
        <x:f>IF(B10&gt;C10,"OK","FAIL")</x:f>
        <x:v>OK</x:v>
      </x:c>
      <x:c r="G10" s="125" t="str">
        <x:v>Unit Economics!B14:C14</x:v>
      </x:c>
    </x:row>
    <x:row r="11" ht="15" hidden="0" customHeight="1">
      <x:c r="A11" s="125" t="str">
        <x:v>AI is labeled future-state</x:v>
      </x:c>
      <x:c r="B11" s="150" t="n">
        <x:f>COUNTIF('Unit Economics'!E6:E15,"Future")</x:f>
        <x:v>2</x:v>
      </x:c>
      <x:c r="C11" s="150" t="n">
        <x:f>2</x:f>
        <x:v>2</x:v>
      </x:c>
      <x:c r="D11" s="150" t="n">
        <x:f>B11-C11</x:f>
        <x:v>0</x:v>
      </x:c>
      <x:c r="E11" s="150" t="n">
        <x:f>0</x:f>
        <x:v>0</x:v>
      </x:c>
      <x:c r="F11" s="125" t="str">
        <x:f>IF(B11=C11,"OK","FAIL")</x:f>
        <x:v>OK</x:v>
      </x:c>
      <x:c r="G11" s="125" t="str">
        <x:v>Unit Economics!E6:E15</x:v>
      </x:c>
    </x:row>
    <x:row r="12" ht="15" hidden="0" customHeight="1">
      <x:c r="A12" s="125"/>
      <x:c r="B12" s="125"/>
      <x:c r="C12" s="125"/>
      <x:c r="D12" s="125"/>
      <x:c r="E12" s="125"/>
      <x:c r="F12" s="125"/>
      <x:c r="G12" s="125"/>
    </x:row>
    <x:row r="13" ht="15.600000381469727" hidden="0" customHeight="1">
      <x:c r="A13" s="152" t="str">
        <x:v>MODEL STATUS</x:v>
      </x:c>
      <x:c r="B13" s="152" t="str">
        <x:f>IF(COUNTIF(F5:F11,"FAIL")=0,"PASS","FAIL")</x:f>
        <x:v>PASS</x:v>
      </x:c>
      <x:c r="C13" s="125"/>
      <x:c r="D13" s="125"/>
      <x:c r="E13" s="125"/>
      <x:c r="F13" s="125"/>
      <x:c r="G13" s="125"/>
    </x:row>
    <x:row r="14" ht="15" hidden="0" customHeight="1">
      <x:c r="A14" s="114"/>
      <x:c r="B14" s="114"/>
      <x:c r="C14" s="114"/>
      <x:c r="D14" s="114"/>
      <x:c r="E14" s="114"/>
      <x:c r="F14" s="114"/>
      <x:c r="G14" s="114"/>
    </x:row>
    <x:row r="15" ht="15" hidden="0" customHeight="1">
      <x:c r="A15" s="114"/>
      <x:c r="B15" s="114"/>
      <x:c r="C15" s="114"/>
      <x:c r="D15" s="114"/>
      <x:c r="E15" s="114"/>
      <x:c r="F15" s="114"/>
      <x:c r="G15" s="114"/>
    </x:row>
    <x:row r="16" ht="15" hidden="0" customHeight="1">
      <x:c r="A16" s="114"/>
      <x:c r="B16" s="114"/>
      <x:c r="C16" s="114"/>
      <x:c r="D16" s="114"/>
      <x:c r="E16" s="114"/>
      <x:c r="F16" s="114"/>
      <x:c r="G16" s="114"/>
    </x:row>
    <x:row r="17" ht="15" hidden="0" customHeight="1">
      <x:c r="A17" s="114"/>
      <x:c r="B17" s="114"/>
      <x:c r="C17" s="114"/>
      <x:c r="D17" s="114"/>
      <x:c r="E17" s="114"/>
      <x:c r="F17" s="114"/>
      <x:c r="G17" s="114"/>
    </x:row>
    <x:row r="18" ht="15" hidden="0" customHeight="1">
      <x:c r="A18" s="114"/>
      <x:c r="B18" s="114"/>
      <x:c r="C18" s="114"/>
      <x:c r="D18" s="114"/>
      <x:c r="E18" s="114"/>
      <x:c r="F18" s="114"/>
      <x:c r="G18" s="114"/>
    </x:row>
    <x:row r="19" ht="15" hidden="0" customHeight="1">
      <x:c r="A19" s="114"/>
      <x:c r="B19" s="114"/>
      <x:c r="C19" s="114"/>
      <x:c r="D19" s="114"/>
      <x:c r="E19" s="114"/>
      <x:c r="F19" s="114"/>
      <x:c r="G19" s="114"/>
    </x:row>
    <x:row r="20" ht="15" hidden="0" customHeight="1">
      <x:c r="A20" s="114"/>
      <x:c r="B20" s="114"/>
      <x:c r="C20" s="114"/>
      <x:c r="D20" s="114"/>
      <x:c r="E20" s="114"/>
      <x:c r="F20" s="114"/>
      <x:c r="G20" s="114"/>
    </x:row>
    <x:row r="21" ht="15" hidden="0" customHeight="1">
      <x:c r="A21" s="114"/>
      <x:c r="B21" s="114"/>
      <x:c r="C21" s="114"/>
      <x:c r="D21" s="114"/>
      <x:c r="E21" s="114"/>
      <x:c r="F21" s="114"/>
      <x:c r="G21" s="114"/>
    </x:row>
    <x:row r="22" ht="15" hidden="0" customHeight="1">
      <x:c r="A22" s="114"/>
      <x:c r="B22" s="114"/>
      <x:c r="C22" s="114"/>
      <x:c r="D22" s="114"/>
      <x:c r="E22" s="114"/>
      <x:c r="F22" s="114"/>
      <x:c r="G22" s="114"/>
    </x:row>
    <x:row r="23" ht="15" hidden="0" customHeight="1">
      <x:c r="A23" s="114"/>
      <x:c r="B23" s="114"/>
      <x:c r="C23" s="114"/>
      <x:c r="D23" s="114"/>
      <x:c r="E23" s="114"/>
      <x:c r="F23" s="114"/>
      <x:c r="G23" s="114"/>
    </x:row>
    <x:row r="24" ht="15" hidden="0" customHeight="1">
      <x:c r="A24" s="114"/>
      <x:c r="B24" s="114"/>
      <x:c r="C24" s="114"/>
      <x:c r="D24" s="114"/>
      <x:c r="E24" s="114"/>
      <x:c r="F24" s="114"/>
      <x:c r="G24" s="114"/>
    </x:row>
  </x:sheetData>
  <x:mergeCells>
    <x:mergeCell ref="A1:G2"/>
  </x:mergeCells>
  <x:conditionalFormatting sqref="F5:F11">
    <x:cfRule type="containsText" dxfId="0" priority="1" operator="containsText" text="OK"/>
    <x:cfRule type="containsText" dxfId="1" priority="2" operator="containsText" text="FAIL"/>
  </x:conditionalFormatting>
  <x:conditionalFormatting sqref="B13:B13">
    <x:cfRule type="containsText" dxfId="2" priority="3" operator="containsText" text="PASS"/>
    <x:cfRule type="containsText" dxfId="3" priority="4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40" hidden="0" customWidth="1"/>
    <x:col min="4" max="4" width="18" hidden="0" customWidth="1"/>
    <x:col min="5" max="5" width="18" hidden="0" customWidth="1"/>
    <x:col min="6" max="6" width="28" hidden="0" customWidth="1"/>
    <x:col min="7" max="7" width="55" hidden="0" customWidth="1"/>
    <x:col min="8" max="8" width="20" hidden="0" customWidth="1"/>
    <x:col min="9" max="9" width="13" hidden="0" customWidth="1"/>
  </x:cols>
  <x:sheetData>
    <x:row r="1" ht="30" customHeight="1">
      <x:c r="A1" s="4" t="str">
        <x:v>Sources &amp; Evidence Log</x:v>
      </x:c>
      <x:c r="B1" s="4" t="str">
        <x:v>Sources &amp; Evidence Log</x:v>
      </x:c>
      <x:c r="C1" s="4" t="str">
        <x:v>Sources &amp; Evidence Log</x:v>
      </x:c>
      <x:c r="D1" s="4" t="str">
        <x:v>Sources &amp; Evidence Log</x:v>
      </x:c>
      <x:c r="E1" s="4" t="str">
        <x:v>Sources &amp; Evidence Log</x:v>
      </x:c>
      <x:c r="F1" s="4" t="str">
        <x:v>Sources &amp; Evidence Log</x:v>
      </x:c>
      <x:c r="G1" s="4" t="str">
        <x:v>Sources &amp; Evidence Log</x:v>
      </x:c>
      <x:c r="H1" s="4" t="str">
        <x:v>Sources &amp; Evidence Log</x:v>
      </x:c>
      <x:c r="I1" s="4" t="str">
        <x:v>Sources &amp; Evidence Log</x:v>
      </x:c>
    </x:row>
    <x:row r="2" ht="30" customHeight="1">
      <x:c r="A2" s="4" t="str">
        <x:v>Sources &amp; Evidence Log</x:v>
      </x:c>
      <x:c r="B2" s="4" t="str">
        <x:v>Sources &amp; Evidence Log</x:v>
      </x:c>
      <x:c r="C2" s="4" t="str">
        <x:v>Sources &amp; Evidence Log</x:v>
      </x:c>
      <x:c r="D2" s="4" t="str">
        <x:v>Sources &amp; Evidence Log</x:v>
      </x:c>
      <x:c r="E2" s="4" t="str">
        <x:v>Sources &amp; Evidence Log</x:v>
      </x:c>
      <x:c r="F2" s="4" t="str">
        <x:v>Sources &amp; Evidence Log</x:v>
      </x:c>
      <x:c r="G2" s="4" t="str">
        <x:v>Sources &amp; Evidence Log</x:v>
      </x:c>
      <x:c r="H2" s="4" t="str">
        <x:v>Sources &amp; Evidence Log</x:v>
      </x:c>
      <x:c r="I2" s="4" t="str">
        <x:v>Sources &amp; Evidence Log</x:v>
      </x:c>
    </x:row>
    <x:row r="3" ht="15" hidden="0" customHeight="1">
      <x:c r="A3" s="114"/>
      <x:c r="B3" s="114"/>
      <x:c r="C3" s="114"/>
      <x:c r="D3" s="114"/>
      <x:c r="E3" s="114"/>
      <x:c r="F3" s="114"/>
      <x:c r="G3" s="114"/>
      <x:c r="H3" s="114"/>
      <x:c r="I3" s="114"/>
    </x:row>
    <x:row r="4" ht="15" hidden="0" customHeight="1">
      <x:c r="A4" s="17" t="str">
        <x:v>ID</x:v>
      </x:c>
      <x:c r="B4" s="18" t="str">
        <x:v>Item</x:v>
      </x:c>
      <x:c r="C4" s="18" t="str">
        <x:v>Value / observation</x:v>
      </x:c>
      <x:c r="D4" s="18" t="str">
        <x:v>Units</x:v>
      </x:c>
      <x:c r="E4" s="18" t="str">
        <x:v>Source type</x:v>
      </x:c>
      <x:c r="F4" s="18" t="str">
        <x:v>Source name</x:v>
      </x:c>
      <x:c r="G4" s="18" t="str">
        <x:v>Reference</x:v>
      </x:c>
      <x:c r="H4" s="18" t="str">
        <x:v>Status</x:v>
      </x:c>
      <x:c r="I4" s="19" t="str">
        <x:v>Accessed</x:v>
      </x:c>
    </x:row>
    <x:row r="5" ht="34" hidden="0" customHeight="1">
      <x:c r="A5" s="125" t="str">
        <x:v>S1</x:v>
      </x:c>
      <x:c r="B5" s="125" t="str">
        <x:v>Production hosting</x:v>
      </x:c>
      <x:c r="C5" s="125" t="str">
        <x:v>App Service P0v4 Linux; production app shares staging plan</x:v>
      </x:c>
      <x:c r="D5" s="125" t="str">
        <x:v>SKU/topology</x:v>
      </x:c>
      <x:c r="E5" s="125" t="str">
        <x:v>Live Azure subscription</x:v>
      </x:c>
      <x:c r="F5" s="125" t="str">
        <x:v>Azure CLI resource inspection</x:v>
      </x:c>
      <x:c r="G5" s="125" t="str">
        <x:v>az resource list; az appservice plan show</x:v>
      </x:c>
      <x:c r="H5" s="125" t="str">
        <x:v>Observed</x:v>
      </x:c>
      <x:c r="I5" s="131" t="n">
        <x:v>46262</x:v>
      </x:c>
    </x:row>
    <x:row r="6" ht="34" hidden="0" customHeight="1">
      <x:c r="A6" s="125" t="str">
        <x:v>S2</x:v>
      </x:c>
      <x:c r="B6" s="125" t="str">
        <x:v>Production database</x:v>
      </x:c>
      <x:c r="C6" s="125" t="str">
        <x:v>PostgreSQL B2s, 32 GB, no HA, 7-day backup</x:v>
      </x:c>
      <x:c r="D6" s="125" t="str">
        <x:v>SKU/topology</x:v>
      </x:c>
      <x:c r="E6" s="125" t="str">
        <x:v>Live Azure subscription</x:v>
      </x:c>
      <x:c r="F6" s="125" t="str">
        <x:v>Azure CLI postgres inspection</x:v>
      </x:c>
      <x:c r="G6" s="125" t="str">
        <x:v>az postgres flexible-server show</x:v>
      </x:c>
      <x:c r="H6" s="125" t="str">
        <x:v>Observed</x:v>
      </x:c>
      <x:c r="I6" s="131" t="n">
        <x:v>46262</x:v>
      </x:c>
    </x:row>
    <x:row r="7" ht="34" hidden="0" customHeight="1">
      <x:c r="A7" s="125" t="str">
        <x:v>S3</x:v>
      </x:c>
      <x:c r="B7" s="125" t="str">
        <x:v>Production cache</x:v>
      </x:c>
      <x:c r="C7" s="125" t="str">
        <x:v>Azure Cache for Redis Standard C1</x:v>
      </x:c>
      <x:c r="D7" s="125" t="str">
        <x:v>SKU</x:v>
      </x:c>
      <x:c r="E7" s="125" t="str">
        <x:v>Live Azure subscription</x:v>
      </x:c>
      <x:c r="F7" s="125" t="str">
        <x:v>Azure CLI redis inspection</x:v>
      </x:c>
      <x:c r="G7" s="125" t="str">
        <x:v>az redis show</x:v>
      </x:c>
      <x:c r="H7" s="125" t="str">
        <x:v>Observed</x:v>
      </x:c>
      <x:c r="I7" s="131" t="n">
        <x:v>46262</x:v>
      </x:c>
    </x:row>
    <x:row r="8" ht="34" hidden="0" customHeight="1">
      <x:c r="A8" s="125" t="str">
        <x:v>S4</x:v>
      </x:c>
      <x:c r="B8" s="125" t="str">
        <x:v>Malware scanner</x:v>
      </x:c>
      <x:c r="C8" s="125" t="str">
        <x:v>ACI Linux, 1 vCPU, 2 GB, always restart</x:v>
      </x:c>
      <x:c r="D8" s="125" t="str">
        <x:v>SKU/topology</x:v>
      </x:c>
      <x:c r="E8" s="125" t="str">
        <x:v>Live Azure subscription</x:v>
      </x:c>
      <x:c r="F8" s="125" t="str">
        <x:v>Azure CLI container inspection</x:v>
      </x:c>
      <x:c r="G8" s="125" t="str">
        <x:v>az container show</x:v>
      </x:c>
      <x:c r="H8" s="125" t="str">
        <x:v>Observed</x:v>
      </x:c>
      <x:c r="I8" s="131" t="n">
        <x:v>46262</x:v>
      </x:c>
    </x:row>
    <x:row r="9" ht="34" hidden="0" customHeight="1">
      <x:c r="A9" s="125" t="str">
        <x:v>S5</x:v>
      </x:c>
      <x:c r="B9" s="125" t="str">
        <x:v>Web hosting</x:v>
      </x:c>
      <x:c r="C9" s="125" t="str">
        <x:v>Static Web Apps Standard</x:v>
      </x:c>
      <x:c r="D9" s="125" t="str">
        <x:v>SKU</x:v>
      </x:c>
      <x:c r="E9" s="125" t="str">
        <x:v>Live Azure subscription</x:v>
      </x:c>
      <x:c r="F9" s="125" t="str">
        <x:v>Azure CLI static web app inspection</x:v>
      </x:c>
      <x:c r="G9" s="125" t="str">
        <x:v>az staticwebapp show</x:v>
      </x:c>
      <x:c r="H9" s="125" t="str">
        <x:v>Observed</x:v>
      </x:c>
      <x:c r="I9" s="131" t="n">
        <x:v>46262</x:v>
      </x:c>
    </x:row>
    <x:row r="10" ht="34" hidden="0" customHeight="1">
      <x:c r="A10" s="125" t="str">
        <x:v>S6</x:v>
      </x:c>
      <x:c r="B10" s="125" t="str">
        <x:v>Private endpoints</x:v>
      </x:c>
      <x:c r="C10" s="125" t="str">
        <x:v>3 endpoints: PostgreSQL, Redis, Blob</x:v>
      </x:c>
      <x:c r="D10" s="125" t="str">
        <x:v>count</x:v>
      </x:c>
      <x:c r="E10" s="125" t="str">
        <x:v>Live Azure subscription</x:v>
      </x:c>
      <x:c r="F10" s="125" t="str">
        <x:v>Azure CLI resource list</x:v>
      </x:c>
      <x:c r="G10" s="125" t="str">
        <x:v>az resource list</x:v>
      </x:c>
      <x:c r="H10" s="125" t="str">
        <x:v>Observed</x:v>
      </x:c>
      <x:c r="I10" s="131" t="n">
        <x:v>46262</x:v>
      </x:c>
    </x:row>
    <x:row r="11" ht="34" hidden="0" customHeight="1">
      <x:c r="A11" s="125" t="str">
        <x:v>S7</x:v>
      </x:c>
      <x:c r="B11" s="125" t="str">
        <x:v>Implemented cost drivers</x:v>
      </x:c>
      <x:c r="C11" s="125" t="str">
        <x:v>25 MB/file max; ClamAV; Blob; local PDF export; local text matching</x:v>
      </x:c>
      <x:c r="D11" s="125" t="str">
        <x:v>architecture</x:v>
      </x:c>
      <x:c r="E11" s="125" t="str">
        <x:v>Repository</x:v>
      </x:c>
      <x:c r="F11" s="125" t="str">
        <x:v>Gccs source</x:v>
      </x:c>
      <x:c r="G11" s="125" t="str">
        <x:v>apps/api/appsettings.json; ContractDocumentFileService.cs; DefaultContractDocumentTextExtractor.cs; ReportExportService.cs</x:v>
      </x:c>
      <x:c r="H11" s="125" t="str">
        <x:v>Implemented</x:v>
      </x:c>
      <x:c r="I11" s="131" t="n">
        <x:v>46262</x:v>
      </x:c>
    </x:row>
    <x:row r="12" ht="34" hidden="0" customHeight="1">
      <x:c r="A12" s="125" t="str">
        <x:v>S8</x:v>
      </x:c>
      <x:c r="B12" s="125" t="str">
        <x:v>Capacity/profile/pricing assumptions</x:v>
      </x:c>
      <x:c r="C12" s="125" t="str">
        <x:v>Explicit management assumptions</x:v>
      </x:c>
      <x:c r="D12" s="125" t="str">
        <x:v>various</x:v>
      </x:c>
      <x:c r="E12" s="125" t="str">
        <x:v>Model assumption</x:v>
      </x:c>
      <x:c r="F12" s="125" t="str">
        <x:v>This workbook</x:v>
      </x:c>
      <x:c r="G12" s="125" t="str">
        <x:v>Assumptions and User Profiles</x:v>
      </x:c>
      <x:c r="H12" s="125" t="str">
        <x:v>Unproven</x:v>
      </x:c>
      <x:c r="I12" s="131" t="n">
        <x:v>46262</x:v>
      </x:c>
    </x:row>
    <x:row r="13" ht="34" hidden="0" customHeight="1">
      <x:c r="A13" s="125" t="str">
        <x:v>S9</x:v>
      </x:c>
      <x:c r="B13" s="125" t="str">
        <x:v>Azure retail rates</x:v>
      </x:c>
      <x:c r="C13" s="125" t="str">
        <x:v>USD pay-as-you-go retail rates</x:v>
      </x:c>
      <x:c r="D13" s="125" t="str">
        <x:v>USD</x:v>
      </x:c>
      <x:c r="E13" s="125" t="str">
        <x:v>Primary external source</x:v>
      </x:c>
      <x:c r="F13" s="125" t="str">
        <x:v>Azure Retail Prices API</x:v>
      </x:c>
      <x:c r="G13" s="125" t="str">
        <x:v>https://prices.azure.com/api/retail/prices</x:v>
      </x:c>
      <x:c r="H13" s="125" t="str">
        <x:v>Current estimate</x:v>
      </x:c>
      <x:c r="I13" s="131" t="n">
        <x:v>46262</x:v>
      </x:c>
    </x:row>
    <x:row r="14" ht="34" hidden="0" customHeight="1">
      <x:c r="A14" s="125" t="str">
        <x:v>S10</x:v>
      </x:c>
      <x:c r="B14" s="125" t="str">
        <x:v>Future AI rates</x:v>
      </x:c>
      <x:c r="C14" s="125" t="str">
        <x:v>$0.75/M input; $4.50/M output</x:v>
      </x:c>
      <x:c r="D14" s="125" t="str">
        <x:v>USD/tokens</x:v>
      </x:c>
      <x:c r="E14" s="125" t="str">
        <x:v>Primary external source</x:v>
      </x:c>
      <x:c r="F14" s="125" t="str">
        <x:v>OpenAI GPT-5.4 mini announcement</x:v>
      </x:c>
      <x:c r="G14" s="125" t="str">
        <x:v>https://openai.com/index/introducing-gpt-5-4-mini-and-nano/</x:v>
      </x:c>
      <x:c r="H14" s="125" t="str">
        <x:v>Future scenario</x:v>
      </x:c>
      <x:c r="I14" s="131" t="n">
        <x:v>46262</x:v>
      </x:c>
    </x:row>
    <x:row r="15" ht="34" hidden="0" customHeight="1">
      <x:c r="A15" s="125" t="str">
        <x:v>S11</x:v>
      </x:c>
      <x:c r="B15" s="125" t="str">
        <x:v>Prior pricing hypothesis</x:v>
      </x:c>
      <x:c r="C15" s="125" t="str">
        <x:v>$99–$199 Starter; $299–$499 Team; Advisor custom</x:v>
      </x:c>
      <x:c r="D15" s="125" t="str">
        <x:v>USD/month</x:v>
      </x:c>
      <x:c r="E15" s="125" t="str">
        <x:v>Repository document</x:v>
      </x:c>
      <x:c r="F15" s="125" t="str">
        <x:v>Founder pilot pricing page</x:v>
      </x:c>
      <x:c r="G15" s="125" t="str">
        <x:v>docs/marketing/pricing-page-founder-pilot.md</x:v>
      </x:c>
      <x:c r="H15" s="125" t="str">
        <x:v>Planned hypothesis</x:v>
      </x:c>
      <x:c r="I15" s="131" t="n">
        <x:v>46262</x:v>
      </x:c>
    </x:row>
    <x:row r="16" ht="34" hidden="0" customHeight="1">
      <x:c r="A16" s="125"/>
      <x:c r="B16" s="125"/>
      <x:c r="C16" s="125"/>
      <x:c r="D16" s="125"/>
      <x:c r="E16" s="125"/>
      <x:c r="F16" s="125"/>
      <x:c r="G16" s="125"/>
      <x:c r="H16" s="125"/>
      <x:c r="I16" s="125"/>
    </x:row>
    <x:row r="17" ht="34" hidden="0" customHeight="1">
      <x:c r="A17" s="149" t="str">
        <x:v>Evidence limitation: the Azure Cost Management actual-cost query returned HTTP 429. Retail-rate estimates are therefore used; reconcile this workbook to invoices before external financial diligence.</x:v>
      </x:c>
      <x:c r="B17" s="149" t="str">
        <x:v>Evidence limitation: the Azure Cost Management actual-cost query returned HTTP 429. Retail-rate estimates are therefore used; reconcile this workbook to invoices before external financial diligence.</x:v>
      </x:c>
      <x:c r="C17" s="149" t="str">
        <x:v>Evidence limitation: the Azure Cost Management actual-cost query returned HTTP 429. Retail-rate estimates are therefore used; reconcile this workbook to invoices before external financial diligence.</x:v>
      </x:c>
      <x:c r="D17" s="149" t="str">
        <x:v>Evidence limitation: the Azure Cost Management actual-cost query returned HTTP 429. Retail-rate estimates are therefore used; reconcile this workbook to invoices before external financial diligence.</x:v>
      </x:c>
      <x:c r="E17" s="149" t="str">
        <x:v>Evidence limitation: the Azure Cost Management actual-cost query returned HTTP 429. Retail-rate estimates are therefore used; reconcile this workbook to invoices before external financial diligence.</x:v>
      </x:c>
      <x:c r="F17" s="149" t="str">
        <x:v>Evidence limitation: the Azure Cost Management actual-cost query returned HTTP 429. Retail-rate estimates are therefore used; reconcile this workbook to invoices before external financial diligence.</x:v>
      </x:c>
      <x:c r="G17" s="149" t="str">
        <x:v>Evidence limitation: the Azure Cost Management actual-cost query returned HTTP 429. Retail-rate estimates are therefore used; reconcile this workbook to invoices before external financial diligence.</x:v>
      </x:c>
      <x:c r="H17" s="149" t="str">
        <x:v>Evidence limitation: the Azure Cost Management actual-cost query returned HTTP 429. Retail-rate estimates are therefore used; reconcile this workbook to invoices before external financial diligence.</x:v>
      </x:c>
      <x:c r="I17" s="149" t="str">
        <x:v>Evidence limitation: the Azure Cost Management actual-cost query returned HTTP 429. Retail-rate estimates are therefore used; reconcile this workbook to invoices before external financial diligence.</x:v>
      </x:c>
    </x:row>
    <x:row r="18" ht="15" hidden="0" customHeight="1">
      <x:c r="A18" s="114"/>
      <x:c r="B18" s="114"/>
      <x:c r="C18" s="114"/>
      <x:c r="D18" s="114"/>
      <x:c r="E18" s="114"/>
      <x:c r="F18" s="114"/>
      <x:c r="G18" s="114"/>
      <x:c r="H18" s="114"/>
      <x:c r="I18" s="114"/>
    </x:row>
    <x:row r="19" ht="15" hidden="0" customHeight="1">
      <x:c r="A19" s="114"/>
      <x:c r="B19" s="114"/>
      <x:c r="C19" s="114"/>
      <x:c r="D19" s="114"/>
      <x:c r="E19" s="114"/>
      <x:c r="F19" s="114"/>
      <x:c r="G19" s="114"/>
      <x:c r="H19" s="114"/>
      <x:c r="I19" s="114"/>
    </x:row>
    <x:row r="20" ht="15" hidden="0" customHeight="1">
      <x:c r="A20" s="114"/>
      <x:c r="B20" s="114"/>
      <x:c r="C20" s="114"/>
      <x:c r="D20" s="114"/>
      <x:c r="E20" s="114"/>
      <x:c r="F20" s="114"/>
      <x:c r="G20" s="114"/>
      <x:c r="H20" s="114"/>
      <x:c r="I20" s="114"/>
    </x:row>
    <x:row r="21" ht="15" hidden="0" customHeight="1">
      <x:c r="A21" s="114"/>
      <x:c r="B21" s="114"/>
      <x:c r="C21" s="114"/>
      <x:c r="D21" s="114"/>
      <x:c r="E21" s="114"/>
      <x:c r="F21" s="114"/>
      <x:c r="G21" s="114"/>
      <x:c r="H21" s="114"/>
      <x:c r="I21" s="114"/>
    </x:row>
    <x:row r="22" ht="15" hidden="0" customHeight="1">
      <x:c r="A22" s="114"/>
      <x:c r="B22" s="114"/>
      <x:c r="C22" s="114"/>
      <x:c r="D22" s="114"/>
      <x:c r="E22" s="114"/>
      <x:c r="F22" s="114"/>
      <x:c r="G22" s="114"/>
      <x:c r="H22" s="114"/>
      <x:c r="I22" s="114"/>
    </x:row>
    <x:row r="23" ht="15" hidden="0" customHeight="1">
      <x:c r="A23" s="114"/>
      <x:c r="B23" s="114"/>
      <x:c r="C23" s="114"/>
      <x:c r="D23" s="114"/>
      <x:c r="E23" s="114"/>
      <x:c r="F23" s="114"/>
      <x:c r="G23" s="114"/>
      <x:c r="H23" s="114"/>
      <x:c r="I23" s="114"/>
    </x:row>
    <x:row r="24" ht="15" hidden="0" customHeight="1">
      <x:c r="A24" s="114"/>
      <x:c r="B24" s="114"/>
      <x:c r="C24" s="114"/>
      <x:c r="D24" s="114"/>
      <x:c r="E24" s="114"/>
      <x:c r="F24" s="114"/>
      <x:c r="G24" s="114"/>
      <x:c r="H24" s="114"/>
      <x:c r="I24" s="114"/>
    </x:row>
    <x:row r="25" ht="15" hidden="0" customHeight="1">
      <x:c r="A25" s="114"/>
      <x:c r="B25" s="114"/>
      <x:c r="C25" s="114"/>
      <x:c r="D25" s="114"/>
      <x:c r="E25" s="114"/>
      <x:c r="F25" s="114"/>
      <x:c r="G25" s="114"/>
      <x:c r="H25" s="114"/>
      <x:c r="I25" s="114"/>
    </x:row>
    <x:row r="26" ht="15" hidden="0" customHeight="1">
      <x:c r="A26" s="114"/>
      <x:c r="B26" s="114"/>
      <x:c r="C26" s="114"/>
      <x:c r="D26" s="114"/>
      <x:c r="E26" s="114"/>
      <x:c r="F26" s="114"/>
      <x:c r="G26" s="114"/>
      <x:c r="H26" s="114"/>
      <x:c r="I26" s="114"/>
    </x:row>
    <x:row r="27" ht="15" hidden="0" customHeight="1">
      <x:c r="A27" s="114"/>
      <x:c r="B27" s="114"/>
      <x:c r="C27" s="114"/>
      <x:c r="D27" s="114"/>
      <x:c r="E27" s="114"/>
      <x:c r="F27" s="114"/>
      <x:c r="G27" s="114"/>
      <x:c r="H27" s="114"/>
      <x:c r="I27" s="114"/>
    </x:row>
    <x:row r="28" ht="15" hidden="0" customHeight="1">
      <x:c r="A28" s="114"/>
      <x:c r="B28" s="114"/>
      <x:c r="C28" s="114"/>
      <x:c r="D28" s="114"/>
      <x:c r="E28" s="114"/>
      <x:c r="F28" s="114"/>
      <x:c r="G28" s="114"/>
      <x:c r="H28" s="114"/>
      <x:c r="I28" s="114"/>
    </x:row>
  </x:sheetData>
  <x:mergeCells>
    <x:mergeCell ref="A1:I2"/>
    <x:mergeCell ref="A17:I17"/>
  </x:mergeCells>
  <x:pageMargins left="0.7" right="0.7" top="0.75" bottom="0.75" header="0.3" footer="0.3"/>
</x:worksheet>
</file>