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02d9e50b4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Dril 90-Day Execution Checklist" sheetId="1" r:id="R11c62929e0854b55"/>
    <x:sheet xmlns:r="http://schemas.openxmlformats.org/officeDocument/2006/relationships" name="Guidance &amp; Sources" sheetId="2" r:id="Re4327acc101748cc"/>
  </x:sheets>
</x:workbook>
</file>

<file path=xl/comments1.xml><?xml version="1.0" encoding="utf-8"?>
<x:comments xmlns:x="http://schemas.openxmlformats.org/spreadsheetml/2006/main">
  <x:authors>
    <x:author>tc={2F71B543-F357-4977-8597-0AA2EC0FE1D8}</x:author>
    <x:author>tc={D96A0DE0-298D-4B05-B483-0DA66EAC7EA9}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supplied in the implementation plan.</x:t>
        </x:r>
      </x:text>
    </x:comment>
    <x:comment ref="B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supplied in the implementation plan.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12324A"/>
      <x:name val="Carlito"/>
    </x:font>
    <x:font>
      <x:b/>
      <x:sz val="14"/>
      <x:color rgb="FF0F172A"/>
      <x:name val="Carlito"/>
    </x:font>
    <x:font>
      <x:sz val="11"/>
      <x:color rgb="FF7C4A03"/>
      <x:name val="Carlito"/>
    </x:font>
    <x:font>
      <x:b/>
      <x:sz val="11"/>
      <x:color rgb="FFFFFFFF"/>
      <x:name val="Carlito"/>
    </x:font>
    <x:font>
      <x:b/>
      <x:sz val="11"/>
      <x:color rgb="FF22303C"/>
      <x:name val="Carlito"/>
    </x:font>
    <x:font>
      <x:b/>
      <x:sz val="16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1F5"/>
      </x:patternFill>
    </x:fill>
    <x:fill>
      <x:patternFill patternType="solid">
        <x:fgColor rgb="FFD7E6EC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1E5A73"/>
      </x:patternFill>
    </x:fill>
    <x:fill>
      <x:patternFill patternType="solid">
        <x:fgColor rgb="FFD9EAF7"/>
      </x:patternFill>
    </x:fill>
    <x:fill>
      <x:patternFill patternType="solid">
        <x:fgColor rgb="FFE5E1F8"/>
      </x:patternFill>
    </x:fill>
    <x:fill>
      <x:patternFill patternType="solid">
        <x:fgColor rgb="FFDDF3E4"/>
      </x:patternFill>
    </x:fill>
    <x:fill>
      <x:patternFill patternType="solid">
        <x:fgColor rgb="FFFFF0D6"/>
      </x:patternFill>
    </x:fill>
    <x:fill>
      <x:patternFill patternType="solid">
        <x:fgColor rgb="FFF7DFE7"/>
      </x:patternFill>
    </x:fill>
    <x:fill>
      <x:patternFill patternType="solid">
        <x:fgColor rgb="FFDDECEF"/>
      </x:patternFill>
    </x:fill>
  </x:fills>
  <x:borders count="7">
    <x:border/>
    <x:border>
      <x:left style="thin">
        <x:color rgb="FFA8BCC6"/>
      </x:left>
      <x:top style="thin">
        <x:color rgb="FFA8BCC6"/>
      </x:top>
      <x:bottom style="thin">
        <x:color rgb="FFA8BCC6"/>
      </x:bottom>
    </x:border>
    <x:border>
      <x:top style="thin">
        <x:color rgb="FFA8BCC6"/>
      </x:top>
      <x:bottom style="thin">
        <x:color rgb="FFA8BCC6"/>
      </x:bottom>
    </x:border>
    <x:border>
      <x:right style="thin">
        <x:color rgb="FFA8BCC6"/>
      </x:right>
      <x:top style="thin">
        <x:color rgb="FFA8BCC6"/>
      </x:top>
      <x:bottom style="thin">
        <x:color rgb="FFA8BCC6"/>
      </x:bottom>
    </x:border>
    <x:border>
      <x:left style="medium">
        <x:color rgb="FF16465A"/>
      </x:left>
      <x:top style="medium">
        <x:color rgb="FF16465A"/>
      </x:top>
      <x:bottom style="medium">
        <x:color rgb="FF16465A"/>
      </x:bottom>
    </x:border>
    <x:border>
      <x:top style="medium">
        <x:color rgb="FF16465A"/>
      </x:top>
      <x:bottom style="medium">
        <x:color rgb="FF16465A"/>
      </x:bottom>
    </x:border>
    <x:border>
      <x:right style="medium">
        <x:color rgb="FF16465A"/>
      </x:right>
      <x:top style="medium">
        <x:color rgb="FF16465A"/>
      </x:top>
      <x:bottom style="medium">
        <x:color rgb="FF16465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374151"/>
      </x:font>
      <x:fill>
        <x:patternFill>
          <x:bgColor rgb="FFE5E7EB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C2410C"/>
      </x:font>
      <x:fill>
        <x:patternFill>
          <x:bgColor rgb="FFFFEDD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7280"/>
      </x:font>
      <x:fill>
        <x:patternFill>
          <x:bgColor rgb="FFF3F4F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0a5c9c7c2491a" /><Relationship Type="http://schemas.openxmlformats.org/officeDocument/2006/relationships/theme" Target="/xl/theme/theme1.xml" Id="R57fe2e7e336b43c1" /><Relationship Type="http://schemas.openxmlformats.org/officeDocument/2006/relationships/sharedStrings" Target="/xl/sharedStrings.xml" Id="Rc8cc8cfed8754cd5" /><Relationship Type="http://schemas.openxmlformats.org/officeDocument/2006/relationships/worksheet" Target="/xl/worksheets/sheet1.xml" Id="R11c62929e0854b55" /><Relationship Type="http://schemas.openxmlformats.org/officeDocument/2006/relationships/worksheet" Target="/xl/worksheets/sheet2.xml" Id="Re4327acc101748cc" /><Relationship Type="http://schemas.microsoft.com/office/2017/10/relationships/person" Target="/xl/persons/person.xml" Id="Ra4e5bb855fd442d1" /></Relationships>
</file>

<file path=xl/persons/person.xml><?xml version="1.0" encoding="utf-8"?>
<xltc:personList xmlns:xltc="http://schemas.microsoft.com/office/spreadsheetml/2018/threadedcomments">
  <xltc:person displayName="Samura" id="{7508FE53-A5B0-4BF4-B541-38073F2244AE}"/>
</xltc:personList>
</file>

<file path=xl/tables/table1.xml><?xml version="1.0" encoding="utf-8"?>
<x:table xmlns:x="http://schemas.openxmlformats.org/spreadsheetml/2006/main" id="1" name="ExecutionChecklistTable" displayName="ExecutionChecklistTable" ref="A7:F113" headerRowCount="1" totalsRowCount="0" totalsRowShown="0">
  <x:autoFilter ref="A7:F113"/>
  <x:tableColumns count="6">
    <x:tableColumn id="1" name="Phase and Phase Introduction"/>
    <x:tableColumn id="2" name="Task"/>
    <x:tableColumn id="3" name="Status"/>
    <x:tableColumn id="4" name="Timeframe"/>
    <x:tableColumn id="5" name="Notes, Evidence, or Blockers"/>
    <x:tableColumn id="6" name="Completion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8-29T17:01:21.93" personId="{7508FE53-A5B0-4BF4-B541-38073F2244AE}" id="{2F71B543-F357-4977-8597-0AA2EC0FE1D8}">
    <xltc:text>Source supplied in the implementation plan.</xltc:text>
  </xltc:threadedComment>
  <xltc:threadedComment ref="B14" dT="2026-08-29T17:01:21.93" personId="{7508FE53-A5B0-4BF4-B541-38073F2244AE}" id="{D96A0DE0-298D-4B05-B483-0DA66EAC7EA9}">
    <xltc:text>Source supplied in the implementation plan.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f0b799c7ae4f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0b1587ac5e44d06" /><Relationship Type="http://schemas.openxmlformats.org/officeDocument/2006/relationships/vmlDrawing" Target="/xl/drawings/vmldrawing.vml" Id="R50ebbb36bd304a78" /><Relationship Type="http://schemas.microsoft.com/office/2017/10/relationships/threadedComment" Target="/xl/threadedcomments/threadedcomment.xml" Id="Rf76c4ab1e38d44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48" hidden="0" customWidth="1"/>
    <x:col min="3" max="3" width="24" hidden="0" customWidth="1"/>
    <x:col min="4" max="4" width="17" hidden="0" customWidth="1"/>
    <x:col min="5" max="5" width="44" hidden="0" customWidth="1"/>
    <x:col min="6" max="6" width="17" hidden="0" customWidth="1"/>
  </x:cols>
  <x:sheetData>
    <x:row r="1" ht="34" customHeight="1">
      <x:c r="A1" s="3" t="str">
        <x:v>FeDril 90-Day Execution Checklist</x:v>
      </x:c>
      <x:c r="B1" s="3"/>
      <x:c r="C1" s="3"/>
      <x:c r="D1" s="3"/>
      <x:c r="E1" s="3"/>
      <x:c r="F1" s="3"/>
    </x:row>
    <x:row r="2" ht="26" customHeight="1">
      <x:c r="A2" s="6" t="str">
        <x:v>Update Status, Timeframe, Notes, and Completion Date as work progresses. Status must be supported by implementation evidence, documented blockers, or logged customer activity.</x:v>
      </x:c>
      <x:c r="B2" s="6"/>
      <x:c r="C2" s="6"/>
      <x:c r="D2" s="6"/>
      <x:c r="E2" s="6"/>
      <x:c r="F2" s="6"/>
    </x:row>
    <x:row r="3">
      <x:c r="A3" s="12" t="str">
        <x:v>Total Tasks</x:v>
      </x:c>
      <x:c r="B3" s="13" t="str">
        <x:v>Completed</x:v>
      </x:c>
      <x:c r="C3" s="13" t="str">
        <x:v>In Progress</x:v>
      </x:c>
      <x:c r="D3" s="13" t="str">
        <x:v>Blocked</x:v>
      </x:c>
      <x:c r="E3" s="14" t="str">
        <x:v>% Complete</x:v>
      </x:c>
    </x:row>
    <x:row r="4">
      <x:c r="A4" s="23" t="n">
        <x:f>COUNTA($B$8:$B$113)</x:f>
        <x:v>106</x:v>
      </x:c>
      <x:c r="B4" s="24" t="n">
        <x:f>COUNTIF($C$8:$C$113,"Completed")</x:f>
        <x:v>39</x:v>
      </x:c>
      <x:c r="C4" s="24" t="n">
        <x:f>COUNTIF($C$8:$C$113,"In Progress")</x:f>
        <x:v>15</x:v>
      </x:c>
      <x:c r="D4" s="24" t="n">
        <x:f>COUNTIF($C$8:$C$113,"Blocked")</x:f>
        <x:v>1</x:v>
      </x:c>
      <x:c r="E4" s="25" t="n">
        <x:f>IFERROR(B4/A4,0)</x:f>
        <x:v>0.36792452830188677</x:v>
      </x:c>
    </x:row>
    <x:row r="6">
      <x:c r="A6" s="28" t="str">
        <x:v>Tip</x:v>
      </x:c>
      <x:c r="B6" s="28" t="str">
        <x:v>Filter by Phase, Status, or Timeframe. Add supporting links, evidence, outcomes, and blockers in column E.</x:v>
      </x:c>
      <x:c r="C6" s="28"/>
      <x:c r="D6" s="28"/>
      <x:c r="E6" s="28"/>
      <x:c r="F6" s="28"/>
    </x:row>
    <x:row r="7" ht="15" hidden="0" customHeight="1">
      <x:c r="A7" s="40" t="str">
        <x:v>Phase and Phase Introduction</x:v>
      </x:c>
      <x:c r="B7" s="41" t="str">
        <x:v>Task</x:v>
      </x:c>
      <x:c r="C7" s="41" t="str">
        <x:v>Status</x:v>
      </x:c>
      <x:c r="D7" s="41" t="str">
        <x:v>Timeframe</x:v>
      </x:c>
      <x:c r="E7" s="41" t="str">
        <x:v>Notes, Evidence, or Blockers</x:v>
      </x:c>
      <x:c r="F7" s="42" t="str">
        <x:v>Completion Date</x:v>
      </x:c>
    </x:row>
    <x:row r="8" ht="39.599998474121094" hidden="0" customHeight="1">
      <x:c r="A8" s="49" t="str">
        <x:v>Phase 1: Lock the Offer — Define a narrow initial customer, a truthful No-CUI value proposition, and outcome-led positioning before outreach.</x:v>
      </x:c>
      <x:c r="B8" s="44" t="str">
        <x:v>Document the initial customer profile as a U.S. government contractor with 5–100 employees.</x:v>
      </x:c>
      <x:c r="C8" s="46" t="str">
        <x:v>Completed</x:v>
      </x:c>
      <x:c r="D8" s="46" t="str">
        <x:v>Completed before outreach</x:v>
      </x:c>
      <x:c r="E8" s="44" t="str">
        <x:v>Implemented: ICP documented in docs/marketing/phase-1-ideal-customer-profile.md for small U.S. GovCon contractors.</x:v>
      </x:c>
      <x:c r="F8" s="47"/>
    </x:row>
    <x:row r="9" ht="26.399999618530273" hidden="0" customHeight="1">
      <x:c r="A9" s="49" t="str">
        <x:v>Phase 1: Lock the Offer — Define a narrow initial customer, a truthful No-CUI value proposition, and outcome-led positioning before outreach.</x:v>
      </x:c>
      <x:c r="B9" s="44" t="str">
        <x:v>Require the initial customer to be registered in SAM.gov or actively pursuing registration.</x:v>
      </x:c>
      <x:c r="C9" s="46" t="str">
        <x:v>Completed</x:v>
      </x:c>
      <x:c r="D9" s="46" t="str">
        <x:v>Completed before outreach</x:v>
      </x:c>
      <x:c r="E9" s="44" t="str">
        <x:v>Implemented: SAM.gov/active registration requirement is part of the Phase 1 ICP and qualification criteria.</x:v>
      </x:c>
      <x:c r="F9" s="47"/>
    </x:row>
    <x:row r="10" ht="26.399999618530273" hidden="0" customHeight="1">
      <x:c r="A10" s="49" t="str">
        <x:v>Phase 1: Lock the Offer — Define a narrow initial customer, a truthful No-CUI value proposition, and outcome-led positioning before outreach.</x:v>
      </x:c>
      <x:c r="B10" s="44" t="str">
        <x:v>Require the initial customer to manage government-contracting compliance obligations.</x:v>
      </x:c>
      <x:c r="C10" s="46" t="str">
        <x:v>Completed</x:v>
      </x:c>
      <x:c r="D10" s="46" t="str">
        <x:v>Completed before outreach</x:v>
      </x:c>
      <x:c r="E10" s="44" t="str">
        <x:v>Implemented: ICP requires active GovCon compliance obligations; see Phase 1 ICP and offer docs.</x:v>
      </x:c>
      <x:c r="F10" s="47"/>
    </x:row>
    <x:row r="11" ht="26.399999618530273" hidden="0" customHeight="1">
      <x:c r="A11" s="49" t="str">
        <x:v>Phase 1: Lock the Offer — Define a narrow initial customer, a truthful No-CUI value proposition, and outcome-led positioning before outreach.</x:v>
      </x:c>
      <x:c r="B11" s="44" t="str">
        <x:v>Exclude organizations mature enough to require an enterprise GRC platform from the initial customer profile.</x:v>
      </x:c>
      <x:c r="C11" s="46" t="str">
        <x:v>Completed</x:v>
      </x:c>
      <x:c r="D11" s="46" t="str">
        <x:v>Completed before outreach</x:v>
      </x:c>
      <x:c r="E11" s="44" t="str">
        <x:v>Implemented: enterprise GRC disqualifier is documented in Phase 1 ICP and lock-the-offer materials.</x:v>
      </x:c>
      <x:c r="F11" s="47"/>
    </x:row>
    <x:row r="12" ht="39.599998474121094" hidden="0" customHeight="1">
      <x:c r="A12" s="49" t="str">
        <x:v>Phase 1: Lock the Offer — Define a narrow initial customer, a truthful No-CUI value proposition, and outcome-led positioning before outreach.</x:v>
      </x:c>
      <x:c r="B12" s="44" t="str">
        <x:v>Adopt the initial offer: a compliance readiness workspace that tracks obligations, evidence, tasks, policies, and audit history without storing CUI.</x:v>
      </x:c>
      <x:c r="C12" s="46" t="str">
        <x:v>Completed</x:v>
      </x:c>
      <x:c r="D12" s="46" t="str">
        <x:v>Completed before outreach</x:v>
      </x:c>
      <x:c r="E12" s="44" t="str">
        <x:v>Implemented as offer positioning; app supports contracts, obligations, evidence metadata, reports, audit history, and No-CUI posture.</x:v>
      </x:c>
      <x:c r="F12" s="47"/>
    </x:row>
    <x:row r="13" ht="26.399999618530273" hidden="0" customHeight="1">
      <x:c r="A13" s="49" t="str">
        <x:v>Phase 1: Lock the Offer — Define a narrow initial customer, a truthful No-CUI value proposition, and outcome-led positioning before outreach.</x:v>
      </x:c>
      <x:c r="B13" s="44" t="str">
        <x:v>Remove AI-led claims from primary positioning and outreach language.</x:v>
      </x:c>
      <x:c r="C13" s="46" t="str">
        <x:v>Completed</x:v>
      </x:c>
      <x:c r="D13" s="46" t="str">
        <x:v>Completed before outreach</x:v>
      </x:c>
      <x:c r="E13" s="44" t="str">
        <x:v>Implemented in positioning docs and landing copy; primary copy avoids AI-led product claims.</x:v>
      </x:c>
      <x:c r="F13" s="47"/>
    </x:row>
    <x:row r="14" ht="26.399999618530273" hidden="0" customHeight="1">
      <x:c r="A14" s="49" t="str">
        <x:v>Phase 1: Lock the Offer — Define a narrow initial customer, a truthful No-CUI value proposition, and outcome-led positioning before outreach.</x:v>
      </x:c>
      <x:c r="B14" s="44" t="str">
        <x:v>Remove CMMC certification claims from primary positioning and outreach language.</x:v>
      </x:c>
      <x:c r="C14" s="46" t="str">
        <x:v>Completed</x:v>
      </x:c>
      <x:c r="D14" s="46" t="str">
        <x:v>Completed before outreach</x:v>
      </x:c>
      <x:c r="E14" s="44" t="str">
        <x:v>Implemented in AGENTS.md, Phase 1 docs, deck, and disclaimers; FeDril is not positioned as a CMMC certifier.</x:v>
      </x:c>
      <x:c r="F14" s="47"/>
    </x:row>
    <x:row r="15" ht="39.599998474121094" hidden="0" customHeight="1">
      <x:c r="A15" s="49" t="str">
        <x:v>Phase 1: Lock the Offer — Define a narrow initial customer, a truthful No-CUI value proposition, and outcome-led positioning before outreach.</x:v>
      </x:c>
      <x:c r="B15" s="44" t="str">
        <x:v>Remove automated-compliance claims from primary positioning and outreach language.</x:v>
      </x:c>
      <x:c r="C15" s="46" t="str">
        <x:v>Completed</x:v>
      </x:c>
      <x:c r="D15" s="46" t="str">
        <x:v>Completed before outreach</x:v>
      </x:c>
      <x:c r="E15" s="44" t="str">
        <x:v>Implemented in positioning and claims guardrails; automated-compliance language is excluded from primary claims.</x:v>
      </x:c>
      <x:c r="F15" s="47"/>
    </x:row>
    <x:row r="16" ht="26.399999618530273" hidden="0" customHeight="1">
      <x:c r="A16" s="49" t="str">
        <x:v>Phase 1: Lock the Offer — Define a narrow initial customer, a truthful No-CUI value proposition, and outcome-led positioning before outreach.</x:v>
      </x:c>
      <x:c r="B16" s="44" t="str">
        <x:v>Lead positioning with helping customers know which obligations apply.</x:v>
      </x:c>
      <x:c r="C16" s="46" t="str">
        <x:v>Completed</x:v>
      </x:c>
      <x:c r="D16" s="46" t="str">
        <x:v>Completed before outreach</x:v>
      </x:c>
      <x:c r="E16" s="44" t="str">
        <x:v>Implemented in Phase 1 positioning and demo materials with source-backed obligation workflow language.</x:v>
      </x:c>
      <x:c r="F16" s="47"/>
    </x:row>
    <x:row r="17" ht="26.399999618530273" hidden="0" customHeight="1">
      <x:c r="A17" s="49" t="str">
        <x:v>Phase 1: Lock the Offer — Define a narrow initial customer, a truthful No-CUI value proposition, and outcome-led positioning before outreach.</x:v>
      </x:c>
      <x:c r="B17" s="44" t="str">
        <x:v>Lead positioning with tracking evidence and readiness.</x:v>
      </x:c>
      <x:c r="C17" s="46" t="str">
        <x:v>Completed</x:v>
      </x:c>
      <x:c r="D17" s="46" t="str">
        <x:v>Completed before outreach</x:v>
      </x:c>
      <x:c r="E17" s="44" t="str">
        <x:v>Implemented in Phase 1 positioning and app evidence/report workflows.</x:v>
      </x:c>
      <x:c r="F17" s="47"/>
    </x:row>
    <x:row r="18" ht="26.399999618530273" hidden="0" customHeight="1">
      <x:c r="A18" s="49" t="str">
        <x:v>Phase 1: Lock the Offer — Define a narrow initial customer, a truthful No-CUI value proposition, and outcome-led positioning before outreach.</x:v>
      </x:c>
      <x:c r="B18" s="44" t="str">
        <x:v>Lead positioning with preparing for internal reviews.</x:v>
      </x:c>
      <x:c r="C18" s="46" t="str">
        <x:v>Completed</x:v>
      </x:c>
      <x:c r="D18" s="46" t="str">
        <x:v>Completed before outreach</x:v>
      </x:c>
      <x:c r="E18" s="44" t="str">
        <x:v>Implemented in Phase 1 positioning and sample readiness/report messaging.</x:v>
      </x:c>
      <x:c r="F18" s="47"/>
    </x:row>
    <x:row r="19" ht="26.399999618530273" hidden="0" customHeight="1">
      <x:c r="A19" s="49" t="str">
        <x:v>Phase 1: Lock the Offer — Define a narrow initial customer, a truthful No-CUI value proposition, and outcome-led positioning before outreach.</x:v>
      </x:c>
      <x:c r="B19" s="44" t="str">
        <x:v>Lead positioning with preventing spreadsheet drift.</x:v>
      </x:c>
      <x:c r="C19" s="46" t="str">
        <x:v>Completed</x:v>
      </x:c>
      <x:c r="D19" s="46" t="str">
        <x:v>Completed before outreach</x:v>
      </x:c>
      <x:c r="E19" s="44" t="str">
        <x:v>Implemented in Phase 1 problem/use-case docs and landing-page problem framing.</x:v>
      </x:c>
      <x:c r="F19" s="47"/>
    </x:row>
    <x:row r="20" ht="26.399999618530273" hidden="0" customHeight="1">
      <x:c r="A20" s="49" t="str">
        <x:v>Phase 1: Lock the Offer — Define a narrow initial customer, a truthful No-CUI value proposition, and outcome-led positioning before outreach.</x:v>
      </x:c>
      <x:c r="B20" s="44" t="str">
        <x:v>Lead positioning with maintaining an audit history.</x:v>
      </x:c>
      <x:c r="C20" s="46" t="str">
        <x:v>Completed</x:v>
      </x:c>
      <x:c r="D20" s="46" t="str">
        <x:v>Completed before outreach</x:v>
      </x:c>
      <x:c r="E20" s="44" t="str">
        <x:v>Implemented in positioning docs and app audit-log workflow; permissioned audit log exists in Settings.</x:v>
      </x:c>
      <x:c r="F20" s="47"/>
    </x:row>
    <x:row r="21" ht="26.399999618530273" hidden="0" customHeight="1">
      <x:c r="A21" s="49" t="str">
        <x:v>Phase 1: Lock the Offer — Define a narrow initial customer, a truthful No-CUI value proposition, and outcome-led positioning before outreach.</x:v>
      </x:c>
      <x:c r="B21" s="44" t="str">
        <x:v>Lead positioning with remaining No-CUI by design.</x:v>
      </x:c>
      <x:c r="C21" s="46" t="str">
        <x:v>Completed</x:v>
      </x:c>
      <x:c r="D21" s="46" t="str">
        <x:v>Completed before outreach</x:v>
      </x:c>
      <x:c r="E21" s="44" t="str">
        <x:v>Implemented in AGENTS.md, No-CUI policy, app upload guardrails, and sales assets.</x:v>
      </x:c>
      <x:c r="F21" s="47"/>
    </x:row>
    <x:row r="22" ht="52.79999923706055" hidden="0" customHeight="1">
      <x:c r="A22" s="51" t="str">
        <x:v>Phase 2: Build Sales Assets — Produce the minimum trust, demonstration, pricing, and sales materials required before outreach and real sales.</x:v>
      </x:c>
      <x:c r="B22" s="44" t="str">
        <x:v>Create a one-page website landing page.</x:v>
      </x:c>
      <x:c r="C22" s="46" t="str">
        <x:v>Completed</x:v>
      </x:c>
      <x:c r="D22" s="46" t="str">
        <x:v>Deployed 2026-08-24</x:v>
      </x:c>
      <x:c r="E22" s="44" t="str">
        <x:v>Implemented and deployed: the public FeDril landing page is in apps/web/src/LandingPage.tsx. Protected production run 32747227383 deployed launch-candidate-2026-08-24-1; production health passed.</x:v>
      </x:c>
      <x:c r="F22" s="47"/>
    </x:row>
    <x:row r="23" ht="105.5999984741211" hidden="0" customHeight="1">
      <x:c r="A23" s="51" t="str">
        <x:v>Phase 2: Build Sales Assets — Produce the minimum trust, demonstration, pricing, and sales materials required before outreach and real sales.</x:v>
      </x:c>
      <x:c r="B23" s="44" t="str">
        <x:v>Produce a three-minute demonstration video.</x:v>
      </x:c>
      <x:c r="C23" s="46" t="str">
        <x:v>Completed</x:v>
      </x:c>
      <x:c r="D23" s="46" t="str">
        <x:v>Completed 2026-08-02; regeneration blocked 2026-08-29</x:v>
      </x:c>
      <x:c r="E23" s="44" t="str">
        <x:v>Implemented for the controlled No-CUI pilot: flagship, 60-second, and 30-second MP4s exist, passed the recorded 2026-08-02 QA gate, and were published in the production launch package. Current-source blocker: npm --workspace marketing/demo-video run validate fails because checked-out narration WAVs are silent/stale; regenerate narration and captions before revising or republishing.</x:v>
      </x:c>
      <x:c r="F23" s="47"/>
    </x:row>
    <x:row r="24" ht="52.79999923706055" hidden="0" customHeight="1">
      <x:c r="A24" s="51" t="str">
        <x:v>Phase 2: Build Sales Assets — Produce the minimum trust, demonstration, pricing, and sales materials required before outreach and real sales.</x:v>
      </x:c>
      <x:c r="B24" s="44" t="str">
        <x:v>Create a ten-slide sales deck.</x:v>
      </x:c>
      <x:c r="C24" s="46" t="str">
        <x:v>Completed</x:v>
      </x:c>
      <x:c r="D24" s="46" t="str">
        <x:v>Pre-outreach - controlled draft complete</x:v>
      </x:c>
      <x:c r="E24" s="44" t="str">
        <x:v>Implemented as controlled sales asset: docs/marketing/fedril-phase-2-sales-deck.md, .pptx, .pdf, and Keynote artifacts exist. Review still required before external use.</x:v>
      </x:c>
      <x:c r="F24" s="47"/>
    </x:row>
    <x:row r="25" ht="39.599998474121094" hidden="0" customHeight="1">
      <x:c r="A25" s="51" t="str">
        <x:v>Phase 2: Build Sales Assets — Produce the minimum trust, demonstration, pricing, and sales materials required before outreach and real sales.</x:v>
      </x:c>
      <x:c r="B25" s="44" t="str">
        <x:v>Create a sample readiness report in PDF format.</x:v>
      </x:c>
      <x:c r="C25" s="46" t="str">
        <x:v>Completed</x:v>
      </x:c>
      <x:c r="D25" s="46" t="str">
        <x:v>Pre-outreach - controlled draft complete</x:v>
      </x:c>
      <x:c r="E25" s="44" t="str">
        <x:v>Implemented as sample artifact: docs/marketing/sample-readiness-report.md and .pdf exist. It is a demo report, not a compliance determination.</x:v>
      </x:c>
      <x:c r="F25" s="47"/>
    </x:row>
    <x:row r="26" ht="39.599998474121094" hidden="0" customHeight="1">
      <x:c r="A26" s="51" t="str">
        <x:v>Phase 2: Build Sales Assets — Produce the minimum trust, demonstration, pricing, and sales materials required before outreach and real sales.</x:v>
      </x:c>
      <x:c r="B26" s="44" t="str">
        <x:v>Create a sample obligation-and-evidence workflow.</x:v>
      </x:c>
      <x:c r="C26" s="46" t="str">
        <x:v>Completed</x:v>
      </x:c>
      <x:c r="D26" s="46" t="str">
        <x:v>Pre-outreach - controlled draft complete</x:v>
      </x:c>
      <x:c r="E26" s="44" t="str">
        <x:v>Implemented as guide: docs/marketing/sample-obligation-evidence-workflow.md and .pdf exist with current-state verification.</x:v>
      </x:c>
      <x:c r="F26" s="47"/>
    </x:row>
    <x:row r="27" ht="66" hidden="0" customHeight="1">
      <x:c r="A27" s="51" t="str">
        <x:v>Phase 2: Build Sales Assets — Produce the minimum trust, demonstration, pricing, and sales materials required before outreach and real sales.</x:v>
      </x:c>
      <x:c r="B27" s="44" t="str">
        <x:v>Publish a security and data-handling page.</x:v>
      </x:c>
      <x:c r="C27" s="46" t="str">
        <x:v>In Progress</x:v>
      </x:c>
      <x:c r="D27" s="46" t="str">
        <x:v>Production section live; standalone review gate</x:v>
      </x:c>
      <x:c r="E27" s="44" t="str">
        <x:v>Partially implemented: the deployed landing page exposes a Security and data-handling boundary section. The standalone security-and-data-handling-page.md/.pdf remains a draft and still requires security, product, and counsel review before broader external use.</x:v>
      </x:c>
      <x:c r="F27" s="47"/>
    </x:row>
    <x:row r="28" ht="66" hidden="0" customHeight="1">
      <x:c r="A28" s="51" t="str">
        <x:v>Phase 2: Build Sales Assets — Produce the minimum trust, demonstration, pricing, and sales materials required before outreach and real sales.</x:v>
      </x:c>
      <x:c r="B28" s="44" t="str">
        <x:v>Publish a No-CUI policy statement and data-handling language.</x:v>
      </x:c>
      <x:c r="C28" s="46" t="str">
        <x:v>In Progress</x:v>
      </x:c>
      <x:c r="D28" s="46" t="str">
        <x:v>Production language live; policy approval gate</x:v>
      </x:c>
      <x:c r="E28" s="44" t="str">
        <x:v>Partially implemented: the deployed landing page publishes No-CUI data-handling language, and UI/API upload controls enforce acknowledgement and prohibited-content handling. The standalone no-cui-policy-statement.md/.pdf still requires security and counsel approval.</x:v>
      </x:c>
      <x:c r="F28" s="47"/>
    </x:row>
    <x:row r="29" ht="92.4000015258789" hidden="0" customHeight="1">
      <x:c r="A29" s="51" t="str">
        <x:v>Phase 2: Build Sales Assets — Produce the minimum trust, demonstration, pricing, and sales materials required before outreach and real sales.</x:v>
      </x:c>
      <x:c r="B29" s="44" t="str">
        <x:v>Publish a pricing page with a founder-friendly pilot option.</x:v>
      </x:c>
      <x:c r="C29" s="46" t="str">
        <x:v>In Progress</x:v>
      </x:c>
      <x:c r="D29" s="46" t="str">
        <x:v>Public hypothesis live; finance/counsel/metering gate</x:v>
      </x:c>
      <x:c r="E29" s="44" t="str">
        <x:v>Partially implemented with governance drift: the production landing page exposes a $500-$1,500 founder-pilot hypothesis, while the revised draft proposes $149 Starter, $399 Team, and $999+ Advisor packaging. Payment, refund, tax, metering, usage-limit enforcement, and automated billing are not implemented or approved; reconcile or remove public pricing before broad outreach.</x:v>
      </x:c>
      <x:c r="F29" s="47"/>
    </x:row>
    <x:row r="30" ht="39.599998474121094" hidden="0" customHeight="1">
      <x:c r="A30" s="51" t="str">
        <x:v>Phase 2: Build Sales Assets — Produce the minimum trust, demonstration, pricing, and sales materials required before outreach and real sales.</x:v>
      </x:c>
      <x:c r="B30" s="44" t="str">
        <x:v>Obtain qualified counsel review of terms and disclaimer language before real sales.</x:v>
      </x:c>
      <x:c r="C30" s="46" t="str">
        <x:v>Waiting on External Party</x:v>
      </x:c>
      <x:c r="D30" s="46" t="str">
        <x:v>Pre-sales - counsel gate</x:v>
      </x:c>
      <x:c r="E30" s="44" t="str">
        <x:v>Counsel packet exists at docs/marketing/terms-disclaimer-counsel-review.md. No evidence of actual qualified counsel approval was found.</x:v>
      </x:c>
      <x:c r="F30" s="47"/>
    </x:row>
    <x:row r="31" ht="39.599998474121094" hidden="0" customHeight="1">
      <x:c r="A31" s="51" t="str">
        <x:v>Phase 2: Build Sales Assets — Produce the minimum trust, demonstration, pricing, and sales materials required before outreach and real sales.</x:v>
      </x:c>
      <x:c r="B31" s="44" t="str">
        <x:v>Demonstrate a contractor logging into FeDril.</x:v>
      </x:c>
      <x:c r="C31" s="46" t="str">
        <x:v>Completed</x:v>
      </x:c>
      <x:c r="D31" s="46" t="str">
        <x:v>Pre-outreach - demo-capable</x:v>
      </x:c>
      <x:c r="E31" s="44" t="str">
        <x:v>Implemented demo criterion: minimum-demo-structure.md covers contractor login; app workspace routes and demo capture pipeline exist.</x:v>
      </x:c>
      <x:c r="F31" s="47"/>
    </x:row>
    <x:row r="32" ht="39.599998474121094" hidden="0" customHeight="1">
      <x:c r="A32" s="51" t="str">
        <x:v>Phase 2: Build Sales Assets — Produce the minimum trust, demonstration, pricing, and sales materials required before outreach and real sales.</x:v>
      </x:c>
      <x:c r="B32" s="44" t="str">
        <x:v>Demonstrate the dashboard displaying readiness status.</x:v>
      </x:c>
      <x:c r="C32" s="46" t="str">
        <x:v>Completed</x:v>
      </x:c>
      <x:c r="D32" s="46" t="str">
        <x:v>Pre-outreach - demo-capable</x:v>
      </x:c>
      <x:c r="E32" s="44" t="str">
        <x:v>Implemented: Dashboard tab displays readiness status and sample metrics; demo script covers dashboard walkthrough.</x:v>
      </x:c>
      <x:c r="F32" s="47"/>
    </x:row>
    <x:row r="33" ht="26.399999618530273" hidden="0" customHeight="1">
      <x:c r="A33" s="51" t="str">
        <x:v>Phase 2: Build Sales Assets — Produce the minimum trust, demonstration, pricing, and sales materials required before outreach and real sales.</x:v>
      </x:c>
      <x:c r="B33" s="44" t="str">
        <x:v>Demonstrate a user opening an obligation.</x:v>
      </x:c>
      <x:c r="C33" s="46" t="str">
        <x:v>Completed</x:v>
      </x:c>
      <x:c r="D33" s="46" t="str">
        <x:v>Pre-outreach - demo-capable</x:v>
      </x:c>
      <x:c r="E33" s="44" t="str">
        <x:v>Implemented: Obligations tab and obligation detail flow exist; API exposes contract-obligation detail endpoints.</x:v>
      </x:c>
      <x:c r="F33" s="47"/>
    </x:row>
    <x:row r="34" ht="39.599998474121094" hidden="0" customHeight="1">
      <x:c r="A34" s="51" t="str">
        <x:v>Phase 2: Build Sales Assets — Produce the minimum trust, demonstration, pricing, and sales materials required before outreach and real sales.</x:v>
      </x:c>
      <x:c r="B34" s="44" t="str">
        <x:v>Demonstrate a user assigning a task.</x:v>
      </x:c>
      <x:c r="C34" s="46" t="str">
        <x:v>Completed</x:v>
      </x:c>
      <x:c r="D34" s="46" t="str">
        <x:v>Pre-outreach - demo-capable</x:v>
      </x:c>
      <x:c r="E34" s="44" t="str">
        <x:v>Implemented: obligation owner/status update endpoints and UI controls exist; task workflows are covered by app/tests.</x:v>
      </x:c>
      <x:c r="F34" s="47"/>
    </x:row>
    <x:row r="35" ht="26.399999618530273" hidden="0" customHeight="1">
      <x:c r="A35" s="51" t="str">
        <x:v>Phase 2: Build Sales Assets — Produce the minimum trust, demonstration, pricing, and sales materials required before outreach and real sales.</x:v>
      </x:c>
      <x:c r="B35" s="44" t="str">
        <x:v>Demonstrate a user associating evidence with the applicable workflow.</x:v>
      </x:c>
      <x:c r="C35" s="46" t="str">
        <x:v>Completed</x:v>
      </x:c>
      <x:c r="D35" s="46" t="str">
        <x:v>Pre-outreach - demo-capable</x:v>
      </x:c>
      <x:c r="E35" s="44" t="str">
        <x:v>Implemented: Evidence tab supports evidence metadata association with obligations and controls.</x:v>
      </x:c>
      <x:c r="F35" s="47"/>
    </x:row>
    <x:row r="36" ht="39.599998474121094" hidden="0" customHeight="1">
      <x:c r="A36" s="51" t="str">
        <x:v>Phase 2: Build Sales Assets — Produce the minimum trust, demonstration, pricing, and sales materials required before outreach and real sales.</x:v>
      </x:c>
      <x:c r="B36" s="44" t="str">
        <x:v>Demonstrate source-backed compliance content.</x:v>
      </x:c>
      <x:c r="C36" s="46" t="str">
        <x:v>Completed</x:v>
      </x:c>
      <x:c r="D36" s="46" t="str">
        <x:v>Pre-outreach - demo-capable</x:v>
      </x:c>
      <x:c r="E36" s="44" t="str">
        <x:v>Implemented: source-backed content is represented in obligation/clause workflows and governed by compliance-content docs.</x:v>
      </x:c>
      <x:c r="F36" s="47"/>
    </x:row>
    <x:row r="37" ht="39.599998474121094" hidden="0" customHeight="1">
      <x:c r="A37" s="51" t="str">
        <x:v>Phase 2: Build Sales Assets — Produce the minimum trust, demonstration, pricing, and sales materials required before outreach and real sales.</x:v>
      </x:c>
      <x:c r="B37" s="44" t="str">
        <x:v>Demonstrate a user exporting a readiness report.</x:v>
      </x:c>
      <x:c r="C37" s="46" t="str">
        <x:v>Completed</x:v>
      </x:c>
      <x:c r="D37" s="46" t="str">
        <x:v>Pre-outreach - demo-capable</x:v>
      </x:c>
      <x:c r="E37" s="44" t="str">
        <x:v>Implemented: Reports tab supports report generation and export endpoints, including PDF export routes with permissions.</x:v>
      </x:c>
      <x:c r="F37" s="47"/>
    </x:row>
    <x:row r="38" ht="26.399999618530273" hidden="0" customHeight="1">
      <x:c r="A38" s="51" t="str">
        <x:v>Phase 2: Build Sales Assets — Produce the minimum trust, demonstration, pricing, and sales materials required before outreach and real sales.</x:v>
      </x:c>
      <x:c r="B38" s="44" t="str">
        <x:v>Demonstrate the audit trail.</x:v>
      </x:c>
      <x:c r="C38" s="46" t="str">
        <x:v>Completed</x:v>
      </x:c>
      <x:c r="D38" s="46" t="str">
        <x:v>Pre-outreach - demo-capable</x:v>
      </x:c>
      <x:c r="E38" s="44" t="str">
        <x:v>Implemented: Settings tab exposes Audit log/Tenant audit events and API tests cover audit/permission behavior.</x:v>
      </x:c>
      <x:c r="F38" s="47"/>
    </x:row>
    <x:row r="39" ht="39.599998474121094" hidden="0" customHeight="1">
      <x:c r="A39" s="51" t="str">
        <x:v>Phase 2: Build Sales Assets — Produce the minimum trust, demonstration, pricing, and sales materials required before outreach and real sales.</x:v>
      </x:c>
      <x:c r="B39" s="44" t="str">
        <x:v>Demonstrate a No-CUI warning during upload or data entry.</x:v>
      </x:c>
      <x:c r="C39" s="46" t="str">
        <x:v>Completed</x:v>
      </x:c>
      <x:c r="D39" s="46" t="str">
        <x:v>Pre-outreach - demo-capable</x:v>
      </x:c>
      <x:c r="E39" s="44" t="str">
        <x:v>Implemented: No-CUI acknowledgement panel appears in Contracts/Evidence; upload actions are disabled or API-blocked until acknowledgement/attestation.</x:v>
      </x:c>
      <x:c r="F39" s="47"/>
    </x:row>
    <x:row r="40" ht="66" hidden="0" customHeight="1">
      <x:c r="A40" s="51" t="str">
        <x:v>Phase 2: Build Sales Assets — Produce the minimum trust, demonstration, pricing, and sales materials required before outreach and real sales.</x:v>
      </x:c>
      <x:c r="B40" s="44" t="str">
        <x:v>Verify that every required sales asset and demo criterion is ready before broad outreach begins.</x:v>
      </x:c>
      <x:c r="C40" s="46" t="str">
        <x:v>Blocked</x:v>
      </x:c>
      <x:c r="D40" s="46" t="str">
        <x:v>Pre-outreach - blocked as of 2026-08-29</x:v>
      </x:c>
      <x:c r="E40" s="44" t="str">
        <x:v>Blocked for broad outreach: controlled-release assets and a production landing page exist, but current demo narration sources fail strict validation, standalone security/No-CUI/pricing assets remain approval-gated, and no qualified counsel approval was found.</x:v>
      </x:c>
      <x:c r="F40" s="47"/>
    </x:row>
    <x:row r="41" ht="26.399999618530273" hidden="0" customHeight="1">
      <x:c r="A41" s="53" t="str">
        <x:v>Phase 3: Validate Through Conversations — Use direct discovery, not paid advertising, to identify the most painful and valuable customer workflow.</x:v>
      </x:c>
      <x:c r="B41" s="44" t="str">
        <x:v>Suspend paid advertising until direct discovery validates the painful workflow.</x:v>
      </x:c>
      <x:c r="C41" s="46" t="str">
        <x:v>In Progress</x:v>
      </x:c>
      <x:c r="D41" s="46" t="str">
        <x:v>Ongoing - discovery rule active</x:v>
      </x:c>
      <x:c r="E41" s="44" t="str">
        <x:v>Operating rule is documented in Phase 3/roadmap docs. External paid-ad activity cannot be verified from the repo.</x:v>
      </x:c>
      <x:c r="F41" s="47"/>
    </x:row>
    <x:row r="42" ht="26.399999618530273" hidden="0" customHeight="1">
      <x:c r="A42" s="53" t="str">
        <x:v>Phase 3: Validate Through Conversations — Use direct discovery, not paid advertising, to identify the most painful and valuable customer workflow.</x:v>
      </x:c>
      <x:c r="B42" s="44" t="str">
        <x:v>Conduct discovery with local APEX Accelerator counselors.</x:v>
      </x:c>
      <x:c r="C42" s="46" t="str">
        <x:v>Not Started</x:v>
      </x:c>
      <x:c r="D42" s="46" t="str">
        <x:v>Days 15-60 - no logged conversations</x:v>
      </x:c>
      <x:c r="E42" s="44" t="str">
        <x:v>No APEX counselor conversations are logged; phase-3-discovery-tracker.csv is empty.</x:v>
      </x:c>
      <x:c r="F42" s="47"/>
    </x:row>
    <x:row r="43" ht="26.399999618530273" hidden="0" customHeight="1">
      <x:c r="A43" s="53" t="str">
        <x:v>Phase 3: Validate Through Conversations — Use direct discovery, not paid advertising, to identify the most painful and valuable customer workflow.</x:v>
      </x:c>
      <x:c r="B43" s="44" t="str">
        <x:v>Conduct discovery with founders of small government-contracting businesses.</x:v>
      </x:c>
      <x:c r="C43" s="46" t="str">
        <x:v>Not Started</x:v>
      </x:c>
      <x:c r="D43" s="46" t="str">
        <x:v>Days 15-60 - no logged conversations</x:v>
      </x:c>
      <x:c r="E43" s="44" t="str">
        <x:v>No small GovCon founder conversations are logged; discovery tracker is empty.</x:v>
      </x:c>
      <x:c r="F43" s="47"/>
    </x:row>
    <x:row r="44" ht="26.399999618530273" hidden="0" customHeight="1">
      <x:c r="A44" s="53" t="str">
        <x:v>Phase 3: Validate Through Conversations — Use direct discovery, not paid advertising, to identify the most painful and valuable customer workflow.</x:v>
      </x:c>
      <x:c r="B44" s="44" t="str">
        <x:v>Conduct discovery with MSPs serving defense contractors.</x:v>
      </x:c>
      <x:c r="C44" s="46" t="str">
        <x:v>Not Started</x:v>
      </x:c>
      <x:c r="D44" s="46" t="str">
        <x:v>Days 15-60 - no logged conversations</x:v>
      </x:c>
      <x:c r="E44" s="44" t="str">
        <x:v>No MSP conversations are logged; discovery tracker is empty.</x:v>
      </x:c>
      <x:c r="F44" s="47"/>
    </x:row>
    <x:row r="45" ht="26.399999618530273" hidden="0" customHeight="1">
      <x:c r="A45" s="53" t="str">
        <x:v>Phase 3: Validate Through Conversations — Use direct discovery, not paid advertising, to identify the most painful and valuable customer workflow.</x:v>
      </x:c>
      <x:c r="B45" s="44" t="str">
        <x:v>Conduct discovery with fractional compliance consultants.</x:v>
      </x:c>
      <x:c r="C45" s="46" t="str">
        <x:v>Not Started</x:v>
      </x:c>
      <x:c r="D45" s="46" t="str">
        <x:v>Days 15-60 - no logged conversations</x:v>
      </x:c>
      <x:c r="E45" s="44" t="str">
        <x:v>No fractional compliance consultant conversations are logged; discovery tracker is empty.</x:v>
      </x:c>
      <x:c r="F45" s="47"/>
    </x:row>
    <x:row r="46" ht="26.399999618530273" hidden="0" customHeight="1">
      <x:c r="A46" s="53" t="str">
        <x:v>Phase 3: Validate Through Conversations — Use direct discovery, not paid advertising, to identify the most painful and valuable customer workflow.</x:v>
      </x:c>
      <x:c r="B46" s="44" t="str">
        <x:v>Conduct discovery with GovCon accountants and bookkeepers.</x:v>
      </x:c>
      <x:c r="C46" s="46" t="str">
        <x:v>Not Started</x:v>
      </x:c>
      <x:c r="D46" s="46" t="str">
        <x:v>Days 15-60 - no logged conversations</x:v>
      </x:c>
      <x:c r="E46" s="44" t="str">
        <x:v>No GovCon accountant/bookkeeper conversations are logged; discovery tracker is empty.</x:v>
      </x:c>
      <x:c r="F46" s="47"/>
    </x:row>
    <x:row r="47" ht="26.399999618530273" hidden="0" customHeight="1">
      <x:c r="A47" s="53" t="str">
        <x:v>Phase 3: Validate Through Conversations — Use direct discovery, not paid advertising, to identify the most painful and valuable customer workflow.</x:v>
      </x:c>
      <x:c r="B47" s="44" t="str">
        <x:v>Conduct discovery with proposal consultants.</x:v>
      </x:c>
      <x:c r="C47" s="46" t="str">
        <x:v>Not Started</x:v>
      </x:c>
      <x:c r="D47" s="46" t="str">
        <x:v>Days 15-60 - no logged conversations</x:v>
      </x:c>
      <x:c r="E47" s="44" t="str">
        <x:v>No proposal consultant conversations are logged; discovery tracker is empty.</x:v>
      </x:c>
      <x:c r="F47" s="47"/>
    </x:row>
    <x:row r="48" ht="26.399999618530273" hidden="0" customHeight="1">
      <x:c r="A48" s="53" t="str">
        <x:v>Phase 3: Validate Through Conversations — Use direct discovery, not paid advertising, to identify the most painful and valuable customer workflow.</x:v>
      </x:c>
      <x:c r="B48" s="44" t="str">
        <x:v>Conduct discovery with small prime-contractor and subcontractor networks.</x:v>
      </x:c>
      <x:c r="C48" s="46" t="str">
        <x:v>Not Started</x:v>
      </x:c>
      <x:c r="D48" s="46" t="str">
        <x:v>Days 15-60 - no logged conversations</x:v>
      </x:c>
      <x:c r="E48" s="44" t="str">
        <x:v>No small-prime/subcontractor network conversations are logged; discovery tracker is empty.</x:v>
      </x:c>
      <x:c r="F48" s="47"/>
    </x:row>
    <x:row r="49" ht="39.599998474121094" hidden="0" customHeight="1">
      <x:c r="A49" s="53" t="str">
        <x:v>Phase 3: Validate Through Conversations — Use direct discovery, not paid advertising, to identify the most painful and valuable customer workflow.</x:v>
      </x:c>
      <x:c r="B49" s="44" t="str">
        <x:v>Find relevant LinkedIn prospects using government contractor, CMMC, DoD subcontractor, 8(a), SDVOSB, and WOSB search terms.</x:v>
      </x:c>
      <x:c r="C49" s="46" t="str">
        <x:v>Not Started</x:v>
      </x:c>
      <x:c r="D49" s="46" t="str">
        <x:v>Days 15-60 - prospect research not logged</x:v>
      </x:c>
      <x:c r="E49" s="44" t="str">
        <x:v>LinkedIn search plan exists in docs/marketing/phase-3-validate-with-20-conversations.md, but no prospect records are logged.</x:v>
      </x:c>
      <x:c r="F49" s="47"/>
    </x:row>
    <x:row r="50" ht="26.399999618530273" hidden="0" customHeight="1">
      <x:c r="A50" s="53" t="str">
        <x:v>Phase 3: Validate Through Conversations — Use direct discovery, not paid advertising, to identify the most painful and valuable customer workflow.</x:v>
      </x:c>
      <x:c r="B50" s="44" t="str">
        <x:v>Use APEX conversations to understand contracting-readiness workflows.</x:v>
      </x:c>
      <x:c r="C50" s="46" t="str">
        <x:v>Not Started</x:v>
      </x:c>
      <x:c r="D50" s="46" t="str">
        <x:v>Days 15-60 - no logged APEX calls</x:v>
      </x:c>
      <x:c r="E50" s="44" t="str">
        <x:v>APEX discovery guidance exists with SBA source link, but no APEX call outcomes are logged.</x:v>
      </x:c>
      <x:c r="F50" s="47"/>
    </x:row>
    <x:row r="51" ht="26.399999618530273" hidden="0" customHeight="1">
      <x:c r="A51" s="53" t="str">
        <x:v>Phase 3: Validate Through Conversations — Use direct discovery, not paid advertising, to identify the most painful and valuable customer workflow.</x:v>
      </x:c>
      <x:c r="B51" s="44" t="str">
        <x:v>Use APEX conversations to understand registration workflows.</x:v>
      </x:c>
      <x:c r="C51" s="46" t="str">
        <x:v>Not Started</x:v>
      </x:c>
      <x:c r="D51" s="46" t="str">
        <x:v>Days 15-60 - no logged APEX calls</x:v>
      </x:c>
      <x:c r="E51" s="44" t="str">
        <x:v>APEX registration-workflow discovery question exists in Phase 3 docs, but no call evidence is logged.</x:v>
      </x:c>
      <x:c r="F51" s="47"/>
    </x:row>
    <x:row r="52" ht="26.399999618530273" hidden="0" customHeight="1">
      <x:c r="A52" s="53" t="str">
        <x:v>Phase 3: Validate Through Conversations — Use direct discovery, not paid advertising, to identify the most painful and valuable customer workflow.</x:v>
      </x:c>
      <x:c r="B52" s="44" t="str">
        <x:v>Use APEX conversations to understand certification-eligibility workflows.</x:v>
      </x:c>
      <x:c r="C52" s="46" t="str">
        <x:v>Not Started</x:v>
      </x:c>
      <x:c r="D52" s="46" t="str">
        <x:v>Days 15-60 - no logged APEX calls</x:v>
      </x:c>
      <x:c r="E52" s="44" t="str">
        <x:v>APEX certification-eligibility discovery question exists in Phase 3 docs, but no call evidence is logged.</x:v>
      </x:c>
      <x:c r="F52" s="47"/>
    </x:row>
    <x:row r="53" ht="26.399999618530273" hidden="0" customHeight="1">
      <x:c r="A53" s="53" t="str">
        <x:v>Phase 3: Validate Through Conversations — Use direct discovery, not paid advertising, to identify the most painful and valuable customer workflow.</x:v>
      </x:c>
      <x:c r="B53" s="44" t="str">
        <x:v>Use APEX conversations to understand opportunity-research workflows.</x:v>
      </x:c>
      <x:c r="C53" s="46" t="str">
        <x:v>Not Started</x:v>
      </x:c>
      <x:c r="D53" s="46" t="str">
        <x:v>Days 15-60 - no logged APEX calls</x:v>
      </x:c>
      <x:c r="E53" s="44" t="str">
        <x:v>APEX opportunity-research discovery question exists in Phase 3 docs, but no call evidence is logged.</x:v>
      </x:c>
      <x:c r="F53" s="47"/>
    </x:row>
    <x:row r="54" ht="26.399999618530273" hidden="0" customHeight="1">
      <x:c r="A54" s="53" t="str">
        <x:v>Phase 3: Validate Through Conversations — Use direct discovery, not paid advertising, to identify the most painful and valuable customer workflow.</x:v>
      </x:c>
      <x:c r="B54" s="44" t="str">
        <x:v>Frame discovery conversations around identifying the most painful workflow instead of forcing an immediate sale.</x:v>
      </x:c>
      <x:c r="C54" s="46" t="str">
        <x:v>In Progress</x:v>
      </x:c>
      <x:c r="D54" s="46" t="str">
        <x:v>Ongoing - script ready, calls not logged</x:v>
      </x:c>
      <x:c r="E54" s="44" t="str">
        <x:v>Discovery framing is documented in Phase 3 and discovery-call scripts; actual calls are not logged yet.</x:v>
      </x:c>
      <x:c r="F54" s="47"/>
    </x:row>
    <x:row r="55" ht="26.399999618530273" hidden="0" customHeight="1">
      <x:c r="A55" s="53" t="str">
        <x:v>Phase 3: Validate Through Conversations — Use direct discovery, not paid advertising, to identify the most painful and valuable customer workflow.</x:v>
      </x:c>
      <x:c r="B55" s="44" t="str">
        <x:v>Ask each relevant prospect where they track compliance tasks today.</x:v>
      </x:c>
      <x:c r="C55" s="46" t="str">
        <x:v>Not Started</x:v>
      </x:c>
      <x:c r="D55" s="46" t="str">
        <x:v>Ongoing - no logged answers</x:v>
      </x:c>
      <x:c r="E55" s="44" t="str">
        <x:v>Question exists in Phase 3 guide; no prospect answers are recorded in the discovery tracker.</x:v>
      </x:c>
      <x:c r="F55" s="47"/>
    </x:row>
    <x:row r="56" ht="26.399999618530273" hidden="0" customHeight="1">
      <x:c r="A56" s="53" t="str">
        <x:v>Phase 3: Validate Through Conversations — Use direct discovery, not paid advertising, to identify the most painful and valuable customer workflow.</x:v>
      </x:c>
      <x:c r="B56" s="44" t="str">
        <x:v>Ask each relevant prospect what evidence they regularly lose track of.</x:v>
      </x:c>
      <x:c r="C56" s="46" t="str">
        <x:v>Not Started</x:v>
      </x:c>
      <x:c r="D56" s="46" t="str">
        <x:v>Ongoing - no logged answers</x:v>
      </x:c>
      <x:c r="E56" s="44" t="str">
        <x:v>Question exists in Phase 3 guide; no lost-evidence answers are recorded.</x:v>
      </x:c>
      <x:c r="F56" s="47"/>
    </x:row>
    <x:row r="57" ht="26.399999618530273" hidden="0" customHeight="1">
      <x:c r="A57" s="53" t="str">
        <x:v>Phase 3: Validate Through Conversations — Use direct discovery, not paid advertising, to identify the most painful and valuable customer workflow.</x:v>
      </x:c>
      <x:c r="B57" s="44" t="str">
        <x:v>Ask each relevant prospect who asks them to provide proof of compliance.</x:v>
      </x:c>
      <x:c r="C57" s="46" t="str">
        <x:v>Not Started</x:v>
      </x:c>
      <x:c r="D57" s="46" t="str">
        <x:v>Ongoing - no logged answers</x:v>
      </x:c>
      <x:c r="E57" s="44" t="str">
        <x:v>Question exists in Phase 3 guide; no proof-requester answers are recorded.</x:v>
      </x:c>
      <x:c r="F57" s="47"/>
    </x:row>
    <x:row r="58" ht="26.399999618530273" hidden="0" customHeight="1">
      <x:c r="A58" s="53" t="str">
        <x:v>Phase 3: Validate Through Conversations — Use direct discovery, not paid advertising, to identify the most painful and valuable customer workflow.</x:v>
      </x:c>
      <x:c r="B58" s="44" t="str">
        <x:v>Ask each relevant prospect which spreadsheet or manual process breaks first.</x:v>
      </x:c>
      <x:c r="C58" s="46" t="str">
        <x:v>Not Started</x:v>
      </x:c>
      <x:c r="D58" s="46" t="str">
        <x:v>Ongoing - no logged answers</x:v>
      </x:c>
      <x:c r="E58" s="44" t="str">
        <x:v>Question exists in Phase 3 guide; no spreadsheet/process failure answers are recorded.</x:v>
      </x:c>
      <x:c r="F58" s="47"/>
    </x:row>
    <x:row r="59" ht="26.399999618530273" hidden="0" customHeight="1">
      <x:c r="A59" s="53" t="str">
        <x:v>Phase 3: Validate Through Conversations — Use direct discovery, not paid advertising, to identify the most painful and valuable customer workflow.</x:v>
      </x:c>
      <x:c r="B59" s="44" t="str">
        <x:v>Ask each relevant prospect what would make FeDril worth $99–$499 per month.</x:v>
      </x:c>
      <x:c r="C59" s="46" t="str">
        <x:v>Not Started</x:v>
      </x:c>
      <x:c r="D59" s="46" t="str">
        <x:v>Ongoing - no logged answers</x:v>
      </x:c>
      <x:c r="E59" s="44" t="str">
        <x:v>Question exists in Phase 3 guide; no price-reaction answers are recorded.</x:v>
      </x:c>
      <x:c r="F59" s="47"/>
    </x:row>
    <x:row r="60" ht="26.399999618530273" hidden="0" customHeight="1">
      <x:c r="A60" s="53" t="str">
        <x:v>Phase 3: Validate Through Conversations — Use direct discovery, not paid advertising, to identify the most painful and valuable customer workflow.</x:v>
      </x:c>
      <x:c r="B60" s="44" t="str">
        <x:v>Ask each relevant prospect what would make them refuse to use FeDril.</x:v>
      </x:c>
      <x:c r="C60" s="46" t="str">
        <x:v>Not Started</x:v>
      </x:c>
      <x:c r="D60" s="46" t="str">
        <x:v>Ongoing - no logged answers</x:v>
      </x:c>
      <x:c r="E60" s="44" t="str">
        <x:v>Question exists in Phase 3 guide; no refusal-trigger answers are recorded.</x:v>
      </x:c>
      <x:c r="F60" s="47"/>
    </x:row>
    <x:row r="61" ht="26.399999618530273" hidden="0" customHeight="1">
      <x:c r="A61" s="53" t="str">
        <x:v>Phase 3: Validate Through Conversations — Use direct discovery, not paid advertising, to identify the most painful and valuable customer workflow.</x:v>
      </x:c>
      <x:c r="B61" s="44" t="str">
        <x:v>Ask each relevant prospect whether they would pilot FeDril using one contract or program.</x:v>
      </x:c>
      <x:c r="C61" s="46" t="str">
        <x:v>Not Started</x:v>
      </x:c>
      <x:c r="D61" s="46" t="str">
        <x:v>Ongoing - no logged answers</x:v>
      </x:c>
      <x:c r="E61" s="44" t="str">
        <x:v>Question exists in Phase 3 guide; no pilot-interest answers are recorded.</x:v>
      </x:c>
      <x:c r="F61" s="47"/>
    </x:row>
    <x:row r="62" ht="39.599998474121094" hidden="0" customHeight="1">
      <x:c r="A62" s="55" t="str">
        <x:v>Phase 4: Create a Managed Pilot Offer — Package a bounded paid pilot that yields payment, real workflow learning, feedback, and proof.</x:v>
      </x:c>
      <x:c r="B62" s="44" t="str">
        <x:v>Use a managed pilot instead of a broad self-service subscription for the first customer.</x:v>
      </x:c>
      <x:c r="C62" s="46" t="str">
        <x:v>Completed</x:v>
      </x:c>
      <x:c r="D62" s="46" t="str">
        <x:v>Days 31-60 - pilot package drafted</x:v>
      </x:c>
      <x:c r="E62" s="44" t="str">
        <x:v>Implemented as business process guidance: Phase 4 guide recommends managed pilot instead of broad self-service subscription.</x:v>
      </x:c>
      <x:c r="F62" s="47"/>
    </x:row>
    <x:row r="63" ht="26.399999618530273" hidden="0" customHeight="1">
      <x:c r="A63" s="55" t="str">
        <x:v>Phase 4: Create a Managed Pilot Offer — Package a bounded paid pilot that yields payment, real workflow learning, feedback, and proof.</x:v>
      </x:c>
      <x:c r="B63" s="44" t="str">
        <x:v>Set the managed pilot duration to 30 days.</x:v>
      </x:c>
      <x:c r="C63" s="46" t="str">
        <x:v>Completed</x:v>
      </x:c>
      <x:c r="D63" s="46" t="str">
        <x:v>Days 31-60 - pilot package drafted</x:v>
      </x:c>
      <x:c r="E63" s="44" t="str">
        <x:v>Implemented in Phase 4 and pricing docs as a 30-day guided pilot.</x:v>
      </x:c>
      <x:c r="F63" s="47"/>
    </x:row>
    <x:row r="64" ht="66" hidden="0" customHeight="1">
      <x:c r="A64" s="55" t="str">
        <x:v>Phase 4: Create a Managed Pilot Offer — Package a bounded paid pilot that yields payment, real workflow learning, feedback, and proof.</x:v>
      </x:c>
      <x:c r="B64" s="44" t="str">
        <x:v>Set a flat managed-pilot fee between $500 and $1,500.</x:v>
      </x:c>
      <x:c r="C64" s="46" t="str">
        <x:v>Completed</x:v>
      </x:c>
      <x:c r="D64" s="46" t="str">
        <x:v>Pricing hypothesis revised 2026-08-28</x:v>
      </x:c>
      <x:c r="E64" s="44" t="str">
        <x:v>Implemented as a pricing hypothesis: the $500-$1,500 range and $750 guided-pilot default remain documented. A 2026-08-28 compute model revises post-pilot targets, but buyer validation, invoice reconciliation, delivery-labor COGS, finance review, and counsel approval remain open.</x:v>
      </x:c>
      <x:c r="F64" s="47"/>
    </x:row>
    <x:row r="65" ht="66" hidden="0" customHeight="1">
      <x:c r="A65" s="55" t="str">
        <x:v>Phase 4: Create a Managed Pilot Offer — Package a bounded paid pilot that yields payment, real workflow learning, feedback, and proof.</x:v>
      </x:c>
      <x:c r="B65" s="44" t="str">
        <x:v>Credit the pilot fee toward an annual plan when the customer converts.</x:v>
      </x:c>
      <x:c r="C65" s="46" t="str">
        <x:v>In Progress</x:v>
      </x:c>
      <x:c r="D65" s="46" t="str">
        <x:v>Days 31-60 - finance/counsel gate</x:v>
      </x:c>
      <x:c r="E65" s="44" t="str">
        <x:v>The $750 annual-conversion credit is drafted in the pilot and pricing materials. It is not supported by implemented payment/billing workflows and still requires finance and counsel approval before an order form, invoice, or public promise.</x:v>
      </x:c>
      <x:c r="F65" s="47"/>
    </x:row>
    <x:row r="66" ht="26.399999618530273" hidden="0" customHeight="1">
      <x:c r="A66" s="55" t="str">
        <x:v>Phase 4: Create a Managed Pilot Offer — Package a bounded paid pilot that yields payment, real workflow learning, feedback, and proof.</x:v>
      </x:c>
      <x:c r="B66" s="44" t="str">
        <x:v>Include a setup call in the managed pilot.</x:v>
      </x:c>
      <x:c r="C66" s="46" t="str">
        <x:v>Completed</x:v>
      </x:c>
      <x:c r="D66" s="46" t="str">
        <x:v>Days 31-60 - pilot package drafted</x:v>
      </x:c>
      <x:c r="E66" s="44" t="str">
        <x:v>Implemented in Phase 4 pilot offer guide as a setup/kickoff call.</x:v>
      </x:c>
      <x:c r="F66" s="47"/>
    </x:row>
    <x:row r="67" ht="39.599998474121094" hidden="0" customHeight="1">
      <x:c r="A67" s="55" t="str">
        <x:v>Phase 4: Create a Managed Pilot Offer — Package a bounded paid pilot that yields payment, real workflow learning, feedback, and proof.</x:v>
      </x:c>
      <x:c r="B67" s="44" t="str">
        <x:v>Include obligation import in the managed pilot.</x:v>
      </x:c>
      <x:c r="C67" s="46" t="str">
        <x:v>In Progress</x:v>
      </x:c>
      <x:c r="D67" s="46" t="str">
        <x:v>Days 31-60 - manual setup only</x:v>
      </x:c>
      <x:c r="E67" s="44" t="str">
        <x:v>Pilot docs include obligation import/setup, but no self-service import workflow was verified; treat as founder-guided/manual.</x:v>
      </x:c>
      <x:c r="F67" s="47"/>
    </x:row>
    <x:row r="68" ht="39.599998474121094" hidden="0" customHeight="1">
      <x:c r="A68" s="55" t="str">
        <x:v>Phase 4: Create a Managed Pilot Offer — Package a bounded paid pilot that yields payment, real workflow learning, feedback, and proof.</x:v>
      </x:c>
      <x:c r="B68" s="44" t="str">
        <x:v>Include readiness-workflow configuration in the managed pilot.</x:v>
      </x:c>
      <x:c r="C68" s="46" t="str">
        <x:v>Completed</x:v>
      </x:c>
      <x:c r="D68" s="46" t="str">
        <x:v>Days 31-60 - pilot package drafted</x:v>
      </x:c>
      <x:c r="E68" s="44" t="str">
        <x:v>Implemented in Phase 4 guide and current product workflow: contract metadata, clauses, obligations, evidence metadata, reports, and audit history.</x:v>
      </x:c>
      <x:c r="F68" s="47"/>
    </x:row>
    <x:row r="69" ht="26.399999618530273" hidden="0" customHeight="1">
      <x:c r="A69" s="55" t="str">
        <x:v>Phase 4: Create a Managed Pilot Offer — Package a bounded paid pilot that yields payment, real workflow learning, feedback, and proof.</x:v>
      </x:c>
      <x:c r="B69" s="44" t="str">
        <x:v>Include one readiness-report export in the managed pilot.</x:v>
      </x:c>
      <x:c r="C69" s="46" t="str">
        <x:v>Completed</x:v>
      </x:c>
      <x:c r="D69" s="46" t="str">
        <x:v>Days 31-60 - product capability exists</x:v>
      </x:c>
      <x:c r="E69" s="44" t="str">
        <x:v>Implemented: report generation/export endpoints and Reports UI exist; use only workflow-guidance language.</x:v>
      </x:c>
      <x:c r="F69" s="47"/>
    </x:row>
    <x:row r="70" ht="26.399999618530273" hidden="0" customHeight="1">
      <x:c r="A70" s="55" t="str">
        <x:v>Phase 4: Create a Managed Pilot Offer — Package a bounded paid pilot that yields payment, real workflow learning, feedback, and proof.</x:v>
      </x:c>
      <x:c r="B70" s="44" t="str">
        <x:v>Include a structured feedback session in the managed pilot.</x:v>
      </x:c>
      <x:c r="C70" s="46" t="str">
        <x:v>Completed</x:v>
      </x:c>
      <x:c r="D70" s="46" t="str">
        <x:v>Days 31-60 - pilot package drafted</x:v>
      </x:c>
      <x:c r="E70" s="44" t="str">
        <x:v>Implemented in Phase 4 guide as an end-of-pilot findings/feedback session.</x:v>
      </x:c>
      <x:c r="F70" s="47"/>
    </x:row>
    <x:row r="71" ht="39.599998474121094" hidden="0" customHeight="1">
      <x:c r="A71" s="55" t="str">
        <x:v>Phase 4: Create a Managed Pilot Offer — Package a bounded paid pilot that yields payment, real workflow learning, feedback, and proof.</x:v>
      </x:c>
      <x:c r="B71" s="44" t="str">
        <x:v>Prohibit CUI storage and processing during the managed pilot.</x:v>
      </x:c>
      <x:c r="C71" s="46" t="str">
        <x:v>In Progress</x:v>
      </x:c>
      <x:c r="D71" s="46" t="str">
        <x:v>Days 31-60 - terms gate</x:v>
      </x:c>
      <x:c r="E71" s="44" t="str">
        <x:v>Product/docs preserve No-CUI posture and upload guardrails, but pilot contractual prohibition still needs counsel-approved terms.</x:v>
      </x:c>
      <x:c r="F71" s="47"/>
    </x:row>
    <x:row r="72" ht="26.399999618530273" hidden="0" customHeight="1">
      <x:c r="A72" s="55" t="str">
        <x:v>Phase 4: Create a Managed Pilot Offer — Package a bounded paid pilot that yields payment, real workflow learning, feedback, and proof.</x:v>
      </x:c>
      <x:c r="B72" s="44" t="str">
        <x:v>State that the managed pilot does not provide legal advice.</x:v>
      </x:c>
      <x:c r="C72" s="46" t="str">
        <x:v>In Progress</x:v>
      </x:c>
      <x:c r="D72" s="46" t="str">
        <x:v>Days 31-60 - terms gate</x:v>
      </x:c>
      <x:c r="E72" s="44" t="str">
        <x:v>Draft disclaimer exists; actual pilot/customer use requires counsel approval.</x:v>
      </x:c>
      <x:c r="F72" s="47"/>
    </x:row>
    <x:row r="73" ht="26.399999618530273" hidden="0" customHeight="1">
      <x:c r="A73" s="55" t="str">
        <x:v>Phase 4: Create a Managed Pilot Offer — Package a bounded paid pilot that yields payment, real workflow learning, feedback, and proof.</x:v>
      </x:c>
      <x:c r="B73" s="44" t="str">
        <x:v>Prohibit certification guarantees or certification claims in the managed pilot.</x:v>
      </x:c>
      <x:c r="C73" s="46" t="str">
        <x:v>In Progress</x:v>
      </x:c>
      <x:c r="D73" s="46" t="str">
        <x:v>Days 31-60 - terms gate</x:v>
      </x:c>
      <x:c r="E73" s="44" t="str">
        <x:v>Claims guardrail exists in docs and AGENTS.md; pilot/customer terms still need counsel approval.</x:v>
      </x:c>
      <x:c r="F73" s="47"/>
    </x:row>
    <x:row r="74" ht="39.599998474121094" hidden="0" customHeight="1">
      <x:c r="A74" s="55" t="str">
        <x:v>Phase 4: Create a Managed Pilot Offer — Package a bounded paid pilot that yields payment, real workflow learning, feedback, and proof.</x:v>
      </x:c>
      <x:c r="B74" s="44" t="str">
        <x:v>State that the managed pilot is not a formal assessment.</x:v>
      </x:c>
      <x:c r="C74" s="46" t="str">
        <x:v>In Progress</x:v>
      </x:c>
      <x:c r="D74" s="46" t="str">
        <x:v>Days 31-60 - terms gate</x:v>
      </x:c>
      <x:c r="E74" s="44" t="str">
        <x:v>Formal-assessment exclusion is drafted in sales/pilot materials; counsel approval remains required before real sales use.</x:v>
      </x:c>
      <x:c r="F74" s="47"/>
    </x:row>
    <x:row r="75" ht="26.399999618530273" hidden="0" customHeight="1">
      <x:c r="A75" s="55" t="str">
        <x:v>Phase 4: Create a Managed Pilot Offer — Package a bounded paid pilot that yields payment, real workflow learning, feedback, and proof.</x:v>
      </x:c>
      <x:c r="B75" s="44" t="str">
        <x:v>Require a qualified first paid customer to provide payment.</x:v>
      </x:c>
      <x:c r="C75" s="46" t="str">
        <x:v>Not Started</x:v>
      </x:c>
      <x:c r="D75" s="46" t="str">
        <x:v>Days 31-60 - customer dependent</x:v>
      </x:c>
      <x:c r="E75" s="44" t="str">
        <x:v>No paid pilot/customer record found in trackers or repo evidence.</x:v>
      </x:c>
      <x:c r="F75" s="47"/>
    </x:row>
    <x:row r="76" ht="26.399999618530273" hidden="0" customHeight="1">
      <x:c r="A76" s="55" t="str">
        <x:v>Phase 4: Create a Managed Pilot Offer — Package a bounded paid pilot that yields payment, real workflow learning, feedback, and proof.</x:v>
      </x:c>
      <x:c r="B76" s="44" t="str">
        <x:v>Require a qualified first paid customer to provide real workflow data.</x:v>
      </x:c>
      <x:c r="C76" s="46" t="str">
        <x:v>Not Started</x:v>
      </x:c>
      <x:c r="D76" s="46" t="str">
        <x:v>Days 31-60 - customer dependent</x:v>
      </x:c>
      <x:c r="E76" s="44" t="str">
        <x:v>No first-customer workflow data is logged; trackers are empty.</x:v>
      </x:c>
      <x:c r="F76" s="47"/>
    </x:row>
    <x:row r="77" ht="26.399999618530273" hidden="0" customHeight="1">
      <x:c r="A77" s="55" t="str">
        <x:v>Phase 4: Create a Managed Pilot Offer — Package a bounded paid pilot that yields payment, real workflow learning, feedback, and proof.</x:v>
      </x:c>
      <x:c r="B77" s="44" t="str">
        <x:v>Require a qualified first paid customer to provide weekly feedback.</x:v>
      </x:c>
      <x:c r="C77" s="46" t="str">
        <x:v>Not Started</x:v>
      </x:c>
      <x:c r="D77" s="46" t="str">
        <x:v>Days 31-60 - customer dependent</x:v>
      </x:c>
      <x:c r="E77" s="44" t="str">
        <x:v>No weekly customer feedback cadence is logged; pilot tracker is empty.</x:v>
      </x:c>
      <x:c r="F77" s="47"/>
    </x:row>
    <x:row r="78" ht="26.399999618530273" hidden="0" customHeight="1">
      <x:c r="A78" s="55" t="str">
        <x:v>Phase 4: Create a Managed Pilot Offer — Package a bounded paid pilot that yields payment, real workflow learning, feedback, and proof.</x:v>
      </x:c>
      <x:c r="B78" s="44" t="str">
        <x:v>Require a qualified first paid customer to permit use of anonymized learnings.</x:v>
      </x:c>
      <x:c r="C78" s="46" t="str">
        <x:v>Not Started</x:v>
      </x:c>
      <x:c r="D78" s="46" t="str">
        <x:v>Days 31-60 - customer dependent</x:v>
      </x:c>
      <x:c r="E78" s="44" t="str">
        <x:v>Anonymized-learning permission is requested in docs, but no customer agreement evidence was found.</x:v>
      </x:c>
      <x:c r="F78" s="47"/>
    </x:row>
    <x:row r="79" ht="26.399999618530273" hidden="0" customHeight="1">
      <x:c r="A79" s="55" t="str">
        <x:v>Phase 4: Create a Managed Pilot Offer — Package a bounded paid pilot that yields payment, real workflow learning, feedback, and proof.</x:v>
      </x:c>
      <x:c r="B79" s="44" t="str">
        <x:v>Request a testimonial from a qualified first paid customer if the pilot succeeds.</x:v>
      </x:c>
      <x:c r="C79" s="46" t="str">
        <x:v>Not Started</x:v>
      </x:c>
      <x:c r="D79" s="46" t="str">
        <x:v>Days 61-90 - customer dependent</x:v>
      </x:c>
      <x:c r="E79" s="44" t="str">
        <x:v>No successful pilot or permissioned testimonial evidence exists; do not claim testimonial availability.</x:v>
      </x:c>
      <x:c r="F79" s="47"/>
    </x:row>
    <x:row r="80" ht="39.599998474121094" hidden="0" customHeight="1">
      <x:c r="A80" s="57" t="str">
        <x:v>Phase 5: Establish Distribution Channels — Validate founder-led and partner channels before investing in paid acquisition.</x:v>
      </x:c>
      <x:c r="B80" s="44" t="str">
        <x:v>Run founder-led outbound to small government contractors as the first-priority channel.</x:v>
      </x:c>
      <x:c r="C80" s="46" t="str">
        <x:v>Not Started</x:v>
      </x:c>
      <x:c r="D80" s="46" t="str">
        <x:v>Ongoing - channel execution not logged</x:v>
      </x:c>
      <x:c r="E80" s="44" t="str">
        <x:v>Founder-led outbound plan exists, but phase-5-distribution-channel-tracker.csv has no activity rows.</x:v>
      </x:c>
      <x:c r="F80" s="47"/>
    </x:row>
    <x:row r="81" ht="26.399999618530273" hidden="0" customHeight="1">
      <x:c r="A81" s="57" t="str">
        <x:v>Phase 5: Establish Distribution Channels — Validate founder-led and partner channels before investing in paid acquisition.</x:v>
      </x:c>
      <x:c r="B81" s="44" t="str">
        <x:v>Develop partnerships with APEX counselors and GovCon advisors as the second-priority channel.</x:v>
      </x:c>
      <x:c r="C81" s="46" t="str">
        <x:v>Not Started</x:v>
      </x:c>
      <x:c r="D81" s="46" t="str">
        <x:v>Ongoing - partner execution not logged</x:v>
      </x:c>
      <x:c r="E81" s="44" t="str">
        <x:v>APEX/GovCon advisor partnership plan exists, but no contact or referral activity is logged.</x:v>
      </x:c>
      <x:c r="F81" s="47"/>
    </x:row>
    <x:row r="82" ht="26.399999618530273" hidden="0" customHeight="1">
      <x:c r="A82" s="57" t="str">
        <x:v>Phase 5: Establish Distribution Channels — Validate founder-led and partner channels before investing in paid acquisition.</x:v>
      </x:c>
      <x:c r="B82" s="44" t="str">
        <x:v>Develop referral partnerships with MSPs and compliance consultants as the third-priority channel.</x:v>
      </x:c>
      <x:c r="C82" s="46" t="str">
        <x:v>Not Started</x:v>
      </x:c>
      <x:c r="D82" s="46" t="str">
        <x:v>Ongoing - referral execution not logged</x:v>
      </x:c>
      <x:c r="E82" s="44" t="str">
        <x:v>MSP/compliance consultant referral plan exists, but no partner activity is logged.</x:v>
      </x:c>
      <x:c r="F82" s="47"/>
    </x:row>
    <x:row r="83" ht="26.399999618530273" hidden="0" customHeight="1">
      <x:c r="A83" s="57" t="str">
        <x:v>Phase 5: Establish Distribution Channels — Validate founder-led and partner channels before investing in paid acquisition.</x:v>
      </x:c>
      <x:c r="B83" s="44" t="str">
        <x:v>Publish LinkedIn authority-building content as the fourth-priority channel.</x:v>
      </x:c>
      <x:c r="C83" s="46" t="str">
        <x:v>Not Started</x:v>
      </x:c>
      <x:c r="D83" s="46" t="str">
        <x:v>Ongoing - content execution not logged</x:v>
      </x:c>
      <x:c r="E83" s="44" t="str">
        <x:v>LinkedIn content cadence exists in Phase 5 docs, but no published posts are recorded.</x:v>
      </x:c>
      <x:c r="F83" s="47"/>
    </x:row>
    <x:row r="84" ht="26.399999618530273" hidden="0" customHeight="1">
      <x:c r="A84" s="57" t="str">
        <x:v>Phase 5: Establish Distribution Channels — Validate founder-led and partner channels before investing in paid acquisition.</x:v>
      </x:c>
      <x:c r="B84" s="44" t="str">
        <x:v>Host practical educational webinars as the fifth-priority channel.</x:v>
      </x:c>
      <x:c r="C84" s="46" t="str">
        <x:v>Not Started</x:v>
      </x:c>
      <x:c r="D84" s="46" t="str">
        <x:v>Ongoing - webinar execution not logged</x:v>
      </x:c>
      <x:c r="E84" s="44" t="str">
        <x:v>Webinar channel plan exists, but no webinar topic/date/attendance evidence is logged.</x:v>
      </x:c>
      <x:c r="F84" s="47"/>
    </x:row>
    <x:row r="85" ht="26.399999618530273" hidden="0" customHeight="1">
      <x:c r="A85" s="57" t="str">
        <x:v>Phase 5: Establish Distribution Channels — Validate founder-led and partner channels before investing in paid acquisition.</x:v>
      </x:c>
      <x:c r="B85" s="44" t="str">
        <x:v>Pursue GovCon newsletter and podcast opportunities as the sixth-priority channel.</x:v>
      </x:c>
      <x:c r="C85" s="46" t="str">
        <x:v>Not Started</x:v>
      </x:c>
      <x:c r="D85" s="46" t="str">
        <x:v>Ongoing - PR execution not logged</x:v>
      </x:c>
      <x:c r="E85" s="44" t="str">
        <x:v>Newsletter/podcast channel plan exists, but no outreach or bookings are logged.</x:v>
      </x:c>
      <x:c r="F85" s="47"/>
    </x:row>
    <x:row r="86" ht="66" hidden="0" customHeight="1">
      <x:c r="A86" s="57" t="str">
        <x:v>Phase 5: Establish Distribution Channels — Validate founder-led and partner channels before investing in paid acquisition.</x:v>
      </x:c>
      <x:c r="B86" s="44" t="str">
        <x:v>Delay paid search, directories, and marketplaces until earlier channels are validated.</x:v>
      </x:c>
      <x:c r="C86" s="46" t="str">
        <x:v>In Progress</x:v>
      </x:c>
      <x:c r="D86" s="46" t="str">
        <x:v>Ongoing - validation gate active</x:v>
      </x:c>
      <x:c r="E86" s="44" t="str">
        <x:v>Operating rule is documented: paid search, directories, and marketplaces remain deferred until founder-led, partner, referral, content, and webinar channels are validated. Repository evidence cannot prove whether external ad spend is actually paused.</x:v>
      </x:c>
      <x:c r="F86" s="47"/>
    </x:row>
    <x:row r="87" ht="39.599998474121094" hidden="0" customHeight="1">
      <x:c r="A87" s="57" t="str">
        <x:v>Phase 5: Establish Distribution Channels — Validate founder-led and partner channels before investing in paid acquisition.</x:v>
      </x:c>
      <x:c r="B87" s="44" t="str">
        <x:v>Use SAM.gov for market research.</x:v>
      </x:c>
      <x:c r="C87" s="46" t="str">
        <x:v>Not Started</x:v>
      </x:c>
      <x:c r="D87" s="46" t="str">
        <x:v>Ongoing - research not logged</x:v>
      </x:c>
      <x:c r="E87" s="44" t="str">
        <x:v>SAM.gov rule is documented, but no SAM.gov research records are logged in trackers. Source: https://sam.gov/contracting</x:v>
      </x:c>
      <x:c r="F87" s="47"/>
    </x:row>
    <x:row r="88" ht="26.399999618530273" hidden="0" customHeight="1">
      <x:c r="A88" s="57" t="str">
        <x:v>Phase 5: Establish Distribution Channels — Validate founder-led and partner channels before investing in paid acquisition.</x:v>
      </x:c>
      <x:c r="B88" s="44" t="str">
        <x:v>Use SAM.gov to identify target niches.</x:v>
      </x:c>
      <x:c r="C88" s="46" t="str">
        <x:v>Not Started</x:v>
      </x:c>
      <x:c r="D88" s="46" t="str">
        <x:v>Ongoing - research not logged</x:v>
      </x:c>
      <x:c r="E88" s="44" t="str">
        <x:v>Niche-identification rule exists in Phase 5 guide; no target-niche research entries are logged.</x:v>
      </x:c>
      <x:c r="F88" s="47"/>
    </x:row>
    <x:row r="89" ht="26.399999618530273" hidden="0" customHeight="1">
      <x:c r="A89" s="57" t="str">
        <x:v>Phase 5: Establish Distribution Channels — Validate founder-led and partner channels before investing in paid acquisition.</x:v>
      </x:c>
      <x:c r="B89" s="44" t="str">
        <x:v>Use SAM.gov to research contract opportunities.</x:v>
      </x:c>
      <x:c r="C89" s="46" t="str">
        <x:v>Not Started</x:v>
      </x:c>
      <x:c r="D89" s="46" t="str">
        <x:v>Ongoing - research not logged</x:v>
      </x:c>
      <x:c r="E89" s="44" t="str">
        <x:v>Opportunity-research rule exists in Phase 5 guide; no opportunity records are logged.</x:v>
      </x:c>
      <x:c r="F89" s="47"/>
    </x:row>
    <x:row r="90" ht="26.399999618530273" hidden="0" customHeight="1">
      <x:c r="A90" s="57" t="str">
        <x:v>Phase 5: Establish Distribution Channels — Validate founder-led and partner channels before investing in paid acquisition.</x:v>
      </x:c>
      <x:c r="B90" s="44" t="str">
        <x:v>Use SAM.gov to research contracting entities.</x:v>
      </x:c>
      <x:c r="C90" s="46" t="str">
        <x:v>Not Started</x:v>
      </x:c>
      <x:c r="D90" s="46" t="str">
        <x:v>Ongoing - research not logged</x:v>
      </x:c>
      <x:c r="E90" s="44" t="str">
        <x:v>Entity-research rule exists in Phase 5 guide; no contracting-entity records are logged.</x:v>
      </x:c>
      <x:c r="F90" s="47"/>
    </x:row>
    <x:row r="91" ht="52.79999923706055" hidden="0" customHeight="1">
      <x:c r="A91" s="57" t="str">
        <x:v>Phase 5: Establish Distribution Channels — Validate founder-led and partner channels before investing in paid acquisition.</x:v>
      </x:c>
      <x:c r="B91" s="44" t="str">
        <x:v>Prohibit indiscriminate or spam-based outreach using SAM.gov data.</x:v>
      </x:c>
      <x:c r="C91" s="46" t="str">
        <x:v>In Progress</x:v>
      </x:c>
      <x:c r="D91" s="46" t="str">
        <x:v>Ongoing - anti-spam rule active</x:v>
      </x:c>
      <x:c r="E91" s="44" t="str">
        <x:v>The SAM.gov anti-spam rule is documented in the distribution guidance. No outreach activity is logged, so execution and compliance cannot yet be verified from repository evidence.</x:v>
      </x:c>
      <x:c r="F91" s="47"/>
    </x:row>
    <x:row r="92" ht="39.599998474121094" hidden="0" customHeight="1">
      <x:c r="A92" s="59" t="str">
        <x:v>Phase 6: Execute the First 90-Day Roadmap — Complete time-bound activation, discovery, pilot, conversion, and strategic-narrowing milestones.</x:v>
      </x:c>
      <x:c r="B92" s="44" t="str">
        <x:v>Freeze the MVP scope.</x:v>
      </x:c>
      <x:c r="C92" s="46" t="str">
        <x:v>In Progress</x:v>
      </x:c>
      <x:c r="D92" s="46" t="str">
        <x:v>Days 1-14 - founder scope gate</x:v>
      </x:c>
      <x:c r="E92" s="44" t="str">
        <x:v>MVP scope and No-CUI posture are documented, but current worktree changes show active iteration; founder sign-off not recorded.</x:v>
      </x:c>
      <x:c r="F92" s="47"/>
    </x:row>
    <x:row r="93" ht="26.399999618530273" hidden="0" customHeight="1">
      <x:c r="A93" s="59" t="str">
        <x:v>Phase 6: Execute the First 90-Day Roadmap — Complete time-bound activation, discovery, pilot, conversion, and strategic-narrowing milestones.</x:v>
      </x:c>
      <x:c r="B93" s="44" t="str">
        <x:v>Identify onboarding friction.</x:v>
      </x:c>
      <x:c r="C93" s="46" t="str">
        <x:v>Not Started</x:v>
      </x:c>
      <x:c r="D93" s="46" t="str">
        <x:v>Days 1-14 - review not logged</x:v>
      </x:c>
      <x:c r="E93" s="44" t="str">
        <x:v>No onboarding-friction review log found in the 90-day tracker.</x:v>
      </x:c>
      <x:c r="F93" s="47"/>
    </x:row>
    <x:row r="94" ht="26.399999618530273" hidden="0" customHeight="1">
      <x:c r="A94" s="59" t="str">
        <x:v>Phase 6: Execute the First 90-Day Roadmap — Complete time-bound activation, discovery, pilot, conversion, and strategic-narrowing milestones.</x:v>
      </x:c>
      <x:c r="B94" s="44" t="str">
        <x:v>Fix the onboarding friction identified during review.</x:v>
      </x:c>
      <x:c r="C94" s="46" t="str">
        <x:v>Not Started</x:v>
      </x:c>
      <x:c r="D94" s="46" t="str">
        <x:v>Days 1-14 - fixes not logged</x:v>
      </x:c>
      <x:c r="E94" s="44" t="str">
        <x:v>No completed onboarding-friction fix list found in the 90-day tracker.</x:v>
      </x:c>
      <x:c r="F94" s="47"/>
    </x:row>
    <x:row r="95" ht="39.599998474121094" hidden="0" customHeight="1">
      <x:c r="A95" s="59" t="str">
        <x:v>Phase 6: Execute the First 90-Day Roadmap — Complete time-bound activation, discovery, pilot, conversion, and strategic-narrowing milestones.</x:v>
      </x:c>
      <x:c r="B95" s="44" t="str">
        <x:v>Add realistic demonstration seed data.</x:v>
      </x:c>
      <x:c r="C95" s="46" t="str">
        <x:v>Completed</x:v>
      </x:c>
      <x:c r="D95" s="46" t="str">
        <x:v>Days 1-14 - implemented</x:v>
      </x:c>
      <x:c r="E95" s="44" t="str">
        <x:v>Implemented: marketing demo seed/capture pipeline and Northstar synthetic data assets exist under marketing/demo-video.</x:v>
      </x:c>
      <x:c r="F95" s="47"/>
    </x:row>
    <x:row r="96" ht="39.599998474121094" hidden="0" customHeight="1">
      <x:c r="A96" s="59" t="str">
        <x:v>Phase 6: Execute the First 90-Day Roadmap — Complete time-bound activation, discovery, pilot, conversion, and strategic-narrowing milestones.</x:v>
      </x:c>
      <x:c r="B96" s="44" t="str">
        <x:v>Create the demonstration script.</x:v>
      </x:c>
      <x:c r="C96" s="46" t="str">
        <x:v>Completed</x:v>
      </x:c>
      <x:c r="D96" s="46" t="str">
        <x:v>Days 1-14 - completed</x:v>
      </x:c>
      <x:c r="E96" s="44" t="str">
        <x:v>Implemented: docs/marketing/minimum-demo-structure.md and marketing/demo-video narration/storyboard sources exist.</x:v>
      </x:c>
      <x:c r="F96" s="47"/>
    </x:row>
    <x:row r="97" ht="66" hidden="0" customHeight="1">
      <x:c r="A97" s="59" t="str">
        <x:v>Phase 6: Execute the First 90-Day Roadmap — Complete time-bound activation, discovery, pilot, conversion, and strategic-narrowing milestones.</x:v>
      </x:c>
      <x:c r="B97" s="44" t="str">
        <x:v>Establish the initial pricing hypothesis.</x:v>
      </x:c>
      <x:c r="C97" s="46" t="str">
        <x:v>Completed</x:v>
      </x:c>
      <x:c r="D97" s="46" t="str">
        <x:v>Revised 2026-08-28</x:v>
      </x:c>
      <x:c r="E97" s="44" t="str">
        <x:v>Implemented as an internal pricing hypothesis: $750 guided pilot; $149/month Starter; $399/month Team; $999+/month Advisor. The compute model is not invoice-reconciled or load-tested, and the application does not meter or enforce the proposed tier quantities.</x:v>
      </x:c>
      <x:c r="F97" s="47"/>
    </x:row>
    <x:row r="98" ht="26.399999618530273" hidden="0" customHeight="1">
      <x:c r="A98" s="59" t="str">
        <x:v>Phase 6: Execute the First 90-Day Roadmap — Complete time-bound activation, discovery, pilot, conversion, and strategic-narrowing milestones.</x:v>
      </x:c>
      <x:c r="B98" s="44" t="str">
        <x:v>Build a prospect list of 100 small contractors and advisors.</x:v>
      </x:c>
      <x:c r="C98" s="46" t="str">
        <x:v>Not Started</x:v>
      </x:c>
      <x:c r="D98" s="46" t="str">
        <x:v>Days 15-30 - not logged</x:v>
      </x:c>
      <x:c r="E98" s="44" t="str">
        <x:v>No 100-prospect list found; discovery and pipeline trackers are empty.</x:v>
      </x:c>
      <x:c r="F98" s="47"/>
    </x:row>
    <x:row r="99" ht="26.399999618530273" hidden="0" customHeight="1">
      <x:c r="A99" s="59" t="str">
        <x:v>Phase 6: Execute the First 90-Day Roadmap — Complete time-bound activation, discovery, pilot, conversion, and strategic-narrowing milestones.</x:v>
      </x:c>
      <x:c r="B99" s="44" t="str">
        <x:v>Contact ten APEX offices or counselors.</x:v>
      </x:c>
      <x:c r="C99" s="46" t="str">
        <x:v>Not Started</x:v>
      </x:c>
      <x:c r="D99" s="46" t="str">
        <x:v>Days 15-30 - not logged</x:v>
      </x:c>
      <x:c r="E99" s="44" t="str">
        <x:v>No record of 10 APEX contacts found; trackers are empty.</x:v>
      </x:c>
      <x:c r="F99" s="47"/>
    </x:row>
    <x:row r="100" ht="26.399999618530273" hidden="0" customHeight="1">
      <x:c r="A100" s="59" t="str">
        <x:v>Phase 6: Execute the First 90-Day Roadmap — Complete time-bound activation, discovery, pilot, conversion, and strategic-narrowing milestones.</x:v>
      </x:c>
      <x:c r="B100" s="44" t="str">
        <x:v>Complete the first ten discovery calls.</x:v>
      </x:c>
      <x:c r="C100" s="46" t="str">
        <x:v>Not Started</x:v>
      </x:c>
      <x:c r="D100" s="46" t="str">
        <x:v>Days 15-30 - not logged</x:v>
      </x:c>
      <x:c r="E100" s="44" t="str">
        <x:v>No discovery calls are logged in phase-3-discovery-tracker.csv.</x:v>
      </x:c>
      <x:c r="F100" s="47"/>
    </x:row>
    <x:row r="101" ht="26.399999618530273" hidden="0" customHeight="1">
      <x:c r="A101" s="59" t="str">
        <x:v>Phase 6: Execute the First 90-Day Roadmap — Complete time-bound activation, discovery, pilot, conversion, and strategic-narrowing milestones.</x:v>
      </x:c>
      <x:c r="B101" s="44" t="str">
        <x:v>Refine the ideal customer profile using findings from the first ten discovery calls.</x:v>
      </x:c>
      <x:c r="C101" s="46" t="str">
        <x:v>Not Started</x:v>
      </x:c>
      <x:c r="D101" s="46" t="str">
        <x:v>Days 15-30 - depends on calls</x:v>
      </x:c>
      <x:c r="E101" s="44" t="str">
        <x:v>Cannot refine ICP from first ten calls because no call records were found.</x:v>
      </x:c>
      <x:c r="F101" s="47"/>
    </x:row>
    <x:row r="102" ht="26.399999618530273" hidden="0" customHeight="1">
      <x:c r="A102" s="59" t="str">
        <x:v>Phase 6: Execute the First 90-Day Roadmap — Complete time-bound activation, discovery, pilot, conversion, and strategic-narrowing milestones.</x:v>
      </x:c>
      <x:c r="B102" s="44" t="str">
        <x:v>Refine positioning language using findings from the first ten discovery calls.</x:v>
      </x:c>
      <x:c r="C102" s="46" t="str">
        <x:v>Not Started</x:v>
      </x:c>
      <x:c r="D102" s="46" t="str">
        <x:v>Days 15-30 - depends on calls</x:v>
      </x:c>
      <x:c r="E102" s="44" t="str">
        <x:v>Cannot refine positioning from first ten calls because no call records were found.</x:v>
      </x:c>
      <x:c r="F102" s="47"/>
    </x:row>
    <x:row r="103" ht="26.399999618530273" hidden="0" customHeight="1">
      <x:c r="A103" s="59" t="str">
        <x:v>Phase 6: Execute the First 90-Day Roadmap — Complete time-bound activation, discovery, pilot, conversion, and strategic-narrowing milestones.</x:v>
      </x:c>
      <x:c r="B103" s="44" t="str">
        <x:v>Complete twenty additional discovery calls.</x:v>
      </x:c>
      <x:c r="C103" s="46" t="str">
        <x:v>Not Started</x:v>
      </x:c>
      <x:c r="D103" s="46" t="str">
        <x:v>Days 31-60 - not logged</x:v>
      </x:c>
      <x:c r="E103" s="44" t="str">
        <x:v>No additional discovery calls are logged.</x:v>
      </x:c>
      <x:c r="F103" s="47"/>
    </x:row>
    <x:row r="104" ht="26.399999618530273" hidden="0" customHeight="1">
      <x:c r="A104" s="59" t="str">
        <x:v>Phase 6: Execute the First 90-Day Roadmap — Complete time-bound activation, discovery, pilot, conversion, and strategic-narrowing milestones.</x:v>
      </x:c>
      <x:c r="B104" s="44" t="str">
        <x:v>Convert three to five prospects into managed-pilot prospects.</x:v>
      </x:c>
      <x:c r="C104" s="46" t="str">
        <x:v>Not Started</x:v>
      </x:c>
      <x:c r="D104" s="46" t="str">
        <x:v>Days 31-60 - not logged</x:v>
      </x:c>
      <x:c r="E104" s="44" t="str">
        <x:v>No pilot prospects are logged or scored in the pilot candidate scorecard.</x:v>
      </x:c>
      <x:c r="F104" s="47"/>
    </x:row>
    <x:row r="105" ht="26.399999618530273" hidden="0" customHeight="1">
      <x:c r="A105" s="59" t="str">
        <x:v>Phase 6: Execute the First 90-Day Roadmap — Complete time-bound activation, discovery, pilot, conversion, and strategic-narrowing milestones.</x:v>
      </x:c>
      <x:c r="B105" s="44" t="str">
        <x:v>Personally onboard every participating pilot customer.</x:v>
      </x:c>
      <x:c r="C105" s="46" t="str">
        <x:v>Not Started</x:v>
      </x:c>
      <x:c r="D105" s="46" t="str">
        <x:v>Days 31-60 - customer dependent</x:v>
      </x:c>
      <x:c r="E105" s="44" t="str">
        <x:v>Platform tenant onboarding exists in the app, but no participating pilot customer onboarding evidence is logged.</x:v>
      </x:c>
      <x:c r="F105" s="47"/>
    </x:row>
    <x:row r="106" ht="26.399999618530273" hidden="0" customHeight="1">
      <x:c r="A106" s="59" t="str">
        <x:v>Phase 6: Execute the First 90-Day Roadmap — Complete time-bound activation, discovery, pilot, conversion, and strategic-narrowing milestones.</x:v>
      </x:c>
      <x:c r="B106" s="44" t="str">
        <x:v>Record every prospect and pilot objection.</x:v>
      </x:c>
      <x:c r="C106" s="46" t="str">
        <x:v>Not Started</x:v>
      </x:c>
      <x:c r="D106" s="46" t="str">
        <x:v>Days 31-60 - not logged</x:v>
      </x:c>
      <x:c r="E106" s="44" t="str">
        <x:v>No prospect or pilot objections are logged in pipeline/discovery trackers.</x:v>
      </x:c>
      <x:c r="F106" s="47"/>
    </x:row>
    <x:row r="107" ht="26.399999618530273" hidden="0" customHeight="1">
      <x:c r="A107" s="59" t="str">
        <x:v>Phase 6: Execute the First 90-Day Roadmap — Complete time-bound activation, discovery, pilot, conversion, and strategic-narrowing milestones.</x:v>
      </x:c>
      <x:c r="B107" s="44" t="str">
        <x:v>Categorize every recorded objection.</x:v>
      </x:c>
      <x:c r="C107" s="46" t="str">
        <x:v>Not Started</x:v>
      </x:c>
      <x:c r="D107" s="46" t="str">
        <x:v>Days 31-60 - depends on objections</x:v>
      </x:c>
      <x:c r="E107" s="44" t="str">
        <x:v>Cannot categorize objections because no objection records are logged.</x:v>
      </x:c>
      <x:c r="F107" s="47"/>
    </x:row>
    <x:row r="108" ht="26.399999618530273" hidden="0" customHeight="1">
      <x:c r="A108" s="59" t="str">
        <x:v>Phase 6: Execute the First 90-Day Roadmap — Complete time-bound activation, discovery, pilot, conversion, and strategic-narrowing milestones.</x:v>
      </x:c>
      <x:c r="B108" s="44" t="str">
        <x:v>Restrict new features to those required for activation, reporting, evidence tracking, or customer trust.</x:v>
      </x:c>
      <x:c r="C108" s="46" t="str">
        <x:v>In Progress</x:v>
      </x:c>
      <x:c r="D108" s="46" t="str">
        <x:v>Days 31-60 - governance active</x:v>
      </x:c>
      <x:c r="E108" s="44" t="str">
        <x:v>Governance rule exists in roadmap/AGENTS.md; ongoing discipline required because new feature requests continue.</x:v>
      </x:c>
      <x:c r="F108" s="47"/>
    </x:row>
    <x:row r="109" ht="26.399999618530273" hidden="0" customHeight="1">
      <x:c r="A109" s="59" t="str">
        <x:v>Phase 6: Execute the First 90-Day Roadmap — Complete time-bound activation, discovery, pilot, conversion, and strategic-narrowing milestones.</x:v>
      </x:c>
      <x:c r="B109" s="44" t="str">
        <x:v>Convert at least one pilot into a paid monthly or annual customer.</x:v>
      </x:c>
      <x:c r="C109" s="46" t="str">
        <x:v>Not Started</x:v>
      </x:c>
      <x:c r="D109" s="46" t="str">
        <x:v>Days 61-90 - not reached</x:v>
      </x:c>
      <x:c r="E109" s="44" t="str">
        <x:v>No paid monthly or annual conversion record found.</x:v>
      </x:c>
      <x:c r="F109" s="47"/>
    </x:row>
    <x:row r="110" ht="26.399999618530273" hidden="0" customHeight="1">
      <x:c r="A110" s="59" t="str">
        <x:v>Phase 6: Execute the First 90-Day Roadmap — Complete time-bound activation, discovery, pilot, conversion, and strategic-narrowing milestones.</x:v>
      </x:c>
      <x:c r="B110" s="44" t="str">
        <x:v>Publish one case study or anonymized workflow analysis.</x:v>
      </x:c>
      <x:c r="C110" s="46" t="str">
        <x:v>Not Started</x:v>
      </x:c>
      <x:c r="D110" s="46" t="str">
        <x:v>Days 61-90 - not reached</x:v>
      </x:c>
      <x:c r="E110" s="44" t="str">
        <x:v>No case study or anonymized workflow analysis publication evidence found.</x:v>
      </x:c>
      <x:c r="F110" s="47"/>
    </x:row>
    <x:row r="111" ht="26.399999618530273" hidden="0" customHeight="1">
      <x:c r="A111" s="59" t="str">
        <x:v>Phase 6: Execute the First 90-Day Roadmap — Complete time-bound activation, discovery, pilot, conversion, and strategic-narrowing milestones.</x:v>
      </x:c>
      <x:c r="B111" s="44" t="str">
        <x:v>Build the partner and referral package.</x:v>
      </x:c>
      <x:c r="C111" s="46" t="str">
        <x:v>Not Started</x:v>
      </x:c>
      <x:c r="D111" s="46" t="str">
        <x:v>Days 61-90 - not reached</x:v>
      </x:c>
      <x:c r="E111" s="44" t="str">
        <x:v>Distribution guide exists, but no partner/referral package artifact or partner activity record found.</x:v>
      </x:c>
      <x:c r="F111" s="47"/>
    </x:row>
    <x:row r="112" ht="79.19999694824219" hidden="0" customHeight="1">
      <x:c r="A112" s="59" t="str">
        <x:v>Phase 6: Execute the First 90-Day Roadmap — Complete time-bound activation, discovery, pilot, conversion, and strategic-narrowing milestones.</x:v>
      </x:c>
      <x:c r="B112" s="44" t="str">
        <x:v>Create a repeatable customer-onboarding checklist.</x:v>
      </x:c>
      <x:c r="C112" s="46" t="str">
        <x:v>Completed</x:v>
      </x:c>
      <x:c r="D112" s="46" t="str">
        <x:v>Implemented; real-pilot validation pending</x:v>
      </x:c>
      <x:c r="E112" s="44" t="str">
        <x:v>Implemented as repeatable internal onboarding guidance: docs/tenant-onboarding-guide.md and docs/production-readiness-pilot-onboarding.md define operator steps, No-CUI gates, authorization checks, cancellation, audit verification, and stop conditions. It has not been validated against a logged real customer pilot.</x:v>
      </x:c>
      <x:c r="F112" s="47"/>
    </x:row>
    <x:row r="113" ht="26.399999618530273" hidden="0" customHeight="1">
      <x:c r="A113" s="59" t="str">
        <x:v>Phase 6: Execute the First 90-Day Roadmap — Complete time-bound activation, discovery, pilot, conversion, and strategic-narrowing milestones.</x:v>
      </x:c>
      <x:c r="B113" s="44" t="str">
        <x:v>Decide whether to narrow FeDril toward CMMC readiness, general GovCon compliance tracking, subcontractor readiness, or evidence management.</x:v>
      </x:c>
      <x:c r="C113" s="46" t="str">
        <x:v>Not Started</x:v>
      </x:c>
      <x:c r="D113" s="46" t="str">
        <x:v>Days 61-90 - not reached</x:v>
      </x:c>
      <x:c r="E113" s="44" t="str">
        <x:v>Narrowing decision requires call/pilot evidence; trackers currently contain no customer-discovery data.</x:v>
      </x:c>
      <x:c r="F113" s="47"/>
    </x:row>
  </x:sheetData>
  <x:conditionalFormatting sqref="C8:C113">
    <x:cfRule type="expression" dxfId="0" priority="1">
      <x:formula>$C8="Not Started"</x:formula>
    </x:cfRule>
    <x:cfRule type="expression" dxfId="1" priority="2">
      <x:formula>$C8="In Progress"</x:formula>
    </x:cfRule>
    <x:cfRule type="expression" dxfId="2" priority="3">
      <x:formula>$C8="Blocked"</x:formula>
    </x:cfRule>
    <x:cfRule type="expression" dxfId="3" priority="4">
      <x:formula>$C8="Waiting on External Party"</x:formula>
    </x:cfRule>
    <x:cfRule type="expression" dxfId="4" priority="5">
      <x:formula>$C8="Completed"</x:formula>
    </x:cfRule>
    <x:cfRule type="expression" dxfId="5" priority="6">
      <x:formula>$C8="Deferred"</x:formula>
    </x:cfRule>
    <x:cfRule type="expression" dxfId="6" priority="7">
      <x:formula>$C8="Not Applicable"</x:formula>
    </x:cfRule>
  </x:conditionalFormatting>
  <x:conditionalFormatting sqref="B4:B4">
    <x:cfRule type="expression" dxfId="7" priority="8">
      <x:formula>B4&gt;0</x:formula>
    </x:cfRule>
  </x:conditionalFormatting>
  <x:conditionalFormatting sqref="C4:C4">
    <x:cfRule type="expression" dxfId="8" priority="9">
      <x:formula>C4&gt;0</x:formula>
    </x:cfRule>
  </x:conditionalFormatting>
  <x:conditionalFormatting sqref="D4:D4">
    <x:cfRule type="expression" dxfId="9" priority="10">
      <x:formula>D4&gt;0</x:formula>
    </x:cfRule>
  </x:conditionalFormatting>
  <x:dataValidations count="2">
    <x:dataValidation type="list" sqref="C8:C113">
      <x:formula1>"Not Started,In Progress,Blocked,Waiting on External Party,Completed,Deferred,Not Applicable"</x:formula1>
    </x:dataValidation>
    <x:dataValidation type="list" sqref="D8:D113">
      <x:formula1>"Pre-Outreach,Days 1–14,Days 15–30,Days 31–60,Days 61–90,Ongoing"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f0b799c7ae4f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0" hidden="0" customWidth="1"/>
  </x:cols>
  <x:sheetData>
    <x:row r="1" ht="19.200000762939453" hidden="0" customHeight="1">
      <x:c r="A1" s="63" t="str">
        <x:v>Guidance &amp; Sources</x:v>
      </x:c>
      <x:c r="B1" s="63"/>
      <x:c r="C1" s="60"/>
      <x:c r="D1" s="60"/>
    </x:row>
    <x:row r="2" ht="15" hidden="0" customHeight="1">
      <x:c r="A2" s="43"/>
      <x:c r="B2" s="43"/>
    </x:row>
    <x:row r="3" ht="15" hidden="0" customHeight="1">
      <x:c r="A3" s="62" t="str">
        <x:v>Status</x:v>
      </x:c>
      <x:c r="B3" s="62" t="str">
        <x:v>Use When</x:v>
      </x:c>
    </x:row>
    <x:row r="4" ht="15" hidden="0" customHeight="1">
      <x:c r="A4" s="43" t="str">
        <x:v>Not Started</x:v>
      </x:c>
      <x:c r="B4" s="43" t="str">
        <x:v>Work has not begun.</x:v>
      </x:c>
    </x:row>
    <x:row r="5" ht="15" hidden="0" customHeight="1">
      <x:c r="A5" s="43" t="str">
        <x:v>In Progress</x:v>
      </x:c>
      <x:c r="B5" s="43" t="str">
        <x:v>Active work is underway.</x:v>
      </x:c>
    </x:row>
    <x:row r="6" ht="15" hidden="0" customHeight="1">
      <x:c r="A6" s="43" t="str">
        <x:v>Blocked</x:v>
      </x:c>
      <x:c r="B6" s="43" t="str">
        <x:v>A blocker prevents progress and requires resolution.</x:v>
      </x:c>
    </x:row>
    <x:row r="7" ht="15" hidden="0" customHeight="1">
      <x:c r="A7" s="43" t="str">
        <x:v>Waiting on External Party</x:v>
      </x:c>
      <x:c r="B7" s="43" t="str">
        <x:v>Progress depends on a named outside person or organization.</x:v>
      </x:c>
    </x:row>
    <x:row r="8" ht="15" hidden="0" customHeight="1">
      <x:c r="A8" s="43" t="str">
        <x:v>Completed</x:v>
      </x:c>
      <x:c r="B8" s="43" t="str">
        <x:v>The task is finished and supporting evidence or an outcome is recorded.</x:v>
      </x:c>
    </x:row>
    <x:row r="9" ht="15" hidden="0" customHeight="1">
      <x:c r="A9" s="43" t="str">
        <x:v>Deferred</x:v>
      </x:c>
      <x:c r="B9" s="43" t="str">
        <x:v>The task has intentionally been moved to a later period.</x:v>
      </x:c>
    </x:row>
    <x:row r="10" ht="15" hidden="0" customHeight="1">
      <x:c r="A10" s="43" t="str">
        <x:v>Not Applicable</x:v>
      </x:c>
      <x:c r="B10" s="43" t="str">
        <x:v>The task does not apply; explain why in Notes.</x:v>
      </x:c>
    </x:row>
    <x:row r="11" ht="15" hidden="0" customHeight="1">
      <x:c r="A11" s="43"/>
      <x:c r="B11" s="43"/>
    </x:row>
    <x:row r="12" ht="15" hidden="0" customHeight="1">
      <x:c r="A12" s="62" t="str">
        <x:v>Source</x:v>
      </x:c>
      <x:c r="B12" s="62" t="str">
        <x:v>URL</x:v>
      </x:c>
    </x:row>
    <x:row r="13" ht="15" hidden="0" customHeight="1">
      <x:c r="A13" s="43" t="str">
        <x:v>SBA Federal Contracting Assistance</x:v>
      </x:c>
      <x:c r="B13" s="43" t="str">
        <x:v>https://www.sba.gov/local-assistance/federal-contracting-assistance</x:v>
      </x:c>
    </x:row>
    <x:row r="14" ht="15" hidden="0" customHeight="1">
      <x:c r="A14" s="43" t="str">
        <x:v>SAM.gov Contracting</x:v>
      </x:c>
      <x:c r="B14" s="43" t="str">
        <x:v>https://sam.gov/contracting</x:v>
      </x:c>
    </x:row>
    <x:row r="15" ht="15" hidden="0" customHeight="1">
      <x:c r="A15" s="43"/>
      <x:c r="B15" s="43"/>
    </x:row>
    <x:row r="16" ht="15" hidden="0" customHeight="1">
      <x:c r="A16" s="62" t="str">
        <x:v>Tracking Rule</x:v>
      </x:c>
      <x:c r="B16" s="62" t="str">
        <x:v>Guidance</x:v>
      </x:c>
    </x:row>
    <x:row r="17" ht="26.399999618530273" hidden="0" customHeight="1">
      <x:c r="A17" s="43" t="str">
        <x:v>Status evidence</x:v>
      </x:c>
      <x:c r="B17" s="43" t="str">
        <x:v>Do not mark a task Completed without recording evidence, a link, a decision, or a measurable outcome in Notes.</x:v>
      </x:c>
    </x:row>
    <x:row r="18" ht="15" hidden="0" customHeight="1">
      <x:c r="A18" s="43" t="str">
        <x:v>Completion date</x:v>
      </x:c>
      <x:c r="B18" s="43" t="str">
        <x:v>Enter the actual completion date only after changing Status to Completed.</x:v>
      </x:c>
    </x:row>
    <x:row r="19" ht="15" hidden="0" customHeight="1">
      <x:c r="A19" s="43" t="str">
        <x:v>No-CUI boundary</x:v>
      </x:c>
      <x:c r="B19" s="43" t="str">
        <x:v>Do not store or process Controlled Unclassified Information in this tracker or the FeDril pilot workspace.</x:v>
      </x:c>
    </x:row>
  </x:sheetData>
  <x:pageMargins left="0.7" right="0.7" top="0.75" bottom="0.75" header="0.3" footer="0.3"/>
  <x:legacyDrawing xmlns:r="http://schemas.openxmlformats.org/officeDocument/2006/relationships" r:id="R50ebbb36bd304a78"/>
</x:worksheet>
</file>